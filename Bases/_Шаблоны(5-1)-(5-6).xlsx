
<file path=[Content_Types].xml><?xml version="1.0" encoding="utf-8"?>
<Types xmlns="http://schemas.openxmlformats.org/package/2006/content-types">
  <Default Extension="fntdata" ContentType="application/x-fontdata"/>
  <Default Extension="jpeg" ContentType="image/jpeg"/>
  <Default Extension="png" ContentType="image/png"/>
  <Default Extension="rels" ContentType="application/vnd.openxmlformats-package.relationships+xml"/>
  <Default Extension="xml" ContentType="application/xml"/>
  <Override PartName="/docProps/custom.xml" ContentType="application/vnd.openxmlformats-officedocument.custom-properties+xml"/>
  <Override PartName="/docProps/core.xml" ContentType="application/vnd.openxmlformats-package.core-properties+xml"/>
  <Override PartName="/docProps/app.xml" ContentType="application/vnd.openxmlformats-officedocument.extended-properties+xml"/>
  <Override PartName="/xl/drawings/vmlDrawing1.vml" ContentType="application/vnd.openxmlformats-officedocument.vmlDrawing"/>
  <Override PartName="/xl/drawings/drawing1.xml" ContentType="application/vnd.openxmlformats-officedocument.drawing+xml"/>
  <Override PartName="/xl/drawings/drawing3.xml" ContentType="application/vnd.openxmlformats-officedocument.drawing+xml"/>
  <Override PartName="/xl/drawings/vmlDrawing2.vml" ContentType="application/vnd.openxmlformats-officedocument.vmlDrawing"/>
  <Override PartName="/xl/drawings/drawing2.xml" ContentType="application/vnd.openxmlformats-officedocument.drawing+xml"/>
  <Override PartName="/xl/drawings/drawing4.xml" ContentType="application/vnd.openxmlformats-officedocument.drawing+xml"/>
  <Override PartName="/xl/drawings/drawing5.xml" ContentType="application/vnd.openxmlformats-officedocument.drawing+xml"/>
  <Override PartName="/xl/drawings/drawing6.xml" ContentType="application/vnd.openxmlformats-officedocument.drawing+xml"/>
  <Override PartName="/xl/drawings/drawing7.xml" ContentType="application/vnd.openxmlformats-officedocument.drawing+xml"/>
  <Override PartName="/xl/styles.xml" ContentType="application/vnd.openxmlformats-officedocument.spreadsheetml.styles+xml"/>
  <Override PartName="/xl/comments2.xml" ContentType="application/vnd.openxmlformats-officedocument.spreadsheetml.comments+xml"/>
  <Override PartName="/xl/worksheets/sheet1.xml" ContentType="application/vnd.openxmlformats-officedocument.spreadsheetml.worksheet+xml"/>
  <Override PartName="/xl/worksheets/sheet2.xml" ContentType="application/vnd.openxmlformats-officedocument.spreadsheetml.worksheet+xml"/>
  <Override PartName="/xl/worksheets/sheet3.xml" ContentType="application/vnd.openxmlformats-officedocument.spreadsheetml.worksheet+xml"/>
  <Override PartName="/xl/worksheets/sheet4.xml" ContentType="application/vnd.openxmlformats-officedocument.spreadsheetml.worksheet+xml"/>
  <Override PartName="/xl/worksheets/sheet5.xml" ContentType="application/vnd.openxmlformats-officedocument.spreadsheetml.worksheet+xml"/>
  <Override PartName="/xl/worksheets/sheet6.xml" ContentType="application/vnd.openxmlformats-officedocument.spreadsheetml.worksheet+xml"/>
  <Override PartName="/xl/worksheets/sheet7.xml" ContentType="application/vnd.openxmlformats-officedocument.spreadsheetml.worksheet+xml"/>
  <Override PartName="/xl/worksheets/sheet8.xml" ContentType="application/vnd.openxmlformats-officedocument.spreadsheetml.worksheet+xml"/>
  <Override PartName="/xl/worksheets/sheet9.xml" ContentType="application/vnd.openxmlformats-officedocument.spreadsheetml.worksheet+xml"/>
  <Override PartName="/xl/worksheets/sheet10.xml" ContentType="application/vnd.openxmlformats-officedocument.spreadsheetml.worksheet+xml"/>
  <Override PartName="/xl/worksheets/sheet11.xml" ContentType="application/vnd.openxmlformats-officedocument.spreadsheetml.worksheet+xml"/>
  <Override PartName="/xl/workbook.xml" ContentType="application/vnd.openxmlformats-officedocument.spreadsheetml.sheet.main+xml"/>
  <Override PartName="/xl/theme/theme1.xml" ContentType="application/vnd.openxmlformats-officedocument.theme+xml"/>
  <Override PartName="/xl/comments3.xml" ContentType="application/vnd.openxmlformats-officedocument.spreadsheetml.comments+xml"/>
  <Override PartName="/xl/sharedStrings.xml" ContentType="application/vnd.openxmlformats-officedocument.spreadsheetml.sharedStrings+xml"/>
  <Override PartName="/xl/pivotTables/pivotTable1.xml" ContentType="application/vnd.openxmlformats-officedocument.spreadsheetml.pivotTable+xml"/>
  <Override PartName="/xl/pivotCache/pivotCacheDefinition1.xml" ContentType="application/vnd.openxmlformats-officedocument.spreadsheetml.pivotCacheDefinition+xml"/>
  <Override PartName="/xl/pivotCache/pivotCacheRecords1.xml" ContentType="application/vnd.openxmlformats-officedocument.spreadsheetml.pivotCacheRecords+xml"/>
</Types>
</file>

<file path=_rels/.rels><?xml version="1.0" encoding="UTF-8"?>
<Relationships xmlns="http://schemas.openxmlformats.org/package/2006/relationships"><Relationship Id="rId1" Type="http://schemas.openxmlformats.org/officeDocument/2006/relationships/officeDocument" Target="xl/workbook.xml"/><Relationship Id="rId2" Type="http://schemas.openxmlformats.org/package/2006/relationships/metadata/core-properties" Target="docProps/core.xml"/><Relationship Id="rId3" Type="http://schemas.openxmlformats.org/officeDocument/2006/relationships/extended-properties" Target="docProps/app.xml"/><Relationship Id="rId4" Type="http://schemas.openxmlformats.org/officeDocument/2006/relationships/custom-properties" Target="docProps/custom.xml"/>
</Relationships>
</file>

<file path=xl/workbook.xml><?xml version="1.0" encoding="utf-8"?>
<workbook xmlns="http://schemas.openxmlformats.org/spreadsheetml/2006/main" xmlns:r="http://schemas.openxmlformats.org/officeDocument/2006/relationships" xmlns:mc="http://schemas.openxmlformats.org/markup-compatibility/2006" xmlns:x15="http://schemas.microsoft.com/office/spreadsheetml/2010/11/main" xmlns:xr="http://schemas.microsoft.com/office/spreadsheetml/2014/revision" xmlns:xr6="http://schemas.microsoft.com/office/spreadsheetml/2016/revision6" xmlns:xr10="http://schemas.microsoft.com/office/spreadsheetml/2016/revision10" xmlns:xr2="http://schemas.microsoft.com/office/spreadsheetml/2015/revision2">
  <fileVersion appName="Calc"/>
  <workbookPr backupFile="false" showObjects="all" date1904="false"/>
  <workbookProtection/>
  <bookViews>
    <workbookView showHorizontalScroll="true" showVerticalScroll="true" showSheetTabs="true" xWindow="0" yWindow="0" windowWidth="16384" windowHeight="8192" tabRatio="500" firstSheet="0" activeTab="1"/>
  </bookViews>
  <sheets>
    <sheet name="РядыСтоек1" sheetId="1" state="visible" r:id="rId3"/>
    <sheet name="РядыЗаполнений1" sheetId="2" state="visible" r:id="rId4"/>
    <sheet name="РядыКреплений1" sheetId="3" state="visible" r:id="rId5"/>
    <sheet name="РядыОпор1" sheetId="4" state="visible" r:id="rId6"/>
    <sheet name="РядыРигелей1" sheetId="5" state="visible" r:id="rId7"/>
    <sheet name="ГраницыИзделий1" sheetId="6" state="visible" r:id="rId8"/>
    <sheet name="Изделия1" sheetId="7" state="visible" r:id="rId9"/>
    <sheet name="Размещение изделий на этажах1" sheetId="8" state="visible" r:id="rId10"/>
    <sheet name="Подсчёт изделий1" sheetId="9" state="visible" r:id="rId11"/>
    <sheet name="Сводная таблица_Подсчёт изделий" sheetId="10" state="visible" r:id="rId12"/>
    <sheet name="Data" sheetId="11" state="visible" r:id="rId13"/>
  </sheets>
  <definedNames>
    <definedName function="false" hidden="true" localSheetId="5" name="_xlnm._FilterDatabase" vbProcedure="false">ГраницыИзделий1!$A$1:$C$30</definedName>
    <definedName function="false" hidden="true" localSheetId="8" name="_xlnm._FilterDatabase" vbProcedure="false">'Подсчёт изделий1'!$A$1:$D$393</definedName>
    <definedName function="false" hidden="true" localSheetId="1" name="_xlnm._FilterDatabase" vbProcedure="false">РядыЗаполнений1!$A$1:$K$31</definedName>
    <definedName function="false" hidden="true" localSheetId="2" name="_xlnm._FilterDatabase" vbProcedure="false">РядыКреплений1!$A$1:$M$31</definedName>
    <definedName function="false" hidden="true" localSheetId="3" name="_xlnm._FilterDatabase" vbProcedure="false">РядыОпор1!$A$1:$K$31</definedName>
    <definedName function="false" hidden="true" localSheetId="4" name="_xlnm._FilterDatabase" vbProcedure="false">РядыРигелей1!$A$1:$Q$172</definedName>
    <definedName function="false" hidden="true" localSheetId="0" name="_xlnm._FilterDatabase" vbProcedure="false">РядыСтоек1!$B$1:$I$59</definedName>
  </definedNames>
  <calcPr iterateCount="100" refMode="A1" iterate="false" iterateDelta="0.001"/>
  <pivotCaches>
    <pivotCache cacheId="1" r:id="rId15"/>
  </pivotCaches>
  <extLst>
    <ext xmlns:loext="http://schemas.libreoffice.org/" uri="{7626C862-2A13-11E5-B345-FEFF819CDC9F}">
      <loext:extCalcPr stringRefSyntax="CalcA1"/>
    </ext>
  </extLst>
</workbook>
</file>

<file path=xl/comments2.xml><?xml version="1.0" encoding="utf-8"?>
<comments xmlns="http://schemas.openxmlformats.org/spreadsheetml/2006/main" xmlns:xdr="http://schemas.openxmlformats.org/drawingml/2006/spreadsheetDrawing">
  <authors>
    <author>&lt;анонимный&gt;</author>
  </authors>
  <commentList>
    <comment ref="B1" authorId="0">
      <text>
        <r>
          <rPr>
            <sz val="10"/>
            <rFont val="Arial"/>
            <family val="2"/>
            <charset val="204"/>
          </rPr>
          <t xml:space="preserve">Плоскость 5-1-5-6</t>
        </r>
      </text>
    </comment>
    <comment ref="C1" authorId="0">
      <text>
        <r>
          <rPr>
            <sz val="10"/>
            <rFont val="Arial"/>
            <family val="2"/>
            <charset val="204"/>
          </rPr>
          <t xml:space="preserve">Плоскость 5-1-5-6</t>
        </r>
      </text>
    </comment>
  </commentList>
</comments>
</file>

<file path=xl/comments3.xml><?xml version="1.0" encoding="utf-8"?>
<comments xmlns="http://schemas.openxmlformats.org/spreadsheetml/2006/main" xmlns:xdr="http://schemas.openxmlformats.org/drawingml/2006/spreadsheetDrawing">
  <authors>
    <author>&lt;анонимный&gt;</author>
  </authors>
  <commentList>
    <comment ref="A1" authorId="0">
      <text>
        <r>
          <rPr>
            <sz val="10"/>
            <rFont val="Arial"/>
            <family val="2"/>
            <charset val="204"/>
          </rPr>
          <t xml:space="preserve">Плоскость 5-1-5-6</t>
        </r>
      </text>
    </comment>
    <comment ref="D1" authorId="0">
      <text>
        <r>
          <rPr>
            <sz val="10"/>
            <rFont val="Arial"/>
            <family val="2"/>
            <charset val="204"/>
          </rPr>
          <t xml:space="preserve">Крепления ригеля</t>
        </r>
      </text>
    </comment>
    <comment ref="E1" authorId="0">
      <text>
        <r>
          <rPr>
            <sz val="10"/>
            <rFont val="Arial"/>
            <family val="2"/>
            <charset val="204"/>
          </rPr>
          <t xml:space="preserve">Крепления ригеля</t>
        </r>
      </text>
    </comment>
  </commentList>
</comments>
</file>

<file path=xl/sharedStrings.xml><?xml version="1.0" encoding="utf-8"?>
<sst xmlns="http://schemas.openxmlformats.org/spreadsheetml/2006/main" count="1898" uniqueCount="183">
  <si>
    <t xml:space="preserve">Плоскость</t>
  </si>
  <si>
    <t xml:space="preserve">тип</t>
  </si>
  <si>
    <t xml:space="preserve">стойка</t>
  </si>
  <si>
    <t xml:space="preserve">поЦентрам</t>
  </si>
  <si>
    <t xml:space="preserve">Установка</t>
  </si>
  <si>
    <t xml:space="preserve">ДопСтойка</t>
  </si>
  <si>
    <t xml:space="preserve">(5-1)-(5-6)</t>
  </si>
  <si>
    <t xml:space="preserve">5-2</t>
  </si>
  <si>
    <t xml:space="preserve">5-3</t>
  </si>
  <si>
    <t xml:space="preserve">5-4</t>
  </si>
  <si>
    <t xml:space="preserve">5-5</t>
  </si>
  <si>
    <t xml:space="preserve">5-6</t>
  </si>
  <si>
    <t xml:space="preserve">чертёж</t>
  </si>
  <si>
    <t xml:space="preserve">Стойка</t>
  </si>
  <si>
    <t xml:space="preserve">Зап1</t>
  </si>
  <si>
    <t xml:space="preserve">Зап1_20</t>
  </si>
  <si>
    <t xml:space="preserve">Зап2</t>
  </si>
  <si>
    <t xml:space="preserve">Зап2_57</t>
  </si>
  <si>
    <t xml:space="preserve">Межэтажка</t>
  </si>
  <si>
    <t xml:space="preserve">Базовый</t>
  </si>
  <si>
    <t xml:space="preserve">ЗапНизВерх</t>
  </si>
  <si>
    <t xml:space="preserve">Термомост</t>
  </si>
  <si>
    <t xml:space="preserve">ВС</t>
  </si>
  <si>
    <t xml:space="preserve">ххх</t>
  </si>
  <si>
    <t xml:space="preserve">Лист 1 мм</t>
  </si>
  <si>
    <t xml:space="preserve">Лист 2 мм</t>
  </si>
  <si>
    <t xml:space="preserve">Тип 10</t>
  </si>
  <si>
    <t xml:space="preserve">Тип 8</t>
  </si>
  <si>
    <t xml:space="preserve">3а</t>
  </si>
  <si>
    <t xml:space="preserve">НВС</t>
  </si>
  <si>
    <t xml:space="preserve">Продлить</t>
  </si>
  <si>
    <t xml:space="preserve">СН</t>
  </si>
  <si>
    <t xml:space="preserve">5а</t>
  </si>
  <si>
    <t xml:space="preserve">1а</t>
  </si>
  <si>
    <t xml:space="preserve">пл1_Зап1</t>
  </si>
  <si>
    <t xml:space="preserve">пл1_Зап2</t>
  </si>
  <si>
    <t xml:space="preserve">Креп1</t>
  </si>
  <si>
    <t xml:space="preserve">Креп1_20</t>
  </si>
  <si>
    <t xml:space="preserve">Подпорка1</t>
  </si>
  <si>
    <t xml:space="preserve">Подпорка1_20</t>
  </si>
  <si>
    <t xml:space="preserve">Креп2</t>
  </si>
  <si>
    <t xml:space="preserve">Креп2_57</t>
  </si>
  <si>
    <t xml:space="preserve">Подпорка2</t>
  </si>
  <si>
    <t xml:space="preserve">Подпорка2_57</t>
  </si>
  <si>
    <t xml:space="preserve">КрепМ</t>
  </si>
  <si>
    <t xml:space="preserve">КрепМ_Ус</t>
  </si>
  <si>
    <t xml:space="preserve">с2</t>
  </si>
  <si>
    <t xml:space="preserve">с3</t>
  </si>
  <si>
    <t xml:space="preserve">Подпорка</t>
  </si>
  <si>
    <t xml:space="preserve">с1</t>
  </si>
  <si>
    <t xml:space="preserve">с80</t>
  </si>
  <si>
    <t xml:space="preserve">с6</t>
  </si>
  <si>
    <t xml:space="preserve">ОпораМ</t>
  </si>
  <si>
    <t xml:space="preserve">ОпораМ_Ус</t>
  </si>
  <si>
    <t xml:space="preserve">Опора1</t>
  </si>
  <si>
    <t xml:space="preserve">Опора1_20</t>
  </si>
  <si>
    <t xml:space="preserve">Опора1_40</t>
  </si>
  <si>
    <t xml:space="preserve">Опора2</t>
  </si>
  <si>
    <t xml:space="preserve">Опора2_57</t>
  </si>
  <si>
    <t xml:space="preserve">о1лев</t>
  </si>
  <si>
    <t xml:space="preserve">о3лев</t>
  </si>
  <si>
    <t xml:space="preserve">о1</t>
  </si>
  <si>
    <t xml:space="preserve">о3</t>
  </si>
  <si>
    <t xml:space="preserve">о1ц</t>
  </si>
  <si>
    <t xml:space="preserve">о1прав</t>
  </si>
  <si>
    <t xml:space="preserve">о3прав</t>
  </si>
  <si>
    <t xml:space="preserve">о4</t>
  </si>
  <si>
    <t xml:space="preserve">о2</t>
  </si>
  <si>
    <t xml:space="preserve">о5</t>
  </si>
  <si>
    <t xml:space="preserve">Этаж</t>
  </si>
  <si>
    <t xml:space="preserve">НизСтойки</t>
  </si>
  <si>
    <t xml:space="preserve">ВысотаСтойки</t>
  </si>
  <si>
    <t xml:space="preserve">Зазор</t>
  </si>
  <si>
    <t xml:space="preserve">РядИзделия</t>
  </si>
  <si>
    <t xml:space="preserve">РядФасада</t>
  </si>
  <si>
    <t xml:space="preserve">ПоЦентрам</t>
  </si>
  <si>
    <t xml:space="preserve">ТипРядовСтоек</t>
  </si>
  <si>
    <t xml:space="preserve">ТипРядовЗаполнений</t>
  </si>
  <si>
    <t xml:space="preserve">ТипКреплений</t>
  </si>
  <si>
    <t xml:space="preserve">Подпорки</t>
  </si>
  <si>
    <t xml:space="preserve">Опоры</t>
  </si>
  <si>
    <t xml:space="preserve">Уровень ЧП</t>
  </si>
  <si>
    <t xml:space="preserve">Низ Окна</t>
  </si>
  <si>
    <t xml:space="preserve">РучкаотНизаОкна</t>
  </si>
  <si>
    <t xml:space="preserve">Ригель</t>
  </si>
  <si>
    <t xml:space="preserve">чп</t>
  </si>
  <si>
    <t xml:space="preserve">ОтЦентра</t>
  </si>
  <si>
    <t xml:space="preserve">низОкна</t>
  </si>
  <si>
    <t xml:space="preserve">ЛеваяСтойка</t>
  </si>
  <si>
    <t xml:space="preserve">ПраваяСтойка</t>
  </si>
  <si>
    <t xml:space="preserve">НомерИзделия</t>
  </si>
  <si>
    <t xml:space="preserve">с5</t>
  </si>
  <si>
    <t xml:space="preserve">с9</t>
  </si>
  <si>
    <t xml:space="preserve">с14</t>
  </si>
  <si>
    <t xml:space="preserve">с17</t>
  </si>
  <si>
    <t xml:space="preserve">с22</t>
  </si>
  <si>
    <t xml:space="preserve">с26</t>
  </si>
  <si>
    <t xml:space="preserve">Изделия на этаже</t>
  </si>
  <si>
    <t xml:space="preserve">ВН-53-К5(а)</t>
  </si>
  <si>
    <t xml:space="preserve">ВН-54-К5(а)</t>
  </si>
  <si>
    <t xml:space="preserve">ВН-55-К5(а)</t>
  </si>
  <si>
    <t xml:space="preserve">ВН-56-К5(а)</t>
  </si>
  <si>
    <t xml:space="preserve">ВН-57-К5(а)</t>
  </si>
  <si>
    <t xml:space="preserve">ВН-58-К5(а)</t>
  </si>
  <si>
    <t xml:space="preserve">ВН-29-К5(а)</t>
  </si>
  <si>
    <t xml:space="preserve">ВН-30-К5(а)</t>
  </si>
  <si>
    <t xml:space="preserve">ВН-31-К5(а)</t>
  </si>
  <si>
    <t xml:space="preserve">ВН-32-К5(а)</t>
  </si>
  <si>
    <t xml:space="preserve">ВН-33-К5(а)</t>
  </si>
  <si>
    <t xml:space="preserve">ВН-34-К5(а)</t>
  </si>
  <si>
    <t xml:space="preserve">ВН-35-К5(а)</t>
  </si>
  <si>
    <t xml:space="preserve">ВН-36-К5(а)</t>
  </si>
  <si>
    <t xml:space="preserve">ВН-37-К5(а)</t>
  </si>
  <si>
    <t xml:space="preserve">ВН-38-К5(а)</t>
  </si>
  <si>
    <t xml:space="preserve">ВН-39-К5(а)</t>
  </si>
  <si>
    <t xml:space="preserve">ВН-40-К5(а)</t>
  </si>
  <si>
    <t xml:space="preserve">ВН-47-К5(а)</t>
  </si>
  <si>
    <t xml:space="preserve">ВН-48-К5(а)</t>
  </si>
  <si>
    <t xml:space="preserve">ВН-49-К5(а)</t>
  </si>
  <si>
    <t xml:space="preserve">ВН-50-К5(а) -к1</t>
  </si>
  <si>
    <t xml:space="preserve">ВН-51-К5(а)</t>
  </si>
  <si>
    <t xml:space="preserve">ВН-52-К5(а)</t>
  </si>
  <si>
    <t xml:space="preserve">ВН-41-К5(а)</t>
  </si>
  <si>
    <t xml:space="preserve">ВН-42-К5(а)</t>
  </si>
  <si>
    <t xml:space="preserve">ВН-43-К5(а)</t>
  </si>
  <si>
    <t xml:space="preserve">ВН-44-К5(а)</t>
  </si>
  <si>
    <t xml:space="preserve">ВН-45-К5(а)</t>
  </si>
  <si>
    <t xml:space="preserve">ВН-46-К5(а)</t>
  </si>
  <si>
    <t xml:space="preserve">ВН-50-К5(а)</t>
  </si>
  <si>
    <t xml:space="preserve">ВН-25-К5(а)-1</t>
  </si>
  <si>
    <t xml:space="preserve">ВН-26-К5(а)-1</t>
  </si>
  <si>
    <t xml:space="preserve">ВН-27-К5(а)</t>
  </si>
  <si>
    <t xml:space="preserve">ВН-28-К5(а)</t>
  </si>
  <si>
    <t xml:space="preserve">ВН-26-К5(а)-2</t>
  </si>
  <si>
    <t xml:space="preserve">ВН-25-К5(а)-2</t>
  </si>
  <si>
    <t xml:space="preserve">Этажи с сопадающим набором устанавливаемых изделий</t>
  </si>
  <si>
    <t xml:space="preserve">Изделия</t>
  </si>
  <si>
    <t xml:space="preserve">Кол-во этажей</t>
  </si>
  <si>
    <t xml:space="preserve">нечётные 3,5,…,17,21,…,37,41,…,55</t>
  </si>
  <si>
    <t xml:space="preserve">чётные 4,6,…,18,22,…,38,42,…,56</t>
  </si>
  <si>
    <t xml:space="preserve">19,39</t>
  </si>
  <si>
    <t xml:space="preserve">РядИзделий</t>
  </si>
  <si>
    <t xml:space="preserve">Изделие</t>
  </si>
  <si>
    <t xml:space="preserve">Количество</t>
  </si>
  <si>
    <t xml:space="preserve">Сумма - Количество</t>
  </si>
  <si>
    <t xml:space="preserve">Итог Результат</t>
  </si>
  <si>
    <t xml:space="preserve">Заполнения</t>
  </si>
  <si>
    <t xml:space="preserve">Термомосты</t>
  </si>
  <si>
    <t xml:space="preserve">Крепление ригеля</t>
  </si>
  <si>
    <t xml:space="preserve">Подставка</t>
  </si>
  <si>
    <t xml:space="preserve">Ряды опор</t>
  </si>
  <si>
    <t xml:space="preserve">т0</t>
  </si>
  <si>
    <t xml:space="preserve">1б</t>
  </si>
  <si>
    <t xml:space="preserve">тСтойка</t>
  </si>
  <si>
    <t xml:space="preserve">т13</t>
  </si>
  <si>
    <t xml:space="preserve">3б</t>
  </si>
  <si>
    <t xml:space="preserve">т24</t>
  </si>
  <si>
    <t xml:space="preserve">с4</t>
  </si>
  <si>
    <t xml:space="preserve">о2лев</t>
  </si>
  <si>
    <t xml:space="preserve">т1</t>
  </si>
  <si>
    <t xml:space="preserve">с2ус</t>
  </si>
  <si>
    <t xml:space="preserve">о2прав</t>
  </si>
  <si>
    <t xml:space="preserve">5б</t>
  </si>
  <si>
    <t xml:space="preserve">пл2_Подпорка1</t>
  </si>
  <si>
    <t xml:space="preserve">т2</t>
  </si>
  <si>
    <t xml:space="preserve">6а</t>
  </si>
  <si>
    <t xml:space="preserve">пл2_Подпорка2</t>
  </si>
  <si>
    <t xml:space="preserve">т3</t>
  </si>
  <si>
    <t xml:space="preserve">с7</t>
  </si>
  <si>
    <t xml:space="preserve">6б</t>
  </si>
  <si>
    <t xml:space="preserve">пл2_Подпорка2_57</t>
  </si>
  <si>
    <t xml:space="preserve">т4</t>
  </si>
  <si>
    <t xml:space="preserve">пл2_Зап1</t>
  </si>
  <si>
    <t xml:space="preserve">пл2_Креп1</t>
  </si>
  <si>
    <t xml:space="preserve">7б</t>
  </si>
  <si>
    <t xml:space="preserve">пл2_Зап2</t>
  </si>
  <si>
    <t xml:space="preserve">пл2_Креп2</t>
  </si>
  <si>
    <t xml:space="preserve">пл2_Зап2_57</t>
  </si>
  <si>
    <t xml:space="preserve">пл2_КрепМ</t>
  </si>
  <si>
    <t xml:space="preserve">пл2_Межэтажка</t>
  </si>
  <si>
    <t xml:space="preserve">пл2_КрепМУс</t>
  </si>
  <si>
    <t xml:space="preserve">пл2_Базовый</t>
  </si>
  <si>
    <t xml:space="preserve">пл2_ЗапНизВерх</t>
  </si>
</sst>
</file>

<file path=xl/styles.xml><?xml version="1.0" encoding="utf-8"?>
<styleSheet xmlns="http://schemas.openxmlformats.org/spreadsheetml/2006/main">
  <numFmts count="1">
    <numFmt numFmtId="164" formatCode="General"/>
  </numFmts>
  <fonts count="6">
    <font>
      <sz val="10"/>
      <name val="Arial"/>
      <family val="2"/>
      <charset val="204"/>
    </font>
    <font>
      <sz val="10"/>
      <name val="Arial"/>
      <family val="0"/>
      <charset val="204"/>
    </font>
    <font>
      <sz val="10"/>
      <name val="Arial"/>
      <family val="0"/>
      <charset val="204"/>
    </font>
    <font>
      <sz val="10"/>
      <name val="Arial"/>
      <family val="0"/>
      <charset val="204"/>
    </font>
    <font>
      <b val="true"/>
      <sz val="10"/>
      <name val="Arial"/>
      <family val="2"/>
      <charset val="204"/>
    </font>
    <font>
      <b val="true"/>
      <i val="true"/>
      <sz val="10"/>
      <name val="Arial"/>
      <family val="2"/>
      <charset val="204"/>
    </font>
  </fonts>
  <fills count="22">
    <fill>
      <patternFill patternType="none"/>
    </fill>
    <fill>
      <patternFill patternType="gray125"/>
    </fill>
    <fill>
      <patternFill patternType="solid">
        <fgColor rgb="FFDDDDDD"/>
        <bgColor rgb="FFDEDCE6"/>
      </patternFill>
    </fill>
    <fill>
      <patternFill patternType="solid">
        <fgColor rgb="FFDEE6EF"/>
        <bgColor rgb="FFDEE7E5"/>
      </patternFill>
    </fill>
    <fill>
      <patternFill patternType="solid">
        <fgColor rgb="FFDEDCE6"/>
        <bgColor rgb="FFDDDDDD"/>
      </patternFill>
    </fill>
    <fill>
      <patternFill patternType="solid">
        <fgColor rgb="FFFF8000"/>
        <bgColor rgb="FFFF8080"/>
      </patternFill>
    </fill>
    <fill>
      <patternFill patternType="solid">
        <fgColor rgb="FFFFF5CE"/>
        <bgColor rgb="FFEEEEEE"/>
      </patternFill>
    </fill>
    <fill>
      <patternFill patternType="solid">
        <fgColor rgb="FFAFD095"/>
        <bgColor rgb="FFB4C7DC"/>
      </patternFill>
    </fill>
    <fill>
      <patternFill patternType="solid">
        <fgColor rgb="FFFFDBB6"/>
        <bgColor rgb="FFFFD7D7"/>
      </patternFill>
    </fill>
    <fill>
      <patternFill patternType="solid">
        <fgColor rgb="FFFFB66C"/>
        <bgColor rgb="FFE0C2CD"/>
      </patternFill>
    </fill>
    <fill>
      <patternFill patternType="solid">
        <fgColor rgb="FFFF3838"/>
        <bgColor rgb="FFFF0000"/>
      </patternFill>
    </fill>
    <fill>
      <patternFill patternType="solid">
        <fgColor rgb="FF729FCF"/>
        <bgColor rgb="FF5983B0"/>
      </patternFill>
    </fill>
    <fill>
      <patternFill patternType="solid">
        <fgColor rgb="FFFFFF00"/>
        <bgColor rgb="FFFFFF00"/>
      </patternFill>
    </fill>
    <fill>
      <patternFill patternType="solid">
        <fgColor rgb="FFFF0000"/>
        <bgColor rgb="FFFF3838"/>
      </patternFill>
    </fill>
    <fill>
      <patternFill patternType="solid">
        <fgColor rgb="FFEEEEEE"/>
        <bgColor rgb="FFDEE7E5"/>
      </patternFill>
    </fill>
    <fill>
      <patternFill patternType="solid">
        <fgColor rgb="FF81D41A"/>
        <bgColor rgb="FFAFD095"/>
      </patternFill>
    </fill>
    <fill>
      <patternFill patternType="solid">
        <fgColor rgb="FFB4C7DC"/>
        <bgColor rgb="FFAFD095"/>
      </patternFill>
    </fill>
    <fill>
      <patternFill patternType="solid">
        <fgColor rgb="FFFFD7D7"/>
        <bgColor rgb="FFFFDBB6"/>
      </patternFill>
    </fill>
    <fill>
      <patternFill patternType="solid">
        <fgColor rgb="FF5983B0"/>
        <bgColor rgb="FF808080"/>
      </patternFill>
    </fill>
    <fill>
      <patternFill patternType="solid">
        <fgColor rgb="FFDEE7E5"/>
        <bgColor rgb="FFDEE6EF"/>
      </patternFill>
    </fill>
    <fill>
      <patternFill patternType="solid">
        <fgColor rgb="FFE0C2CD"/>
        <bgColor rgb="FFDDDDDD"/>
      </patternFill>
    </fill>
    <fill>
      <patternFill patternType="solid">
        <fgColor rgb="FFA1467E"/>
        <bgColor rgb="FF993366"/>
      </patternFill>
    </fill>
  </fills>
  <borders count="11">
    <border diagonalUp="false" diagonalDown="false">
      <left/>
      <right/>
      <top/>
      <bottom/>
      <diagonal/>
    </border>
    <border diagonalUp="false" diagonalDown="false">
      <left style="thin"/>
      <right style="thin"/>
      <top style="thin"/>
      <bottom style="thin"/>
      <diagonal/>
    </border>
    <border diagonalUp="false" diagonalDown="false">
      <left style="medium"/>
      <right style="thin"/>
      <top style="medium"/>
      <bottom style="thin"/>
      <diagonal/>
    </border>
    <border diagonalUp="false" diagonalDown="false">
      <left style="thin"/>
      <right style="medium"/>
      <top style="medium"/>
      <bottom style="thin"/>
      <diagonal/>
    </border>
    <border diagonalUp="false" diagonalDown="false">
      <left style="medium"/>
      <right style="thin"/>
      <top style="thin"/>
      <bottom/>
      <diagonal/>
    </border>
    <border diagonalUp="false" diagonalDown="false">
      <left style="thin"/>
      <right style="medium"/>
      <top style="thin"/>
      <bottom/>
      <diagonal/>
    </border>
    <border diagonalUp="false" diagonalDown="false">
      <left style="medium"/>
      <right style="thin"/>
      <top/>
      <bottom/>
      <diagonal/>
    </border>
    <border diagonalUp="false" diagonalDown="false">
      <left style="thin"/>
      <right style="medium"/>
      <top/>
      <bottom/>
      <diagonal/>
    </border>
    <border diagonalUp="false" diagonalDown="false">
      <left style="thin"/>
      <right style="medium"/>
      <top/>
      <bottom style="thin"/>
      <diagonal/>
    </border>
    <border diagonalUp="false" diagonalDown="false">
      <left style="medium"/>
      <right style="thin"/>
      <top style="thin"/>
      <bottom style="medium"/>
      <diagonal/>
    </border>
    <border diagonalUp="false" diagonalDown="false">
      <left style="thin"/>
      <right style="medium"/>
      <top style="thin"/>
      <bottom style="medium"/>
      <diagonal/>
    </border>
  </borders>
  <cellStyleXfs count="26">
    <xf numFmtId="164" fontId="0" fillId="0" borderId="0" applyFont="true" applyBorder="true" applyAlignment="true" applyProtection="true">
      <alignment horizontal="general" vertical="bottom" textRotation="0" wrapText="false" indent="0" shrinkToFit="false"/>
      <protection locked="true" hidden="false"/>
    </xf>
    <xf numFmtId="0" fontId="1" fillId="0" borderId="0" applyFont="true" applyBorder="false" applyAlignment="false" applyProtection="false"/>
    <xf numFmtId="0" fontId="1" fillId="0" borderId="0" applyFont="true" applyBorder="false" applyAlignment="false" applyProtection="false"/>
    <xf numFmtId="0" fontId="2" fillId="0" borderId="0" applyFont="true" applyBorder="false" applyAlignment="false" applyProtection="false"/>
    <xf numFmtId="0" fontId="2" fillId="0" borderId="0" applyFont="true" applyBorder="false" applyAlignment="false" applyProtection="false"/>
    <xf numFmtId="0" fontId="0" fillId="0" borderId="0" applyFont="true" applyBorder="false" applyAlignment="false" applyProtection="false"/>
    <xf numFmtId="0" fontId="0" fillId="0" borderId="0" applyFont="true" applyBorder="false" applyAlignment="false" applyProtection="false"/>
    <xf numFmtId="0" fontId="0" fillId="0" borderId="0" applyFont="true" applyBorder="false" applyAlignment="false" applyProtection="false"/>
    <xf numFmtId="0" fontId="0" fillId="0" borderId="0" applyFont="true" applyBorder="false" applyAlignment="false" applyProtection="false"/>
    <xf numFmtId="0" fontId="0" fillId="0" borderId="0" applyFont="true" applyBorder="false" applyAlignment="false" applyProtection="false"/>
    <xf numFmtId="0" fontId="0" fillId="0" borderId="0" applyFont="true" applyBorder="false" applyAlignment="false" applyProtection="false"/>
    <xf numFmtId="0" fontId="0" fillId="0" borderId="0" applyFont="true" applyBorder="false" applyAlignment="false" applyProtection="false"/>
    <xf numFmtId="0" fontId="0" fillId="0" borderId="0" applyFont="true" applyBorder="false" applyAlignment="false" applyProtection="false"/>
    <xf numFmtId="0" fontId="0" fillId="0" borderId="0" applyFont="true" applyBorder="false" applyAlignment="false" applyProtection="false"/>
    <xf numFmtId="0" fontId="0" fillId="0" borderId="0" applyFont="true" applyBorder="false" applyAlignment="false" applyProtection="false"/>
    <xf numFmtId="43" fontId="1" fillId="0" borderId="0" applyFont="true" applyBorder="false" applyAlignment="false" applyProtection="false"/>
    <xf numFmtId="41" fontId="1" fillId="0" borderId="0" applyFont="true" applyBorder="false" applyAlignment="false" applyProtection="false"/>
    <xf numFmtId="44" fontId="1" fillId="0" borderId="0" applyFont="true" applyBorder="false" applyAlignment="false" applyProtection="false"/>
    <xf numFmtId="42" fontId="1" fillId="0" borderId="0" applyFont="true" applyBorder="false" applyAlignment="false" applyProtection="false"/>
    <xf numFmtId="9" fontId="1" fillId="0" borderId="0" applyFont="true" applyBorder="false" applyAlignment="false" applyProtection="false"/>
    <xf numFmtId="164" fontId="4" fillId="0" borderId="0" applyFont="true" applyBorder="false" applyAlignment="true" applyProtection="false">
      <alignment horizontal="left" vertical="bottom" textRotation="0" wrapText="false" indent="0" shrinkToFit="false"/>
    </xf>
    <xf numFmtId="164" fontId="0" fillId="0" borderId="0" applyFont="true" applyBorder="false" applyAlignment="true" applyProtection="false">
      <alignment horizontal="general" vertical="bottom" textRotation="0" wrapText="false" indent="0" shrinkToFit="false"/>
    </xf>
    <xf numFmtId="164" fontId="0" fillId="0" borderId="0" applyFont="true" applyBorder="false" applyAlignment="true" applyProtection="false">
      <alignment horizontal="left" vertical="bottom" textRotation="0" wrapText="false" indent="0" shrinkToFit="false"/>
    </xf>
    <xf numFmtId="164" fontId="0" fillId="0" borderId="0" applyFont="true" applyBorder="false" applyAlignment="true" applyProtection="false">
      <alignment horizontal="general" vertical="bottom" textRotation="0" wrapText="false" indent="0" shrinkToFit="false"/>
    </xf>
    <xf numFmtId="164" fontId="4" fillId="0" borderId="0" applyFont="true" applyBorder="false" applyAlignment="true" applyProtection="false">
      <alignment horizontal="general" vertical="bottom" textRotation="0" wrapText="false" indent="0" shrinkToFit="false"/>
    </xf>
    <xf numFmtId="164" fontId="0" fillId="0" borderId="0" applyFont="true" applyBorder="false" applyAlignment="true" applyProtection="false">
      <alignment horizontal="general" vertical="bottom" textRotation="0" wrapText="false" indent="0" shrinkToFit="false"/>
    </xf>
  </cellStyleXfs>
  <cellXfs count="66">
    <xf numFmtId="164" fontId="0" fillId="0" borderId="0" xfId="0" applyFont="false" applyBorder="false" applyAlignment="false" applyProtection="false">
      <alignment horizontal="general" vertical="bottom" textRotation="0" wrapText="false" indent="0" shrinkToFit="false"/>
      <protection locked="true" hidden="false"/>
    </xf>
    <xf numFmtId="164" fontId="0" fillId="0" borderId="0" xfId="0" applyFont="false" applyBorder="false" applyAlignment="true" applyProtection="true">
      <alignment horizontal="center" vertical="bottom" textRotation="0" wrapText="false" indent="0" shrinkToFit="false"/>
      <protection locked="true" hidden="false"/>
    </xf>
    <xf numFmtId="164" fontId="0" fillId="2" borderId="0" xfId="0" applyFont="true" applyBorder="false" applyAlignment="true" applyProtection="true">
      <alignment horizontal="general" vertical="bottom" textRotation="0" wrapText="false" indent="0" shrinkToFit="false"/>
      <protection locked="true" hidden="false"/>
    </xf>
    <xf numFmtId="164" fontId="0" fillId="2" borderId="0" xfId="0" applyFont="true" applyBorder="false" applyAlignment="true" applyProtection="true">
      <alignment horizontal="center" vertical="bottom" textRotation="0" wrapText="false" indent="0" shrinkToFit="false"/>
      <protection locked="true" hidden="false"/>
    </xf>
    <xf numFmtId="164" fontId="0" fillId="3" borderId="0" xfId="0" applyFont="true" applyBorder="false" applyAlignment="true" applyProtection="true">
      <alignment horizontal="general" vertical="bottom" textRotation="0" wrapText="false" indent="0" shrinkToFit="false"/>
      <protection locked="true" hidden="false"/>
    </xf>
    <xf numFmtId="164" fontId="0" fillId="3" borderId="0" xfId="0" applyFont="false" applyBorder="false" applyAlignment="true" applyProtection="true">
      <alignment horizontal="center" vertical="bottom" textRotation="0" wrapText="false" indent="0" shrinkToFit="false"/>
      <protection locked="true" hidden="false"/>
    </xf>
    <xf numFmtId="164" fontId="0" fillId="0" borderId="0" xfId="0" applyFont="true" applyBorder="false" applyAlignment="true" applyProtection="true">
      <alignment horizontal="general" vertical="bottom" textRotation="0" wrapText="false" indent="0" shrinkToFit="false"/>
      <protection locked="true" hidden="false"/>
    </xf>
    <xf numFmtId="164" fontId="0" fillId="4" borderId="0" xfId="0" applyFont="true" applyBorder="false" applyAlignment="true" applyProtection="true">
      <alignment horizontal="general" vertical="bottom" textRotation="0" wrapText="false" indent="0" shrinkToFit="false"/>
      <protection locked="true" hidden="false"/>
    </xf>
    <xf numFmtId="164" fontId="0" fillId="5" borderId="0" xfId="0" applyFont="true" applyBorder="false" applyAlignment="true" applyProtection="true">
      <alignment horizontal="general" vertical="bottom" textRotation="0" wrapText="false" indent="0" shrinkToFit="false"/>
      <protection locked="true" hidden="false"/>
    </xf>
    <xf numFmtId="164" fontId="0" fillId="6" borderId="0" xfId="0" applyFont="true" applyBorder="false" applyAlignment="true" applyProtection="true">
      <alignment horizontal="general" vertical="bottom" textRotation="0" wrapText="false" indent="0" shrinkToFit="false"/>
      <protection locked="true" hidden="false"/>
    </xf>
    <xf numFmtId="164" fontId="0" fillId="6" borderId="0" xfId="0" applyFont="false" applyBorder="false" applyAlignment="true" applyProtection="true">
      <alignment horizontal="center" vertical="bottom" textRotation="0" wrapText="false" indent="0" shrinkToFit="false"/>
      <protection locked="true" hidden="false"/>
    </xf>
    <xf numFmtId="164" fontId="0" fillId="0" borderId="0" xfId="0" applyFont="false" applyBorder="false" applyAlignment="true" applyProtection="true">
      <alignment horizontal="general" vertical="bottom" textRotation="0" wrapText="false" indent="0" shrinkToFit="false"/>
      <protection locked="true" hidden="false"/>
    </xf>
    <xf numFmtId="164" fontId="0" fillId="0" borderId="0" xfId="0" applyFont="true" applyBorder="false" applyAlignment="true" applyProtection="true">
      <alignment horizontal="center" vertical="bottom" textRotation="0" wrapText="false" indent="0" shrinkToFit="false"/>
      <protection locked="true" hidden="false"/>
    </xf>
    <xf numFmtId="164" fontId="0" fillId="7" borderId="0" xfId="0" applyFont="true" applyBorder="false" applyAlignment="true" applyProtection="true">
      <alignment horizontal="center" vertical="bottom" textRotation="0" wrapText="false" indent="0" shrinkToFit="false"/>
      <protection locked="true" hidden="false"/>
    </xf>
    <xf numFmtId="164" fontId="0" fillId="8" borderId="0" xfId="0" applyFont="true" applyBorder="false" applyAlignment="true" applyProtection="true">
      <alignment horizontal="center" vertical="bottom" textRotation="0" wrapText="false" indent="0" shrinkToFit="false"/>
      <protection locked="true" hidden="false"/>
    </xf>
    <xf numFmtId="164" fontId="0" fillId="9" borderId="0" xfId="0" applyFont="true" applyBorder="false" applyAlignment="true" applyProtection="true">
      <alignment horizontal="center" vertical="bottom" textRotation="0" wrapText="false" indent="0" shrinkToFit="false"/>
      <protection locked="true" hidden="false"/>
    </xf>
    <xf numFmtId="164" fontId="0" fillId="6" borderId="0" xfId="0" applyFont="true" applyBorder="false" applyAlignment="true" applyProtection="true">
      <alignment horizontal="center" vertical="bottom" textRotation="0" wrapText="false" indent="0" shrinkToFit="false"/>
      <protection locked="true" hidden="false"/>
    </xf>
    <xf numFmtId="164" fontId="0" fillId="10" borderId="0" xfId="0" applyFont="true" applyBorder="false" applyAlignment="true" applyProtection="true">
      <alignment horizontal="center" vertical="bottom" textRotation="0" wrapText="false" indent="0" shrinkToFit="false"/>
      <protection locked="true" hidden="false"/>
    </xf>
    <xf numFmtId="164" fontId="0" fillId="11" borderId="0" xfId="0" applyFont="true" applyBorder="false" applyAlignment="true" applyProtection="true">
      <alignment horizontal="center" vertical="bottom" textRotation="0" wrapText="false" indent="0" shrinkToFit="false"/>
      <protection locked="true" hidden="false"/>
    </xf>
    <xf numFmtId="164" fontId="0" fillId="3" borderId="0" xfId="0" applyFont="true" applyBorder="false" applyAlignment="true" applyProtection="true">
      <alignment horizontal="center" vertical="bottom" textRotation="0" wrapText="false" indent="0" shrinkToFit="false"/>
      <protection locked="true" hidden="false"/>
    </xf>
    <xf numFmtId="164" fontId="0" fillId="12" borderId="0" xfId="0" applyFont="true" applyBorder="false" applyAlignment="true" applyProtection="true">
      <alignment horizontal="center" vertical="bottom" textRotation="0" wrapText="false" indent="0" shrinkToFit="false"/>
      <protection locked="true" hidden="false"/>
    </xf>
    <xf numFmtId="164" fontId="0" fillId="13" borderId="0" xfId="0" applyFont="true" applyBorder="false" applyAlignment="true" applyProtection="true">
      <alignment horizontal="center" vertical="bottom" textRotation="0" wrapText="false" indent="0" shrinkToFit="false"/>
      <protection locked="true" hidden="false"/>
    </xf>
    <xf numFmtId="164" fontId="0" fillId="14" borderId="0" xfId="0" applyFont="true" applyBorder="false" applyAlignment="true" applyProtection="true">
      <alignment horizontal="general" vertical="bottom" textRotation="0" wrapText="false" indent="0" shrinkToFit="false"/>
      <protection locked="true" hidden="false"/>
    </xf>
    <xf numFmtId="164" fontId="0" fillId="14" borderId="0" xfId="0" applyFont="false" applyBorder="false" applyAlignment="true" applyProtection="true">
      <alignment horizontal="center" vertical="bottom" textRotation="0" wrapText="false" indent="0" shrinkToFit="false"/>
      <protection locked="true" hidden="false"/>
    </xf>
    <xf numFmtId="164" fontId="0" fillId="9" borderId="0" xfId="0" applyFont="true" applyBorder="false" applyAlignment="true" applyProtection="true">
      <alignment horizontal="general" vertical="bottom" textRotation="0" wrapText="false" indent="0" shrinkToFit="false"/>
      <protection locked="true" hidden="false"/>
    </xf>
    <xf numFmtId="164" fontId="0" fillId="15" borderId="0" xfId="0" applyFont="true" applyBorder="false" applyAlignment="true" applyProtection="true">
      <alignment horizontal="center" vertical="bottom" textRotation="0" wrapText="false" indent="0" shrinkToFit="false"/>
      <protection locked="true" hidden="false"/>
    </xf>
    <xf numFmtId="164" fontId="0" fillId="16" borderId="0" xfId="0" applyFont="true" applyBorder="false" applyAlignment="true" applyProtection="true">
      <alignment horizontal="center" vertical="bottom" textRotation="0" wrapText="false" indent="0" shrinkToFit="false"/>
      <protection locked="true" hidden="false"/>
    </xf>
    <xf numFmtId="164" fontId="0" fillId="8" borderId="0" xfId="0" applyFont="true" applyBorder="false" applyAlignment="true" applyProtection="true">
      <alignment horizontal="general" vertical="bottom" textRotation="0" wrapText="false" indent="0" shrinkToFit="false"/>
      <protection locked="true" hidden="false"/>
    </xf>
    <xf numFmtId="164" fontId="0" fillId="17" borderId="0" xfId="0" applyFont="true" applyBorder="false" applyAlignment="true" applyProtection="true">
      <alignment horizontal="general" vertical="bottom" textRotation="0" wrapText="false" indent="0" shrinkToFit="false"/>
      <protection locked="true" hidden="false"/>
    </xf>
    <xf numFmtId="164" fontId="0" fillId="18" borderId="0" xfId="0" applyFont="true" applyBorder="false" applyAlignment="true" applyProtection="true">
      <alignment horizontal="general" vertical="bottom" textRotation="0" wrapText="false" indent="0" shrinkToFit="false"/>
      <protection locked="true" hidden="false"/>
    </xf>
    <xf numFmtId="164" fontId="5" fillId="2" borderId="1" xfId="0" applyFont="true" applyBorder="true" applyAlignment="true" applyProtection="true">
      <alignment horizontal="center" vertical="bottom" textRotation="0" wrapText="false" indent="0" shrinkToFit="false"/>
      <protection locked="true" hidden="false"/>
    </xf>
    <xf numFmtId="164" fontId="0" fillId="18" borderId="0" xfId="0" applyFont="true" applyBorder="false" applyAlignment="true" applyProtection="true">
      <alignment horizontal="center" vertical="bottom" textRotation="0" wrapText="false" indent="0" shrinkToFit="false"/>
      <protection locked="true" hidden="false"/>
    </xf>
    <xf numFmtId="164" fontId="0" fillId="0" borderId="1" xfId="0" applyFont="false" applyBorder="true" applyAlignment="true" applyProtection="true">
      <alignment horizontal="general" vertical="bottom" textRotation="0" wrapText="false" indent="0" shrinkToFit="false"/>
      <protection locked="true" hidden="false"/>
    </xf>
    <xf numFmtId="164" fontId="0" fillId="16" borderId="1" xfId="0" applyFont="true" applyBorder="true" applyAlignment="true" applyProtection="true">
      <alignment horizontal="general" vertical="bottom" textRotation="0" wrapText="false" indent="0" shrinkToFit="false"/>
      <protection locked="true" hidden="false"/>
    </xf>
    <xf numFmtId="164" fontId="0" fillId="16" borderId="1" xfId="0" applyFont="false" applyBorder="true" applyAlignment="true" applyProtection="true">
      <alignment horizontal="center" vertical="bottom" textRotation="0" wrapText="false" indent="0" shrinkToFit="false"/>
      <protection locked="true" hidden="false"/>
    </xf>
    <xf numFmtId="164" fontId="0" fillId="19" borderId="0" xfId="0" applyFont="true" applyBorder="false" applyAlignment="true" applyProtection="true">
      <alignment horizontal="general" vertical="bottom" textRotation="0" wrapText="false" indent="0" shrinkToFit="false"/>
      <protection locked="true" hidden="false"/>
    </xf>
    <xf numFmtId="164" fontId="0" fillId="14" borderId="0" xfId="0" applyFont="false" applyBorder="false" applyAlignment="true" applyProtection="true">
      <alignment horizontal="general" vertical="bottom" textRotation="0" wrapText="false" indent="0" shrinkToFit="false"/>
      <protection locked="true" hidden="false"/>
    </xf>
    <xf numFmtId="164" fontId="0" fillId="17" borderId="0" xfId="0" applyFont="false" applyBorder="false" applyAlignment="true" applyProtection="true">
      <alignment horizontal="general" vertical="bottom" textRotation="0" wrapText="false" indent="0" shrinkToFit="false"/>
      <protection locked="true" hidden="false"/>
    </xf>
    <xf numFmtId="164" fontId="0" fillId="6" borderId="0" xfId="0" applyFont="false" applyBorder="false" applyAlignment="true" applyProtection="true">
      <alignment horizontal="general" vertical="bottom" textRotation="0" wrapText="false" indent="0" shrinkToFit="false"/>
      <protection locked="true" hidden="false"/>
    </xf>
    <xf numFmtId="164" fontId="0" fillId="20" borderId="0" xfId="0" applyFont="true" applyBorder="false" applyAlignment="true" applyProtection="true">
      <alignment horizontal="general" vertical="bottom" textRotation="0" wrapText="false" indent="0" shrinkToFit="false"/>
      <protection locked="true" hidden="false"/>
    </xf>
    <xf numFmtId="164" fontId="0" fillId="20" borderId="0" xfId="0" applyFont="true" applyBorder="false" applyAlignment="true" applyProtection="true">
      <alignment horizontal="center" vertical="bottom" textRotation="0" wrapText="false" indent="0" shrinkToFit="false"/>
      <protection locked="true" hidden="false"/>
    </xf>
    <xf numFmtId="164" fontId="0" fillId="9" borderId="0" xfId="0" applyFont="false" applyBorder="false" applyAlignment="true" applyProtection="true">
      <alignment horizontal="general" vertical="bottom" textRotation="0" wrapText="false" indent="0" shrinkToFit="false"/>
      <protection locked="true" hidden="false"/>
    </xf>
    <xf numFmtId="164" fontId="0" fillId="17" borderId="0" xfId="0" applyFont="false" applyBorder="false" applyAlignment="true" applyProtection="true">
      <alignment horizontal="center" vertical="bottom" textRotation="0" wrapText="false" indent="0" shrinkToFit="false"/>
      <protection locked="true" hidden="false"/>
    </xf>
    <xf numFmtId="164" fontId="0" fillId="17" borderId="0" xfId="0" applyFont="true" applyBorder="false" applyAlignment="true" applyProtection="true">
      <alignment horizontal="general" vertical="bottom" textRotation="0" wrapText="true" indent="0" shrinkToFit="false"/>
      <protection locked="true" hidden="false"/>
    </xf>
    <xf numFmtId="164" fontId="0" fillId="0" borderId="0" xfId="0" applyFont="true" applyBorder="false" applyAlignment="true" applyProtection="true">
      <alignment horizontal="general" vertical="bottom" textRotation="0" wrapText="true" indent="0" shrinkToFit="false"/>
      <protection locked="true" hidden="false"/>
    </xf>
    <xf numFmtId="164" fontId="0" fillId="12" borderId="0" xfId="0" applyFont="false" applyBorder="false" applyAlignment="true" applyProtection="true">
      <alignment horizontal="center" vertical="bottom" textRotation="0" wrapText="false" indent="0" shrinkToFit="false"/>
      <protection locked="true" hidden="false"/>
    </xf>
    <xf numFmtId="164" fontId="0" fillId="12" borderId="0" xfId="0" applyFont="true" applyBorder="false" applyAlignment="true" applyProtection="true">
      <alignment horizontal="general" vertical="bottom" textRotation="0" wrapText="false" indent="0" shrinkToFit="false"/>
      <protection locked="true" hidden="false"/>
    </xf>
    <xf numFmtId="164" fontId="0" fillId="21" borderId="0" xfId="0" applyFont="true" applyBorder="false" applyAlignment="true" applyProtection="true">
      <alignment horizontal="general" vertical="bottom" textRotation="0" wrapText="false" indent="0" shrinkToFit="false"/>
      <protection locked="true" hidden="false"/>
    </xf>
    <xf numFmtId="164" fontId="0" fillId="15" borderId="0" xfId="0" applyFont="false" applyBorder="false" applyAlignment="true" applyProtection="true">
      <alignment horizontal="center" vertical="bottom" textRotation="0" wrapText="false" indent="0" shrinkToFit="false"/>
      <protection locked="true" hidden="false"/>
    </xf>
    <xf numFmtId="164" fontId="0" fillId="15" borderId="0" xfId="0" applyFont="true" applyBorder="false" applyAlignment="true" applyProtection="true">
      <alignment horizontal="general" vertical="bottom" textRotation="0" wrapText="false" indent="0" shrinkToFit="false"/>
      <protection locked="true" hidden="false"/>
    </xf>
    <xf numFmtId="164" fontId="0" fillId="10" borderId="0" xfId="0" applyFont="true" applyBorder="false" applyAlignment="true" applyProtection="true">
      <alignment horizontal="general" vertical="bottom" textRotation="0" wrapText="false" indent="0" shrinkToFit="false"/>
      <protection locked="true" hidden="false"/>
    </xf>
    <xf numFmtId="164" fontId="0" fillId="11" borderId="0" xfId="0" applyFont="false" applyBorder="false" applyAlignment="true" applyProtection="true">
      <alignment horizontal="center" vertical="bottom" textRotation="0" wrapText="false" indent="0" shrinkToFit="false"/>
      <protection locked="true" hidden="false"/>
    </xf>
    <xf numFmtId="164" fontId="0" fillId="11" borderId="0" xfId="0" applyFont="true" applyBorder="false" applyAlignment="true" applyProtection="true">
      <alignment horizontal="general" vertical="bottom" textRotation="0" wrapText="true" indent="0" shrinkToFit="false"/>
      <protection locked="true" hidden="false"/>
    </xf>
    <xf numFmtId="164" fontId="5" fillId="2" borderId="0" xfId="0" applyFont="true" applyBorder="false" applyAlignment="true" applyProtection="true">
      <alignment horizontal="center" vertical="bottom" textRotation="0" wrapText="false" indent="0" shrinkToFit="false"/>
      <protection locked="true" hidden="false"/>
    </xf>
    <xf numFmtId="164" fontId="0" fillId="0" borderId="2" xfId="23" applyFont="true" applyBorder="true" applyAlignment="false" applyProtection="false">
      <alignment horizontal="general" vertical="bottom" textRotation="0" wrapText="false" indent="0" shrinkToFit="false"/>
      <protection locked="true" hidden="false"/>
    </xf>
    <xf numFmtId="164" fontId="0" fillId="0" borderId="3" xfId="25" applyFont="true" applyBorder="true" applyAlignment="false" applyProtection="false">
      <alignment horizontal="general" vertical="bottom" textRotation="0" wrapText="false" indent="0" shrinkToFit="false"/>
      <protection locked="true" hidden="false"/>
    </xf>
    <xf numFmtId="164" fontId="0" fillId="0" borderId="4" xfId="22" applyFont="true" applyBorder="true" applyAlignment="false" applyProtection="false">
      <alignment horizontal="left" vertical="bottom" textRotation="0" wrapText="false" indent="0" shrinkToFit="false"/>
      <protection locked="true" hidden="false"/>
    </xf>
    <xf numFmtId="164" fontId="0" fillId="0" borderId="5" xfId="21" applyFont="false" applyBorder="true" applyAlignment="false" applyProtection="false">
      <alignment horizontal="general" vertical="bottom" textRotation="0" wrapText="false" indent="0" shrinkToFit="false"/>
      <protection locked="true" hidden="false"/>
    </xf>
    <xf numFmtId="164" fontId="0" fillId="0" borderId="6" xfId="22" applyFont="true" applyBorder="true" applyAlignment="false" applyProtection="false">
      <alignment horizontal="left" vertical="bottom" textRotation="0" wrapText="false" indent="0" shrinkToFit="false"/>
      <protection locked="true" hidden="false"/>
    </xf>
    <xf numFmtId="164" fontId="0" fillId="0" borderId="7" xfId="21" applyFont="false" applyBorder="true" applyAlignment="false" applyProtection="false">
      <alignment horizontal="general" vertical="bottom" textRotation="0" wrapText="false" indent="0" shrinkToFit="false"/>
      <protection locked="true" hidden="false"/>
    </xf>
    <xf numFmtId="164" fontId="0" fillId="0" borderId="8" xfId="21" applyFont="false" applyBorder="true" applyAlignment="false" applyProtection="false">
      <alignment horizontal="general" vertical="bottom" textRotation="0" wrapText="false" indent="0" shrinkToFit="false"/>
      <protection locked="true" hidden="false"/>
    </xf>
    <xf numFmtId="164" fontId="4" fillId="0" borderId="9" xfId="20" applyFont="true" applyBorder="true" applyAlignment="false" applyProtection="false">
      <alignment horizontal="left" vertical="bottom" textRotation="0" wrapText="false" indent="0" shrinkToFit="false"/>
      <protection locked="true" hidden="false"/>
    </xf>
    <xf numFmtId="164" fontId="4" fillId="0" borderId="10" xfId="24" applyFont="false" applyBorder="true" applyAlignment="false" applyProtection="false">
      <alignment horizontal="general" vertical="bottom" textRotation="0" wrapText="false" indent="0" shrinkToFit="false"/>
      <protection locked="true" hidden="false"/>
    </xf>
    <xf numFmtId="164" fontId="5" fillId="2" borderId="0" xfId="0" applyFont="true" applyBorder="false" applyAlignment="true" applyProtection="true">
      <alignment horizontal="general" vertical="bottom" textRotation="0" wrapText="false" indent="0" shrinkToFit="false"/>
      <protection locked="true" hidden="false"/>
    </xf>
    <xf numFmtId="164" fontId="5" fillId="0" borderId="0" xfId="0" applyFont="true" applyBorder="false" applyAlignment="true" applyProtection="true">
      <alignment horizontal="general" vertical="bottom" textRotation="0" wrapText="false" indent="0" shrinkToFit="false"/>
      <protection locked="true" hidden="false"/>
    </xf>
    <xf numFmtId="164" fontId="0" fillId="0" borderId="0" xfId="0" applyFont="true" applyBorder="false" applyAlignment="true" applyProtection="true">
      <alignment horizontal="left" vertical="bottom" textRotation="0" wrapText="false" indent="0" shrinkToFit="false"/>
      <protection locked="true" hidden="false"/>
    </xf>
  </cellXfs>
  <cellStyles count="12">
    <cellStyle name="Normal" xfId="0" builtinId="0"/>
    <cellStyle name="Comma" xfId="15" builtinId="3"/>
    <cellStyle name="Comma [0]" xfId="16" builtinId="6"/>
    <cellStyle name="Currency" xfId="17" builtinId="4"/>
    <cellStyle name="Currency [0]" xfId="18" builtinId="7"/>
    <cellStyle name="Percent" xfId="19" builtinId="5"/>
    <cellStyle name="Заглавие сводной таблицы" xfId="20"/>
    <cellStyle name="Значение сводной таблицы" xfId="21"/>
    <cellStyle name="Категория сводной таблицы" xfId="22"/>
    <cellStyle name="Поле сводной таблицы" xfId="23"/>
    <cellStyle name="Результат сводной таблицы" xfId="24"/>
    <cellStyle name="Угол сводной таблицы" xfId="25"/>
  </cellStyles>
  <dxfs count="20">
    <dxf>
      <fill>
        <patternFill patternType="solid">
          <fgColor rgb="FFDDDDDD"/>
          <bgColor rgb="FF000000"/>
        </patternFill>
      </fill>
    </dxf>
    <dxf>
      <fill>
        <patternFill patternType="solid">
          <fgColor rgb="FFDEE6EF"/>
          <bgColor rgb="FF000000"/>
        </patternFill>
      </fill>
    </dxf>
    <dxf>
      <fill>
        <patternFill patternType="solid">
          <fgColor rgb="FFFFF5CE"/>
          <bgColor rgb="FF000000"/>
        </patternFill>
      </fill>
    </dxf>
    <dxf>
      <fill>
        <patternFill patternType="solid">
          <bgColor rgb="FF000000"/>
        </patternFill>
      </fill>
    </dxf>
    <dxf>
      <fill>
        <patternFill patternType="solid">
          <fgColor rgb="FFFF8000"/>
          <bgColor rgb="FF000000"/>
        </patternFill>
      </fill>
    </dxf>
    <dxf>
      <fill>
        <patternFill patternType="solid">
          <fgColor rgb="FFDEDCE6"/>
          <bgColor rgb="FF000000"/>
        </patternFill>
      </fill>
    </dxf>
    <dxf>
      <fill>
        <patternFill patternType="solid">
          <fgColor rgb="FF729FCF"/>
          <bgColor rgb="FF000000"/>
        </patternFill>
      </fill>
    </dxf>
    <dxf>
      <fill>
        <patternFill patternType="solid">
          <fgColor rgb="FFAFD095"/>
          <bgColor rgb="FF000000"/>
        </patternFill>
      </fill>
    </dxf>
    <dxf>
      <fill>
        <patternFill patternType="solid">
          <fgColor rgb="FFFFB66C"/>
          <bgColor rgb="FF000000"/>
        </patternFill>
      </fill>
    </dxf>
    <dxf>
      <fill>
        <patternFill patternType="solid">
          <fgColor rgb="FFFF3838"/>
          <bgColor rgb="FF000000"/>
        </patternFill>
      </fill>
    </dxf>
    <dxf>
      <fill>
        <patternFill patternType="solid">
          <fgColor rgb="FFFFDBB6"/>
          <bgColor rgb="FF000000"/>
        </patternFill>
      </fill>
    </dxf>
    <dxf>
      <fill>
        <patternFill patternType="solid">
          <fgColor rgb="FFFFFF00"/>
          <bgColor rgb="FF000000"/>
        </patternFill>
      </fill>
    </dxf>
    <dxf>
      <fill>
        <patternFill patternType="solid">
          <fgColor rgb="FFFF0000"/>
          <bgColor rgb="FF000000"/>
        </patternFill>
      </fill>
    </dxf>
    <dxf>
      <fill>
        <patternFill patternType="solid">
          <fgColor rgb="FFEEEEEE"/>
          <bgColor rgb="FF000000"/>
        </patternFill>
      </fill>
    </dxf>
    <dxf>
      <fill>
        <patternFill patternType="solid">
          <fgColor rgb="FF81D41A"/>
          <bgColor rgb="FF000000"/>
        </patternFill>
      </fill>
    </dxf>
    <dxf>
      <fill>
        <patternFill patternType="solid">
          <fgColor rgb="FFB4C7DC"/>
          <bgColor rgb="FF000000"/>
        </patternFill>
      </fill>
    </dxf>
    <dxf>
      <fill>
        <patternFill patternType="solid">
          <fgColor rgb="FFFFD7D7"/>
          <bgColor rgb="FF000000"/>
        </patternFill>
      </fill>
    </dxf>
    <dxf>
      <fill>
        <patternFill patternType="solid">
          <fgColor rgb="FF5983B0"/>
          <bgColor rgb="FF000000"/>
        </patternFill>
      </fill>
    </dxf>
    <dxf>
      <fill>
        <patternFill patternType="solid">
          <fgColor rgb="FFDEE7E5"/>
          <bgColor rgb="FF000000"/>
        </patternFill>
      </fill>
    </dxf>
    <dxf>
      <fill>
        <patternFill patternType="solid">
          <fgColor rgb="FFE0C2CD"/>
          <bgColor rgb="FF000000"/>
        </patternFill>
      </fill>
    </dxf>
  </dxfs>
  <colors>
    <indexedColors>
      <rgbColor rgb="FF000000"/>
      <rgbColor rgb="FFEEEEEE"/>
      <rgbColor rgb="FFFF0000"/>
      <rgbColor rgb="FF00FF00"/>
      <rgbColor rgb="FF0000FF"/>
      <rgbColor rgb="FFFFFF00"/>
      <rgbColor rgb="FFFF00FF"/>
      <rgbColor rgb="FF00FFFF"/>
      <rgbColor rgb="FF800000"/>
      <rgbColor rgb="FF008000"/>
      <rgbColor rgb="FF000080"/>
      <rgbColor rgb="FF808000"/>
      <rgbColor rgb="FF800080"/>
      <rgbColor rgb="FF008080"/>
      <rgbColor rgb="FFB4C7DC"/>
      <rgbColor rgb="FF808080"/>
      <rgbColor rgb="FF729FCF"/>
      <rgbColor rgb="FFA1467E"/>
      <rgbColor rgb="FFFFF5CE"/>
      <rgbColor rgb="FFDEE6EF"/>
      <rgbColor rgb="FF660066"/>
      <rgbColor rgb="FFFF8080"/>
      <rgbColor rgb="FF0066CC"/>
      <rgbColor rgb="FFDEDCE6"/>
      <rgbColor rgb="FF000080"/>
      <rgbColor rgb="FFFF00FF"/>
      <rgbColor rgb="FFFFFF00"/>
      <rgbColor rgb="FF00FFFF"/>
      <rgbColor rgb="FF800080"/>
      <rgbColor rgb="FF800000"/>
      <rgbColor rgb="FF008080"/>
      <rgbColor rgb="FF0000FF"/>
      <rgbColor rgb="FF00CCFF"/>
      <rgbColor rgb="FFDDDDDD"/>
      <rgbColor rgb="FFDEE7E5"/>
      <rgbColor rgb="FFFFD7D7"/>
      <rgbColor rgb="FFAFD095"/>
      <rgbColor rgb="FFE0C2CD"/>
      <rgbColor rgb="FFCC99FF"/>
      <rgbColor rgb="FFFFDBB6"/>
      <rgbColor rgb="FF3366FF"/>
      <rgbColor rgb="FF33CCCC"/>
      <rgbColor rgb="FF81D41A"/>
      <rgbColor rgb="FFFFB66C"/>
      <rgbColor rgb="FFFF8000"/>
      <rgbColor rgb="FFFF3838"/>
      <rgbColor rgb="FF5983B0"/>
      <rgbColor rgb="FF969696"/>
      <rgbColor rgb="FF003366"/>
      <rgbColor rgb="FF339966"/>
      <rgbColor rgb="FF003300"/>
      <rgbColor rgb="FF333300"/>
      <rgbColor rgb="FF993300"/>
      <rgbColor rgb="FF993366"/>
      <rgbColor rgb="FF333399"/>
      <rgbColor rgb="FF333333"/>
    </indexedColors>
  </colors>
</styleSheet>
</file>

<file path=xl/_rels/workbook.xml.rels><?xml version="1.0" encoding="UTF-8"?>
<Relationships xmlns="http://schemas.openxmlformats.org/package/2006/relationships"><Relationship Id="rId1" Type="http://schemas.openxmlformats.org/officeDocument/2006/relationships/theme" Target="theme/theme1.xml"/><Relationship Id="rId2" Type="http://schemas.openxmlformats.org/officeDocument/2006/relationships/styles" Target="styles.xml"/><Relationship Id="rId3" Type="http://schemas.openxmlformats.org/officeDocument/2006/relationships/worksheet" Target="worksheets/sheet1.xml"/><Relationship Id="rId4" Type="http://schemas.openxmlformats.org/officeDocument/2006/relationships/worksheet" Target="worksheets/sheet2.xml"/><Relationship Id="rId5" Type="http://schemas.openxmlformats.org/officeDocument/2006/relationships/worksheet" Target="worksheets/sheet3.xml"/><Relationship Id="rId6" Type="http://schemas.openxmlformats.org/officeDocument/2006/relationships/worksheet" Target="worksheets/sheet4.xml"/><Relationship Id="rId7" Type="http://schemas.openxmlformats.org/officeDocument/2006/relationships/worksheet" Target="worksheets/sheet5.xml"/><Relationship Id="rId8" Type="http://schemas.openxmlformats.org/officeDocument/2006/relationships/worksheet" Target="worksheets/sheet6.xml"/><Relationship Id="rId9" Type="http://schemas.openxmlformats.org/officeDocument/2006/relationships/worksheet" Target="worksheets/sheet7.xml"/><Relationship Id="rId10" Type="http://schemas.openxmlformats.org/officeDocument/2006/relationships/worksheet" Target="worksheets/sheet8.xml"/><Relationship Id="rId11" Type="http://schemas.openxmlformats.org/officeDocument/2006/relationships/worksheet" Target="worksheets/sheet9.xml"/><Relationship Id="rId12" Type="http://schemas.openxmlformats.org/officeDocument/2006/relationships/worksheet" Target="worksheets/sheet10.xml"/><Relationship Id="rId13" Type="http://schemas.openxmlformats.org/officeDocument/2006/relationships/worksheet" Target="worksheets/sheet11.xml"/><Relationship Id="rId14" Type="http://schemas.openxmlformats.org/officeDocument/2006/relationships/sharedStrings" Target="sharedStrings.xml"/><Relationship Id="rId15" Type="http://schemas.openxmlformats.org/officeDocument/2006/relationships/pivotCacheDefinition" Target="pivotCache/pivotCacheDefinition1.xml"/>
</Relationships>
</file>

<file path=xl/drawings/drawing1.xml><?xml version="1.0" encoding="utf-8"?>
<xdr:wsDr xmlns:xdr="http://schemas.openxmlformats.org/drawingml/2006/spreadsheetDrawing" xmlns:a="http://schemas.openxmlformats.org/drawingml/2006/main" xmlns:r="http://schemas.openxmlformats.org/officeDocument/2006/relationships"/>
</file>

<file path=xl/drawings/drawing2.xml><?xml version="1.0" encoding="utf-8"?>
<xdr:wsDr xmlns:xdr="http://schemas.openxmlformats.org/drawingml/2006/spreadsheetDrawing" xmlns:a="http://schemas.openxmlformats.org/drawingml/2006/main" xmlns:r="http://schemas.openxmlformats.org/officeDocument/2006/relationships"/>
</file>

<file path=xl/drawings/drawing3.xml><?xml version="1.0" encoding="utf-8"?>
<xdr:wsDr xmlns:xdr="http://schemas.openxmlformats.org/drawingml/2006/spreadsheetDrawing" xmlns:a="http://schemas.openxmlformats.org/drawingml/2006/main" xmlns:r="http://schemas.openxmlformats.org/officeDocument/2006/relationships"/>
</file>

<file path=xl/drawings/drawing4.xml><?xml version="1.0" encoding="utf-8"?>
<xdr:wsDr xmlns:xdr="http://schemas.openxmlformats.org/drawingml/2006/spreadsheetDrawing" xmlns:a="http://schemas.openxmlformats.org/drawingml/2006/main" xmlns:r="http://schemas.openxmlformats.org/officeDocument/2006/relationships"/>
</file>

<file path=xl/drawings/drawing5.xml><?xml version="1.0" encoding="utf-8"?>
<xdr:wsDr xmlns:xdr="http://schemas.openxmlformats.org/drawingml/2006/spreadsheetDrawing" xmlns:a="http://schemas.openxmlformats.org/drawingml/2006/main" xmlns:r="http://schemas.openxmlformats.org/officeDocument/2006/relationships"/>
</file>

<file path=xl/drawings/drawing6.xml><?xml version="1.0" encoding="utf-8"?>
<xdr:wsDr xmlns:xdr="http://schemas.openxmlformats.org/drawingml/2006/spreadsheetDrawing" xmlns:a="http://schemas.openxmlformats.org/drawingml/2006/main" xmlns:r="http://schemas.openxmlformats.org/officeDocument/2006/relationships"/>
</file>

<file path=xl/drawings/drawing7.xml><?xml version="1.0" encoding="utf-8"?>
<xdr:wsDr xmlns:xdr="http://schemas.openxmlformats.org/drawingml/2006/spreadsheetDrawing" xmlns:a="http://schemas.openxmlformats.org/drawingml/2006/main" xmlns:r="http://schemas.openxmlformats.org/officeDocument/2006/relationships"/>
</file>

<file path=xl/pivotCache/_rels/pivotCacheDefinition1.xml.rels><?xml version="1.0" encoding="UTF-8"?>
<Relationships xmlns="http://schemas.openxmlformats.org/package/2006/relationships"><Relationship Id="rId1" Type="http://schemas.openxmlformats.org/officeDocument/2006/relationships/pivotCacheRecords" Target="pivotCacheRecords1.xml"/>
</Relationships>
</file>

<file path=xl/pivotCache/pivotCacheDefinition1.xml><?xml version="1.0" encoding="utf-8"?>
<pivotCacheDefinition xmlns="http://schemas.openxmlformats.org/spreadsheetml/2006/main" xmlns:r="http://schemas.openxmlformats.org/officeDocument/2006/relationships" r:id="rId1" recordCount="392" createdVersion="3">
  <cacheSource type="worksheet">
    <worksheetSource ref="A1:D393" sheet="Подсчёт изделий1"/>
  </cacheSource>
  <cacheFields count="4">
    <cacheField name="РядИзделий" numFmtId="0">
      <sharedItems containsSemiMixedTypes="0" containsString="0" containsNumber="1" containsInteger="1" minValue="1" maxValue="7" count="7">
        <n v="1"/>
        <n v="2"/>
        <n v="3"/>
        <n v="4"/>
        <n v="5"/>
        <n v="6"/>
        <n v="7"/>
      </sharedItems>
    </cacheField>
    <cacheField name="Этаж" numFmtId="0">
      <sharedItems containsSemiMixedTypes="0" containsString="0" containsNumber="1" containsInteger="1" minValue="2" maxValue="57" count="56">
        <n v="2"/>
        <n v="3"/>
        <n v="4"/>
        <n v="5"/>
        <n v="6"/>
        <n v="7"/>
        <n v="8"/>
        <n v="9"/>
        <n v="10"/>
        <n v="11"/>
        <n v="12"/>
        <n v="13"/>
        <n v="14"/>
        <n v="15"/>
        <n v="16"/>
        <n v="17"/>
        <n v="18"/>
        <n v="19"/>
        <n v="20"/>
        <n v="21"/>
        <n v="22"/>
        <n v="23"/>
        <n v="24"/>
        <n v="25"/>
        <n v="26"/>
        <n v="27"/>
        <n v="28"/>
        <n v="29"/>
        <n v="30"/>
        <n v="31"/>
        <n v="32"/>
        <n v="33"/>
        <n v="34"/>
        <n v="35"/>
        <n v="36"/>
        <n v="37"/>
        <n v="38"/>
        <n v="39"/>
        <n v="40"/>
        <n v="41"/>
        <n v="42"/>
        <n v="43"/>
        <n v="44"/>
        <n v="45"/>
        <n v="46"/>
        <n v="47"/>
        <n v="48"/>
        <n v="49"/>
        <n v="50"/>
        <n v="51"/>
        <n v="52"/>
        <n v="53"/>
        <n v="54"/>
        <n v="55"/>
        <n v="56"/>
        <n v="57"/>
      </sharedItems>
    </cacheField>
    <cacheField name="Изделие" numFmtId="0">
      <sharedItems count="37">
        <s v="ВН-25-К5(а)-1"/>
        <s v="ВН-25-К5(а)-2"/>
        <s v="ВН-26-К5(а)-1"/>
        <s v="ВН-26-К5(а)-2"/>
        <s v="ВН-27-К5(а)"/>
        <s v="ВН-28-К5(а)"/>
        <s v="ВН-29-К5(а)"/>
        <s v="ВН-30-К5(а)"/>
        <s v="ВН-31-К5(а)"/>
        <s v="ВН-32-К5(а)"/>
        <s v="ВН-33-К5(а)"/>
        <s v="ВН-34-К5(а)"/>
        <s v="ВН-35-К5(а)"/>
        <s v="ВН-36-К5(а)"/>
        <s v="ВН-37-К5(а)"/>
        <s v="ВН-38-К5(а)"/>
        <s v="ВН-39-К5(а)"/>
        <s v="ВН-40-К5(а)"/>
        <s v="ВН-41-К5(а)"/>
        <s v="ВН-42-К5(а)"/>
        <s v="ВН-43-К5(а)"/>
        <s v="ВН-44-К5(а)"/>
        <s v="ВН-45-К5(а)"/>
        <s v="ВН-46-К5(а)"/>
        <s v="ВН-47-К5(а)"/>
        <s v="ВН-48-К5(а)"/>
        <s v="ВН-49-К5(а)"/>
        <s v="ВН-50-К5(а)"/>
        <s v="ВН-50-К5(а) -к1"/>
        <s v="ВН-51-К5(а)"/>
        <s v="ВН-52-К5(а)"/>
        <s v="ВН-53-К5(а)"/>
        <s v="ВН-54-К5(а)"/>
        <s v="ВН-55-К5(а)"/>
        <s v="ВН-56-К5(а)"/>
        <s v="ВН-57-К5(а)"/>
        <s v="ВН-58-К5(а)"/>
      </sharedItems>
    </cacheField>
    <cacheField name="Количество" numFmtId="0">
      <sharedItems containsSemiMixedTypes="0" containsString="0" containsNumber="1" containsInteger="1" minValue="1" maxValue="1" count="1">
        <n v="1"/>
      </sharedItems>
    </cacheField>
  </cacheFields>
</pivotCacheDefinition>
</file>

<file path=xl/pivotCache/pivotCacheRecords1.xml><?xml version="1.0" encoding="utf-8"?>
<pivotCacheRecords xmlns="http://schemas.openxmlformats.org/spreadsheetml/2006/main" xmlns:r="http://schemas.openxmlformats.org/officeDocument/2006/relationships" count="392">
  <r>
    <x v="0"/>
    <x v="55"/>
    <x v="31"/>
    <x v="0"/>
  </r>
  <r>
    <x v="0"/>
    <x v="54"/>
    <x v="6"/>
    <x v="0"/>
  </r>
  <r>
    <x v="0"/>
    <x v="53"/>
    <x v="12"/>
    <x v="0"/>
  </r>
  <r>
    <x v="0"/>
    <x v="52"/>
    <x v="6"/>
    <x v="0"/>
  </r>
  <r>
    <x v="0"/>
    <x v="51"/>
    <x v="12"/>
    <x v="0"/>
  </r>
  <r>
    <x v="0"/>
    <x v="50"/>
    <x v="6"/>
    <x v="0"/>
  </r>
  <r>
    <x v="0"/>
    <x v="49"/>
    <x v="12"/>
    <x v="0"/>
  </r>
  <r>
    <x v="0"/>
    <x v="48"/>
    <x v="6"/>
    <x v="0"/>
  </r>
  <r>
    <x v="0"/>
    <x v="47"/>
    <x v="12"/>
    <x v="0"/>
  </r>
  <r>
    <x v="0"/>
    <x v="46"/>
    <x v="6"/>
    <x v="0"/>
  </r>
  <r>
    <x v="0"/>
    <x v="45"/>
    <x v="12"/>
    <x v="0"/>
  </r>
  <r>
    <x v="0"/>
    <x v="44"/>
    <x v="6"/>
    <x v="0"/>
  </r>
  <r>
    <x v="0"/>
    <x v="43"/>
    <x v="12"/>
    <x v="0"/>
  </r>
  <r>
    <x v="0"/>
    <x v="42"/>
    <x v="6"/>
    <x v="0"/>
  </r>
  <r>
    <x v="0"/>
    <x v="41"/>
    <x v="12"/>
    <x v="0"/>
  </r>
  <r>
    <x v="0"/>
    <x v="40"/>
    <x v="6"/>
    <x v="0"/>
  </r>
  <r>
    <x v="0"/>
    <x v="39"/>
    <x v="12"/>
    <x v="0"/>
  </r>
  <r>
    <x v="0"/>
    <x v="38"/>
    <x v="24"/>
    <x v="0"/>
  </r>
  <r>
    <x v="0"/>
    <x v="37"/>
    <x v="18"/>
    <x v="0"/>
  </r>
  <r>
    <x v="0"/>
    <x v="36"/>
    <x v="6"/>
    <x v="0"/>
  </r>
  <r>
    <x v="0"/>
    <x v="35"/>
    <x v="12"/>
    <x v="0"/>
  </r>
  <r>
    <x v="0"/>
    <x v="34"/>
    <x v="6"/>
    <x v="0"/>
  </r>
  <r>
    <x v="0"/>
    <x v="33"/>
    <x v="12"/>
    <x v="0"/>
  </r>
  <r>
    <x v="0"/>
    <x v="32"/>
    <x v="6"/>
    <x v="0"/>
  </r>
  <r>
    <x v="0"/>
    <x v="31"/>
    <x v="12"/>
    <x v="0"/>
  </r>
  <r>
    <x v="0"/>
    <x v="30"/>
    <x v="6"/>
    <x v="0"/>
  </r>
  <r>
    <x v="0"/>
    <x v="29"/>
    <x v="12"/>
    <x v="0"/>
  </r>
  <r>
    <x v="0"/>
    <x v="28"/>
    <x v="6"/>
    <x v="0"/>
  </r>
  <r>
    <x v="0"/>
    <x v="27"/>
    <x v="12"/>
    <x v="0"/>
  </r>
  <r>
    <x v="0"/>
    <x v="26"/>
    <x v="6"/>
    <x v="0"/>
  </r>
  <r>
    <x v="0"/>
    <x v="25"/>
    <x v="12"/>
    <x v="0"/>
  </r>
  <r>
    <x v="0"/>
    <x v="24"/>
    <x v="6"/>
    <x v="0"/>
  </r>
  <r>
    <x v="0"/>
    <x v="23"/>
    <x v="12"/>
    <x v="0"/>
  </r>
  <r>
    <x v="0"/>
    <x v="22"/>
    <x v="6"/>
    <x v="0"/>
  </r>
  <r>
    <x v="0"/>
    <x v="21"/>
    <x v="12"/>
    <x v="0"/>
  </r>
  <r>
    <x v="0"/>
    <x v="20"/>
    <x v="6"/>
    <x v="0"/>
  </r>
  <r>
    <x v="0"/>
    <x v="19"/>
    <x v="12"/>
    <x v="0"/>
  </r>
  <r>
    <x v="0"/>
    <x v="18"/>
    <x v="24"/>
    <x v="0"/>
  </r>
  <r>
    <x v="0"/>
    <x v="17"/>
    <x v="18"/>
    <x v="0"/>
  </r>
  <r>
    <x v="0"/>
    <x v="16"/>
    <x v="6"/>
    <x v="0"/>
  </r>
  <r>
    <x v="0"/>
    <x v="15"/>
    <x v="12"/>
    <x v="0"/>
  </r>
  <r>
    <x v="0"/>
    <x v="14"/>
    <x v="6"/>
    <x v="0"/>
  </r>
  <r>
    <x v="0"/>
    <x v="13"/>
    <x v="12"/>
    <x v="0"/>
  </r>
  <r>
    <x v="0"/>
    <x v="12"/>
    <x v="6"/>
    <x v="0"/>
  </r>
  <r>
    <x v="0"/>
    <x v="11"/>
    <x v="12"/>
    <x v="0"/>
  </r>
  <r>
    <x v="0"/>
    <x v="10"/>
    <x v="6"/>
    <x v="0"/>
  </r>
  <r>
    <x v="0"/>
    <x v="9"/>
    <x v="12"/>
    <x v="0"/>
  </r>
  <r>
    <x v="0"/>
    <x v="8"/>
    <x v="6"/>
    <x v="0"/>
  </r>
  <r>
    <x v="0"/>
    <x v="7"/>
    <x v="12"/>
    <x v="0"/>
  </r>
  <r>
    <x v="0"/>
    <x v="6"/>
    <x v="6"/>
    <x v="0"/>
  </r>
  <r>
    <x v="0"/>
    <x v="5"/>
    <x v="12"/>
    <x v="0"/>
  </r>
  <r>
    <x v="0"/>
    <x v="4"/>
    <x v="6"/>
    <x v="0"/>
  </r>
  <r>
    <x v="0"/>
    <x v="3"/>
    <x v="12"/>
    <x v="0"/>
  </r>
  <r>
    <x v="0"/>
    <x v="2"/>
    <x v="6"/>
    <x v="0"/>
  </r>
  <r>
    <x v="0"/>
    <x v="1"/>
    <x v="12"/>
    <x v="0"/>
  </r>
  <r>
    <x v="0"/>
    <x v="0"/>
    <x v="0"/>
    <x v="0"/>
  </r>
  <r>
    <x v="1"/>
    <x v="55"/>
    <x v="32"/>
    <x v="0"/>
  </r>
  <r>
    <x v="1"/>
    <x v="54"/>
    <x v="7"/>
    <x v="0"/>
  </r>
  <r>
    <x v="1"/>
    <x v="53"/>
    <x v="13"/>
    <x v="0"/>
  </r>
  <r>
    <x v="1"/>
    <x v="52"/>
    <x v="7"/>
    <x v="0"/>
  </r>
  <r>
    <x v="1"/>
    <x v="51"/>
    <x v="13"/>
    <x v="0"/>
  </r>
  <r>
    <x v="1"/>
    <x v="50"/>
    <x v="7"/>
    <x v="0"/>
  </r>
  <r>
    <x v="1"/>
    <x v="49"/>
    <x v="13"/>
    <x v="0"/>
  </r>
  <r>
    <x v="1"/>
    <x v="48"/>
    <x v="7"/>
    <x v="0"/>
  </r>
  <r>
    <x v="1"/>
    <x v="47"/>
    <x v="13"/>
    <x v="0"/>
  </r>
  <r>
    <x v="1"/>
    <x v="46"/>
    <x v="7"/>
    <x v="0"/>
  </r>
  <r>
    <x v="1"/>
    <x v="45"/>
    <x v="13"/>
    <x v="0"/>
  </r>
  <r>
    <x v="1"/>
    <x v="44"/>
    <x v="7"/>
    <x v="0"/>
  </r>
  <r>
    <x v="1"/>
    <x v="43"/>
    <x v="13"/>
    <x v="0"/>
  </r>
  <r>
    <x v="1"/>
    <x v="42"/>
    <x v="7"/>
    <x v="0"/>
  </r>
  <r>
    <x v="1"/>
    <x v="41"/>
    <x v="13"/>
    <x v="0"/>
  </r>
  <r>
    <x v="1"/>
    <x v="40"/>
    <x v="7"/>
    <x v="0"/>
  </r>
  <r>
    <x v="1"/>
    <x v="39"/>
    <x v="13"/>
    <x v="0"/>
  </r>
  <r>
    <x v="1"/>
    <x v="38"/>
    <x v="25"/>
    <x v="0"/>
  </r>
  <r>
    <x v="1"/>
    <x v="37"/>
    <x v="19"/>
    <x v="0"/>
  </r>
  <r>
    <x v="1"/>
    <x v="36"/>
    <x v="7"/>
    <x v="0"/>
  </r>
  <r>
    <x v="1"/>
    <x v="35"/>
    <x v="13"/>
    <x v="0"/>
  </r>
  <r>
    <x v="1"/>
    <x v="34"/>
    <x v="7"/>
    <x v="0"/>
  </r>
  <r>
    <x v="1"/>
    <x v="33"/>
    <x v="13"/>
    <x v="0"/>
  </r>
  <r>
    <x v="1"/>
    <x v="32"/>
    <x v="7"/>
    <x v="0"/>
  </r>
  <r>
    <x v="1"/>
    <x v="31"/>
    <x v="13"/>
    <x v="0"/>
  </r>
  <r>
    <x v="1"/>
    <x v="30"/>
    <x v="7"/>
    <x v="0"/>
  </r>
  <r>
    <x v="1"/>
    <x v="29"/>
    <x v="13"/>
    <x v="0"/>
  </r>
  <r>
    <x v="1"/>
    <x v="28"/>
    <x v="7"/>
    <x v="0"/>
  </r>
  <r>
    <x v="1"/>
    <x v="27"/>
    <x v="13"/>
    <x v="0"/>
  </r>
  <r>
    <x v="1"/>
    <x v="26"/>
    <x v="7"/>
    <x v="0"/>
  </r>
  <r>
    <x v="1"/>
    <x v="25"/>
    <x v="13"/>
    <x v="0"/>
  </r>
  <r>
    <x v="1"/>
    <x v="24"/>
    <x v="7"/>
    <x v="0"/>
  </r>
  <r>
    <x v="1"/>
    <x v="23"/>
    <x v="13"/>
    <x v="0"/>
  </r>
  <r>
    <x v="1"/>
    <x v="22"/>
    <x v="7"/>
    <x v="0"/>
  </r>
  <r>
    <x v="1"/>
    <x v="21"/>
    <x v="13"/>
    <x v="0"/>
  </r>
  <r>
    <x v="1"/>
    <x v="20"/>
    <x v="7"/>
    <x v="0"/>
  </r>
  <r>
    <x v="1"/>
    <x v="19"/>
    <x v="13"/>
    <x v="0"/>
  </r>
  <r>
    <x v="1"/>
    <x v="18"/>
    <x v="25"/>
    <x v="0"/>
  </r>
  <r>
    <x v="1"/>
    <x v="17"/>
    <x v="19"/>
    <x v="0"/>
  </r>
  <r>
    <x v="1"/>
    <x v="16"/>
    <x v="7"/>
    <x v="0"/>
  </r>
  <r>
    <x v="1"/>
    <x v="15"/>
    <x v="13"/>
    <x v="0"/>
  </r>
  <r>
    <x v="1"/>
    <x v="14"/>
    <x v="7"/>
    <x v="0"/>
  </r>
  <r>
    <x v="1"/>
    <x v="13"/>
    <x v="13"/>
    <x v="0"/>
  </r>
  <r>
    <x v="1"/>
    <x v="12"/>
    <x v="7"/>
    <x v="0"/>
  </r>
  <r>
    <x v="1"/>
    <x v="11"/>
    <x v="13"/>
    <x v="0"/>
  </r>
  <r>
    <x v="1"/>
    <x v="10"/>
    <x v="7"/>
    <x v="0"/>
  </r>
  <r>
    <x v="1"/>
    <x v="9"/>
    <x v="13"/>
    <x v="0"/>
  </r>
  <r>
    <x v="1"/>
    <x v="8"/>
    <x v="7"/>
    <x v="0"/>
  </r>
  <r>
    <x v="1"/>
    <x v="7"/>
    <x v="13"/>
    <x v="0"/>
  </r>
  <r>
    <x v="1"/>
    <x v="6"/>
    <x v="7"/>
    <x v="0"/>
  </r>
  <r>
    <x v="1"/>
    <x v="5"/>
    <x v="13"/>
    <x v="0"/>
  </r>
  <r>
    <x v="1"/>
    <x v="4"/>
    <x v="7"/>
    <x v="0"/>
  </r>
  <r>
    <x v="1"/>
    <x v="3"/>
    <x v="13"/>
    <x v="0"/>
  </r>
  <r>
    <x v="1"/>
    <x v="2"/>
    <x v="7"/>
    <x v="0"/>
  </r>
  <r>
    <x v="1"/>
    <x v="1"/>
    <x v="13"/>
    <x v="0"/>
  </r>
  <r>
    <x v="1"/>
    <x v="0"/>
    <x v="2"/>
    <x v="0"/>
  </r>
  <r>
    <x v="2"/>
    <x v="55"/>
    <x v="33"/>
    <x v="0"/>
  </r>
  <r>
    <x v="2"/>
    <x v="54"/>
    <x v="8"/>
    <x v="0"/>
  </r>
  <r>
    <x v="2"/>
    <x v="53"/>
    <x v="14"/>
    <x v="0"/>
  </r>
  <r>
    <x v="2"/>
    <x v="52"/>
    <x v="8"/>
    <x v="0"/>
  </r>
  <r>
    <x v="2"/>
    <x v="51"/>
    <x v="14"/>
    <x v="0"/>
  </r>
  <r>
    <x v="2"/>
    <x v="50"/>
    <x v="8"/>
    <x v="0"/>
  </r>
  <r>
    <x v="2"/>
    <x v="49"/>
    <x v="14"/>
    <x v="0"/>
  </r>
  <r>
    <x v="2"/>
    <x v="48"/>
    <x v="8"/>
    <x v="0"/>
  </r>
  <r>
    <x v="2"/>
    <x v="47"/>
    <x v="14"/>
    <x v="0"/>
  </r>
  <r>
    <x v="2"/>
    <x v="46"/>
    <x v="8"/>
    <x v="0"/>
  </r>
  <r>
    <x v="2"/>
    <x v="45"/>
    <x v="14"/>
    <x v="0"/>
  </r>
  <r>
    <x v="2"/>
    <x v="44"/>
    <x v="8"/>
    <x v="0"/>
  </r>
  <r>
    <x v="2"/>
    <x v="43"/>
    <x v="14"/>
    <x v="0"/>
  </r>
  <r>
    <x v="2"/>
    <x v="42"/>
    <x v="8"/>
    <x v="0"/>
  </r>
  <r>
    <x v="2"/>
    <x v="41"/>
    <x v="14"/>
    <x v="0"/>
  </r>
  <r>
    <x v="2"/>
    <x v="40"/>
    <x v="8"/>
    <x v="0"/>
  </r>
  <r>
    <x v="2"/>
    <x v="39"/>
    <x v="14"/>
    <x v="0"/>
  </r>
  <r>
    <x v="2"/>
    <x v="38"/>
    <x v="26"/>
    <x v="0"/>
  </r>
  <r>
    <x v="2"/>
    <x v="37"/>
    <x v="20"/>
    <x v="0"/>
  </r>
  <r>
    <x v="2"/>
    <x v="36"/>
    <x v="8"/>
    <x v="0"/>
  </r>
  <r>
    <x v="2"/>
    <x v="35"/>
    <x v="14"/>
    <x v="0"/>
  </r>
  <r>
    <x v="2"/>
    <x v="34"/>
    <x v="8"/>
    <x v="0"/>
  </r>
  <r>
    <x v="2"/>
    <x v="33"/>
    <x v="14"/>
    <x v="0"/>
  </r>
  <r>
    <x v="2"/>
    <x v="32"/>
    <x v="8"/>
    <x v="0"/>
  </r>
  <r>
    <x v="2"/>
    <x v="31"/>
    <x v="14"/>
    <x v="0"/>
  </r>
  <r>
    <x v="2"/>
    <x v="30"/>
    <x v="8"/>
    <x v="0"/>
  </r>
  <r>
    <x v="2"/>
    <x v="29"/>
    <x v="14"/>
    <x v="0"/>
  </r>
  <r>
    <x v="2"/>
    <x v="28"/>
    <x v="8"/>
    <x v="0"/>
  </r>
  <r>
    <x v="2"/>
    <x v="27"/>
    <x v="14"/>
    <x v="0"/>
  </r>
  <r>
    <x v="2"/>
    <x v="26"/>
    <x v="8"/>
    <x v="0"/>
  </r>
  <r>
    <x v="2"/>
    <x v="25"/>
    <x v="14"/>
    <x v="0"/>
  </r>
  <r>
    <x v="2"/>
    <x v="24"/>
    <x v="8"/>
    <x v="0"/>
  </r>
  <r>
    <x v="2"/>
    <x v="23"/>
    <x v="14"/>
    <x v="0"/>
  </r>
  <r>
    <x v="2"/>
    <x v="22"/>
    <x v="8"/>
    <x v="0"/>
  </r>
  <r>
    <x v="2"/>
    <x v="21"/>
    <x v="14"/>
    <x v="0"/>
  </r>
  <r>
    <x v="2"/>
    <x v="20"/>
    <x v="8"/>
    <x v="0"/>
  </r>
  <r>
    <x v="2"/>
    <x v="19"/>
    <x v="14"/>
    <x v="0"/>
  </r>
  <r>
    <x v="2"/>
    <x v="18"/>
    <x v="26"/>
    <x v="0"/>
  </r>
  <r>
    <x v="2"/>
    <x v="17"/>
    <x v="20"/>
    <x v="0"/>
  </r>
  <r>
    <x v="2"/>
    <x v="16"/>
    <x v="8"/>
    <x v="0"/>
  </r>
  <r>
    <x v="2"/>
    <x v="15"/>
    <x v="14"/>
    <x v="0"/>
  </r>
  <r>
    <x v="2"/>
    <x v="14"/>
    <x v="8"/>
    <x v="0"/>
  </r>
  <r>
    <x v="2"/>
    <x v="13"/>
    <x v="14"/>
    <x v="0"/>
  </r>
  <r>
    <x v="2"/>
    <x v="12"/>
    <x v="8"/>
    <x v="0"/>
  </r>
  <r>
    <x v="2"/>
    <x v="11"/>
    <x v="14"/>
    <x v="0"/>
  </r>
  <r>
    <x v="2"/>
    <x v="10"/>
    <x v="8"/>
    <x v="0"/>
  </r>
  <r>
    <x v="2"/>
    <x v="9"/>
    <x v="14"/>
    <x v="0"/>
  </r>
  <r>
    <x v="2"/>
    <x v="8"/>
    <x v="8"/>
    <x v="0"/>
  </r>
  <r>
    <x v="2"/>
    <x v="7"/>
    <x v="14"/>
    <x v="0"/>
  </r>
  <r>
    <x v="2"/>
    <x v="6"/>
    <x v="8"/>
    <x v="0"/>
  </r>
  <r>
    <x v="2"/>
    <x v="5"/>
    <x v="14"/>
    <x v="0"/>
  </r>
  <r>
    <x v="2"/>
    <x v="4"/>
    <x v="8"/>
    <x v="0"/>
  </r>
  <r>
    <x v="2"/>
    <x v="3"/>
    <x v="14"/>
    <x v="0"/>
  </r>
  <r>
    <x v="2"/>
    <x v="2"/>
    <x v="8"/>
    <x v="0"/>
  </r>
  <r>
    <x v="2"/>
    <x v="1"/>
    <x v="14"/>
    <x v="0"/>
  </r>
  <r>
    <x v="2"/>
    <x v="0"/>
    <x v="4"/>
    <x v="0"/>
  </r>
  <r>
    <x v="3"/>
    <x v="55"/>
    <x v="34"/>
    <x v="0"/>
  </r>
  <r>
    <x v="3"/>
    <x v="54"/>
    <x v="9"/>
    <x v="0"/>
  </r>
  <r>
    <x v="3"/>
    <x v="53"/>
    <x v="15"/>
    <x v="0"/>
  </r>
  <r>
    <x v="3"/>
    <x v="52"/>
    <x v="9"/>
    <x v="0"/>
  </r>
  <r>
    <x v="3"/>
    <x v="51"/>
    <x v="15"/>
    <x v="0"/>
  </r>
  <r>
    <x v="3"/>
    <x v="50"/>
    <x v="9"/>
    <x v="0"/>
  </r>
  <r>
    <x v="3"/>
    <x v="49"/>
    <x v="15"/>
    <x v="0"/>
  </r>
  <r>
    <x v="3"/>
    <x v="48"/>
    <x v="9"/>
    <x v="0"/>
  </r>
  <r>
    <x v="3"/>
    <x v="47"/>
    <x v="15"/>
    <x v="0"/>
  </r>
  <r>
    <x v="3"/>
    <x v="46"/>
    <x v="9"/>
    <x v="0"/>
  </r>
  <r>
    <x v="3"/>
    <x v="45"/>
    <x v="15"/>
    <x v="0"/>
  </r>
  <r>
    <x v="3"/>
    <x v="44"/>
    <x v="9"/>
    <x v="0"/>
  </r>
  <r>
    <x v="3"/>
    <x v="43"/>
    <x v="15"/>
    <x v="0"/>
  </r>
  <r>
    <x v="3"/>
    <x v="42"/>
    <x v="9"/>
    <x v="0"/>
  </r>
  <r>
    <x v="3"/>
    <x v="41"/>
    <x v="15"/>
    <x v="0"/>
  </r>
  <r>
    <x v="3"/>
    <x v="40"/>
    <x v="9"/>
    <x v="0"/>
  </r>
  <r>
    <x v="3"/>
    <x v="39"/>
    <x v="15"/>
    <x v="0"/>
  </r>
  <r>
    <x v="3"/>
    <x v="38"/>
    <x v="28"/>
    <x v="0"/>
  </r>
  <r>
    <x v="3"/>
    <x v="37"/>
    <x v="21"/>
    <x v="0"/>
  </r>
  <r>
    <x v="3"/>
    <x v="36"/>
    <x v="9"/>
    <x v="0"/>
  </r>
  <r>
    <x v="3"/>
    <x v="35"/>
    <x v="15"/>
    <x v="0"/>
  </r>
  <r>
    <x v="3"/>
    <x v="34"/>
    <x v="9"/>
    <x v="0"/>
  </r>
  <r>
    <x v="3"/>
    <x v="33"/>
    <x v="15"/>
    <x v="0"/>
  </r>
  <r>
    <x v="3"/>
    <x v="32"/>
    <x v="9"/>
    <x v="0"/>
  </r>
  <r>
    <x v="3"/>
    <x v="31"/>
    <x v="15"/>
    <x v="0"/>
  </r>
  <r>
    <x v="3"/>
    <x v="30"/>
    <x v="9"/>
    <x v="0"/>
  </r>
  <r>
    <x v="3"/>
    <x v="29"/>
    <x v="15"/>
    <x v="0"/>
  </r>
  <r>
    <x v="3"/>
    <x v="28"/>
    <x v="9"/>
    <x v="0"/>
  </r>
  <r>
    <x v="3"/>
    <x v="27"/>
    <x v="15"/>
    <x v="0"/>
  </r>
  <r>
    <x v="3"/>
    <x v="26"/>
    <x v="9"/>
    <x v="0"/>
  </r>
  <r>
    <x v="3"/>
    <x v="25"/>
    <x v="15"/>
    <x v="0"/>
  </r>
  <r>
    <x v="3"/>
    <x v="24"/>
    <x v="9"/>
    <x v="0"/>
  </r>
  <r>
    <x v="3"/>
    <x v="23"/>
    <x v="15"/>
    <x v="0"/>
  </r>
  <r>
    <x v="3"/>
    <x v="22"/>
    <x v="9"/>
    <x v="0"/>
  </r>
  <r>
    <x v="3"/>
    <x v="21"/>
    <x v="15"/>
    <x v="0"/>
  </r>
  <r>
    <x v="3"/>
    <x v="20"/>
    <x v="9"/>
    <x v="0"/>
  </r>
  <r>
    <x v="3"/>
    <x v="19"/>
    <x v="15"/>
    <x v="0"/>
  </r>
  <r>
    <x v="3"/>
    <x v="18"/>
    <x v="27"/>
    <x v="0"/>
  </r>
  <r>
    <x v="3"/>
    <x v="17"/>
    <x v="21"/>
    <x v="0"/>
  </r>
  <r>
    <x v="3"/>
    <x v="16"/>
    <x v="9"/>
    <x v="0"/>
  </r>
  <r>
    <x v="3"/>
    <x v="15"/>
    <x v="15"/>
    <x v="0"/>
  </r>
  <r>
    <x v="3"/>
    <x v="14"/>
    <x v="9"/>
    <x v="0"/>
  </r>
  <r>
    <x v="3"/>
    <x v="13"/>
    <x v="15"/>
    <x v="0"/>
  </r>
  <r>
    <x v="3"/>
    <x v="12"/>
    <x v="9"/>
    <x v="0"/>
  </r>
  <r>
    <x v="3"/>
    <x v="11"/>
    <x v="15"/>
    <x v="0"/>
  </r>
  <r>
    <x v="3"/>
    <x v="10"/>
    <x v="9"/>
    <x v="0"/>
  </r>
  <r>
    <x v="3"/>
    <x v="9"/>
    <x v="15"/>
    <x v="0"/>
  </r>
  <r>
    <x v="3"/>
    <x v="8"/>
    <x v="9"/>
    <x v="0"/>
  </r>
  <r>
    <x v="3"/>
    <x v="7"/>
    <x v="15"/>
    <x v="0"/>
  </r>
  <r>
    <x v="3"/>
    <x v="6"/>
    <x v="9"/>
    <x v="0"/>
  </r>
  <r>
    <x v="3"/>
    <x v="5"/>
    <x v="15"/>
    <x v="0"/>
  </r>
  <r>
    <x v="3"/>
    <x v="4"/>
    <x v="9"/>
    <x v="0"/>
  </r>
  <r>
    <x v="3"/>
    <x v="3"/>
    <x v="15"/>
    <x v="0"/>
  </r>
  <r>
    <x v="3"/>
    <x v="2"/>
    <x v="9"/>
    <x v="0"/>
  </r>
  <r>
    <x v="3"/>
    <x v="1"/>
    <x v="15"/>
    <x v="0"/>
  </r>
  <r>
    <x v="3"/>
    <x v="0"/>
    <x v="5"/>
    <x v="0"/>
  </r>
  <r>
    <x v="4"/>
    <x v="55"/>
    <x v="33"/>
    <x v="0"/>
  </r>
  <r>
    <x v="4"/>
    <x v="54"/>
    <x v="8"/>
    <x v="0"/>
  </r>
  <r>
    <x v="4"/>
    <x v="53"/>
    <x v="14"/>
    <x v="0"/>
  </r>
  <r>
    <x v="4"/>
    <x v="52"/>
    <x v="8"/>
    <x v="0"/>
  </r>
  <r>
    <x v="4"/>
    <x v="51"/>
    <x v="14"/>
    <x v="0"/>
  </r>
  <r>
    <x v="4"/>
    <x v="50"/>
    <x v="8"/>
    <x v="0"/>
  </r>
  <r>
    <x v="4"/>
    <x v="49"/>
    <x v="14"/>
    <x v="0"/>
  </r>
  <r>
    <x v="4"/>
    <x v="48"/>
    <x v="8"/>
    <x v="0"/>
  </r>
  <r>
    <x v="4"/>
    <x v="47"/>
    <x v="14"/>
    <x v="0"/>
  </r>
  <r>
    <x v="4"/>
    <x v="46"/>
    <x v="8"/>
    <x v="0"/>
  </r>
  <r>
    <x v="4"/>
    <x v="45"/>
    <x v="14"/>
    <x v="0"/>
  </r>
  <r>
    <x v="4"/>
    <x v="44"/>
    <x v="8"/>
    <x v="0"/>
  </r>
  <r>
    <x v="4"/>
    <x v="43"/>
    <x v="14"/>
    <x v="0"/>
  </r>
  <r>
    <x v="4"/>
    <x v="42"/>
    <x v="8"/>
    <x v="0"/>
  </r>
  <r>
    <x v="4"/>
    <x v="41"/>
    <x v="14"/>
    <x v="0"/>
  </r>
  <r>
    <x v="4"/>
    <x v="40"/>
    <x v="8"/>
    <x v="0"/>
  </r>
  <r>
    <x v="4"/>
    <x v="39"/>
    <x v="14"/>
    <x v="0"/>
  </r>
  <r>
    <x v="4"/>
    <x v="38"/>
    <x v="26"/>
    <x v="0"/>
  </r>
  <r>
    <x v="4"/>
    <x v="37"/>
    <x v="20"/>
    <x v="0"/>
  </r>
  <r>
    <x v="4"/>
    <x v="36"/>
    <x v="8"/>
    <x v="0"/>
  </r>
  <r>
    <x v="4"/>
    <x v="35"/>
    <x v="14"/>
    <x v="0"/>
  </r>
  <r>
    <x v="4"/>
    <x v="34"/>
    <x v="8"/>
    <x v="0"/>
  </r>
  <r>
    <x v="4"/>
    <x v="33"/>
    <x v="14"/>
    <x v="0"/>
  </r>
  <r>
    <x v="4"/>
    <x v="32"/>
    <x v="8"/>
    <x v="0"/>
  </r>
  <r>
    <x v="4"/>
    <x v="31"/>
    <x v="14"/>
    <x v="0"/>
  </r>
  <r>
    <x v="4"/>
    <x v="30"/>
    <x v="8"/>
    <x v="0"/>
  </r>
  <r>
    <x v="4"/>
    <x v="29"/>
    <x v="14"/>
    <x v="0"/>
  </r>
  <r>
    <x v="4"/>
    <x v="28"/>
    <x v="8"/>
    <x v="0"/>
  </r>
  <r>
    <x v="4"/>
    <x v="27"/>
    <x v="14"/>
    <x v="0"/>
  </r>
  <r>
    <x v="4"/>
    <x v="26"/>
    <x v="8"/>
    <x v="0"/>
  </r>
  <r>
    <x v="4"/>
    <x v="25"/>
    <x v="14"/>
    <x v="0"/>
  </r>
  <r>
    <x v="4"/>
    <x v="24"/>
    <x v="8"/>
    <x v="0"/>
  </r>
  <r>
    <x v="4"/>
    <x v="23"/>
    <x v="14"/>
    <x v="0"/>
  </r>
  <r>
    <x v="4"/>
    <x v="22"/>
    <x v="8"/>
    <x v="0"/>
  </r>
  <r>
    <x v="4"/>
    <x v="21"/>
    <x v="14"/>
    <x v="0"/>
  </r>
  <r>
    <x v="4"/>
    <x v="20"/>
    <x v="8"/>
    <x v="0"/>
  </r>
  <r>
    <x v="4"/>
    <x v="19"/>
    <x v="14"/>
    <x v="0"/>
  </r>
  <r>
    <x v="4"/>
    <x v="18"/>
    <x v="26"/>
    <x v="0"/>
  </r>
  <r>
    <x v="4"/>
    <x v="17"/>
    <x v="20"/>
    <x v="0"/>
  </r>
  <r>
    <x v="4"/>
    <x v="16"/>
    <x v="8"/>
    <x v="0"/>
  </r>
  <r>
    <x v="4"/>
    <x v="15"/>
    <x v="14"/>
    <x v="0"/>
  </r>
  <r>
    <x v="4"/>
    <x v="14"/>
    <x v="8"/>
    <x v="0"/>
  </r>
  <r>
    <x v="4"/>
    <x v="13"/>
    <x v="14"/>
    <x v="0"/>
  </r>
  <r>
    <x v="4"/>
    <x v="12"/>
    <x v="8"/>
    <x v="0"/>
  </r>
  <r>
    <x v="4"/>
    <x v="11"/>
    <x v="14"/>
    <x v="0"/>
  </r>
  <r>
    <x v="4"/>
    <x v="10"/>
    <x v="8"/>
    <x v="0"/>
  </r>
  <r>
    <x v="4"/>
    <x v="9"/>
    <x v="14"/>
    <x v="0"/>
  </r>
  <r>
    <x v="4"/>
    <x v="8"/>
    <x v="8"/>
    <x v="0"/>
  </r>
  <r>
    <x v="4"/>
    <x v="7"/>
    <x v="14"/>
    <x v="0"/>
  </r>
  <r>
    <x v="4"/>
    <x v="6"/>
    <x v="8"/>
    <x v="0"/>
  </r>
  <r>
    <x v="4"/>
    <x v="5"/>
    <x v="14"/>
    <x v="0"/>
  </r>
  <r>
    <x v="4"/>
    <x v="4"/>
    <x v="8"/>
    <x v="0"/>
  </r>
  <r>
    <x v="4"/>
    <x v="3"/>
    <x v="14"/>
    <x v="0"/>
  </r>
  <r>
    <x v="4"/>
    <x v="2"/>
    <x v="8"/>
    <x v="0"/>
  </r>
  <r>
    <x v="4"/>
    <x v="1"/>
    <x v="14"/>
    <x v="0"/>
  </r>
  <r>
    <x v="4"/>
    <x v="0"/>
    <x v="4"/>
    <x v="0"/>
  </r>
  <r>
    <x v="5"/>
    <x v="55"/>
    <x v="35"/>
    <x v="0"/>
  </r>
  <r>
    <x v="5"/>
    <x v="54"/>
    <x v="10"/>
    <x v="0"/>
  </r>
  <r>
    <x v="5"/>
    <x v="53"/>
    <x v="16"/>
    <x v="0"/>
  </r>
  <r>
    <x v="5"/>
    <x v="52"/>
    <x v="10"/>
    <x v="0"/>
  </r>
  <r>
    <x v="5"/>
    <x v="51"/>
    <x v="16"/>
    <x v="0"/>
  </r>
  <r>
    <x v="5"/>
    <x v="50"/>
    <x v="10"/>
    <x v="0"/>
  </r>
  <r>
    <x v="5"/>
    <x v="49"/>
    <x v="16"/>
    <x v="0"/>
  </r>
  <r>
    <x v="5"/>
    <x v="48"/>
    <x v="10"/>
    <x v="0"/>
  </r>
  <r>
    <x v="5"/>
    <x v="47"/>
    <x v="16"/>
    <x v="0"/>
  </r>
  <r>
    <x v="5"/>
    <x v="46"/>
    <x v="10"/>
    <x v="0"/>
  </r>
  <r>
    <x v="5"/>
    <x v="45"/>
    <x v="16"/>
    <x v="0"/>
  </r>
  <r>
    <x v="5"/>
    <x v="44"/>
    <x v="10"/>
    <x v="0"/>
  </r>
  <r>
    <x v="5"/>
    <x v="43"/>
    <x v="16"/>
    <x v="0"/>
  </r>
  <r>
    <x v="5"/>
    <x v="42"/>
    <x v="10"/>
    <x v="0"/>
  </r>
  <r>
    <x v="5"/>
    <x v="41"/>
    <x v="16"/>
    <x v="0"/>
  </r>
  <r>
    <x v="5"/>
    <x v="40"/>
    <x v="10"/>
    <x v="0"/>
  </r>
  <r>
    <x v="5"/>
    <x v="39"/>
    <x v="16"/>
    <x v="0"/>
  </r>
  <r>
    <x v="5"/>
    <x v="38"/>
    <x v="29"/>
    <x v="0"/>
  </r>
  <r>
    <x v="5"/>
    <x v="37"/>
    <x v="22"/>
    <x v="0"/>
  </r>
  <r>
    <x v="5"/>
    <x v="36"/>
    <x v="10"/>
    <x v="0"/>
  </r>
  <r>
    <x v="5"/>
    <x v="35"/>
    <x v="16"/>
    <x v="0"/>
  </r>
  <r>
    <x v="5"/>
    <x v="34"/>
    <x v="10"/>
    <x v="0"/>
  </r>
  <r>
    <x v="5"/>
    <x v="33"/>
    <x v="16"/>
    <x v="0"/>
  </r>
  <r>
    <x v="5"/>
    <x v="32"/>
    <x v="10"/>
    <x v="0"/>
  </r>
  <r>
    <x v="5"/>
    <x v="31"/>
    <x v="16"/>
    <x v="0"/>
  </r>
  <r>
    <x v="5"/>
    <x v="30"/>
    <x v="10"/>
    <x v="0"/>
  </r>
  <r>
    <x v="5"/>
    <x v="29"/>
    <x v="16"/>
    <x v="0"/>
  </r>
  <r>
    <x v="5"/>
    <x v="28"/>
    <x v="10"/>
    <x v="0"/>
  </r>
  <r>
    <x v="5"/>
    <x v="27"/>
    <x v="16"/>
    <x v="0"/>
  </r>
  <r>
    <x v="5"/>
    <x v="26"/>
    <x v="10"/>
    <x v="0"/>
  </r>
  <r>
    <x v="5"/>
    <x v="25"/>
    <x v="16"/>
    <x v="0"/>
  </r>
  <r>
    <x v="5"/>
    <x v="24"/>
    <x v="10"/>
    <x v="0"/>
  </r>
  <r>
    <x v="5"/>
    <x v="23"/>
    <x v="16"/>
    <x v="0"/>
  </r>
  <r>
    <x v="5"/>
    <x v="22"/>
    <x v="10"/>
    <x v="0"/>
  </r>
  <r>
    <x v="5"/>
    <x v="21"/>
    <x v="16"/>
    <x v="0"/>
  </r>
  <r>
    <x v="5"/>
    <x v="20"/>
    <x v="10"/>
    <x v="0"/>
  </r>
  <r>
    <x v="5"/>
    <x v="19"/>
    <x v="16"/>
    <x v="0"/>
  </r>
  <r>
    <x v="5"/>
    <x v="18"/>
    <x v="29"/>
    <x v="0"/>
  </r>
  <r>
    <x v="5"/>
    <x v="17"/>
    <x v="22"/>
    <x v="0"/>
  </r>
  <r>
    <x v="5"/>
    <x v="16"/>
    <x v="10"/>
    <x v="0"/>
  </r>
  <r>
    <x v="5"/>
    <x v="15"/>
    <x v="16"/>
    <x v="0"/>
  </r>
  <r>
    <x v="5"/>
    <x v="14"/>
    <x v="10"/>
    <x v="0"/>
  </r>
  <r>
    <x v="5"/>
    <x v="13"/>
    <x v="16"/>
    <x v="0"/>
  </r>
  <r>
    <x v="5"/>
    <x v="12"/>
    <x v="10"/>
    <x v="0"/>
  </r>
  <r>
    <x v="5"/>
    <x v="11"/>
    <x v="16"/>
    <x v="0"/>
  </r>
  <r>
    <x v="5"/>
    <x v="10"/>
    <x v="10"/>
    <x v="0"/>
  </r>
  <r>
    <x v="5"/>
    <x v="9"/>
    <x v="16"/>
    <x v="0"/>
  </r>
  <r>
    <x v="5"/>
    <x v="8"/>
    <x v="10"/>
    <x v="0"/>
  </r>
  <r>
    <x v="5"/>
    <x v="7"/>
    <x v="16"/>
    <x v="0"/>
  </r>
  <r>
    <x v="5"/>
    <x v="6"/>
    <x v="10"/>
    <x v="0"/>
  </r>
  <r>
    <x v="5"/>
    <x v="5"/>
    <x v="16"/>
    <x v="0"/>
  </r>
  <r>
    <x v="5"/>
    <x v="4"/>
    <x v="10"/>
    <x v="0"/>
  </r>
  <r>
    <x v="5"/>
    <x v="3"/>
    <x v="16"/>
    <x v="0"/>
  </r>
  <r>
    <x v="5"/>
    <x v="2"/>
    <x v="10"/>
    <x v="0"/>
  </r>
  <r>
    <x v="5"/>
    <x v="1"/>
    <x v="16"/>
    <x v="0"/>
  </r>
  <r>
    <x v="5"/>
    <x v="0"/>
    <x v="3"/>
    <x v="0"/>
  </r>
  <r>
    <x v="6"/>
    <x v="55"/>
    <x v="36"/>
    <x v="0"/>
  </r>
  <r>
    <x v="6"/>
    <x v="54"/>
    <x v="11"/>
    <x v="0"/>
  </r>
  <r>
    <x v="6"/>
    <x v="53"/>
    <x v="17"/>
    <x v="0"/>
  </r>
  <r>
    <x v="6"/>
    <x v="52"/>
    <x v="11"/>
    <x v="0"/>
  </r>
  <r>
    <x v="6"/>
    <x v="51"/>
    <x v="17"/>
    <x v="0"/>
  </r>
  <r>
    <x v="6"/>
    <x v="50"/>
    <x v="11"/>
    <x v="0"/>
  </r>
  <r>
    <x v="6"/>
    <x v="49"/>
    <x v="17"/>
    <x v="0"/>
  </r>
  <r>
    <x v="6"/>
    <x v="48"/>
    <x v="11"/>
    <x v="0"/>
  </r>
  <r>
    <x v="6"/>
    <x v="47"/>
    <x v="17"/>
    <x v="0"/>
  </r>
  <r>
    <x v="6"/>
    <x v="46"/>
    <x v="11"/>
    <x v="0"/>
  </r>
  <r>
    <x v="6"/>
    <x v="45"/>
    <x v="17"/>
    <x v="0"/>
  </r>
  <r>
    <x v="6"/>
    <x v="44"/>
    <x v="11"/>
    <x v="0"/>
  </r>
  <r>
    <x v="6"/>
    <x v="43"/>
    <x v="17"/>
    <x v="0"/>
  </r>
  <r>
    <x v="6"/>
    <x v="42"/>
    <x v="11"/>
    <x v="0"/>
  </r>
  <r>
    <x v="6"/>
    <x v="41"/>
    <x v="17"/>
    <x v="0"/>
  </r>
  <r>
    <x v="6"/>
    <x v="40"/>
    <x v="11"/>
    <x v="0"/>
  </r>
  <r>
    <x v="6"/>
    <x v="39"/>
    <x v="17"/>
    <x v="0"/>
  </r>
  <r>
    <x v="6"/>
    <x v="38"/>
    <x v="30"/>
    <x v="0"/>
  </r>
  <r>
    <x v="6"/>
    <x v="37"/>
    <x v="23"/>
    <x v="0"/>
  </r>
  <r>
    <x v="6"/>
    <x v="36"/>
    <x v="11"/>
    <x v="0"/>
  </r>
  <r>
    <x v="6"/>
    <x v="35"/>
    <x v="17"/>
    <x v="0"/>
  </r>
  <r>
    <x v="6"/>
    <x v="34"/>
    <x v="11"/>
    <x v="0"/>
  </r>
  <r>
    <x v="6"/>
    <x v="33"/>
    <x v="17"/>
    <x v="0"/>
  </r>
  <r>
    <x v="6"/>
    <x v="32"/>
    <x v="11"/>
    <x v="0"/>
  </r>
  <r>
    <x v="6"/>
    <x v="31"/>
    <x v="17"/>
    <x v="0"/>
  </r>
  <r>
    <x v="6"/>
    <x v="30"/>
    <x v="11"/>
    <x v="0"/>
  </r>
  <r>
    <x v="6"/>
    <x v="29"/>
    <x v="17"/>
    <x v="0"/>
  </r>
  <r>
    <x v="6"/>
    <x v="28"/>
    <x v="11"/>
    <x v="0"/>
  </r>
  <r>
    <x v="6"/>
    <x v="27"/>
    <x v="17"/>
    <x v="0"/>
  </r>
  <r>
    <x v="6"/>
    <x v="26"/>
    <x v="11"/>
    <x v="0"/>
  </r>
  <r>
    <x v="6"/>
    <x v="25"/>
    <x v="17"/>
    <x v="0"/>
  </r>
  <r>
    <x v="6"/>
    <x v="24"/>
    <x v="11"/>
    <x v="0"/>
  </r>
  <r>
    <x v="6"/>
    <x v="23"/>
    <x v="17"/>
    <x v="0"/>
  </r>
  <r>
    <x v="6"/>
    <x v="22"/>
    <x v="11"/>
    <x v="0"/>
  </r>
  <r>
    <x v="6"/>
    <x v="21"/>
    <x v="17"/>
    <x v="0"/>
  </r>
  <r>
    <x v="6"/>
    <x v="20"/>
    <x v="11"/>
    <x v="0"/>
  </r>
  <r>
    <x v="6"/>
    <x v="19"/>
    <x v="17"/>
    <x v="0"/>
  </r>
  <r>
    <x v="6"/>
    <x v="18"/>
    <x v="30"/>
    <x v="0"/>
  </r>
  <r>
    <x v="6"/>
    <x v="17"/>
    <x v="23"/>
    <x v="0"/>
  </r>
  <r>
    <x v="6"/>
    <x v="16"/>
    <x v="11"/>
    <x v="0"/>
  </r>
  <r>
    <x v="6"/>
    <x v="15"/>
    <x v="17"/>
    <x v="0"/>
  </r>
  <r>
    <x v="6"/>
    <x v="14"/>
    <x v="11"/>
    <x v="0"/>
  </r>
  <r>
    <x v="6"/>
    <x v="13"/>
    <x v="17"/>
    <x v="0"/>
  </r>
  <r>
    <x v="6"/>
    <x v="12"/>
    <x v="11"/>
    <x v="0"/>
  </r>
  <r>
    <x v="6"/>
    <x v="11"/>
    <x v="17"/>
    <x v="0"/>
  </r>
  <r>
    <x v="6"/>
    <x v="10"/>
    <x v="11"/>
    <x v="0"/>
  </r>
  <r>
    <x v="6"/>
    <x v="9"/>
    <x v="17"/>
    <x v="0"/>
  </r>
  <r>
    <x v="6"/>
    <x v="8"/>
    <x v="11"/>
    <x v="0"/>
  </r>
  <r>
    <x v="6"/>
    <x v="7"/>
    <x v="17"/>
    <x v="0"/>
  </r>
  <r>
    <x v="6"/>
    <x v="6"/>
    <x v="11"/>
    <x v="0"/>
  </r>
  <r>
    <x v="6"/>
    <x v="5"/>
    <x v="17"/>
    <x v="0"/>
  </r>
  <r>
    <x v="6"/>
    <x v="4"/>
    <x v="11"/>
    <x v="0"/>
  </r>
  <r>
    <x v="6"/>
    <x v="3"/>
    <x v="17"/>
    <x v="0"/>
  </r>
  <r>
    <x v="6"/>
    <x v="2"/>
    <x v="11"/>
    <x v="0"/>
  </r>
  <r>
    <x v="6"/>
    <x v="1"/>
    <x v="17"/>
    <x v="0"/>
  </r>
  <r>
    <x v="6"/>
    <x v="0"/>
    <x v="1"/>
    <x v="0"/>
  </r>
</pivotCacheRecords>
</file>

<file path=xl/pivotTables/_rels/pivotTable1.xml.rels><?xml version="1.0" encoding="UTF-8"?>
<Relationships xmlns="http://schemas.openxmlformats.org/package/2006/relationships"><Relationship Id="rId1" Type="http://schemas.openxmlformats.org/officeDocument/2006/relationships/pivotCacheDefinition" Target="../pivotCache/pivotCacheDefinition1.xml"/>
</Relationships>
</file>

<file path=xl/pivotTables/pivotTable1.xml><?xml version="1.0" encoding="utf-8"?>
<pivotTableDefinition xmlns="http://schemas.openxmlformats.org/spreadsheetml/2006/main" name="DataPilot1" cacheId="1" applyNumberFormats="0" applyBorderFormats="0" applyFontFormats="0" applyPatternFormats="0" applyAlignmentFormats="0" applyWidthHeightFormats="0" dataCaption="Values" showDrill="0" useAutoFormatting="0" itemPrintTitles="1" indent="0" outline="0" outlineData="0" compact="0" compactData="0">
  <location ref="A1:B39" firstHeaderRow="1" firstDataRow="1" firstDataCol="1"/>
  <pivotFields count="4">
    <pivotField compact="0" showAll="0"/>
    <pivotField compact="0" showAll="0"/>
    <pivotField axis="axisRow" compact="0" showAll="0" defaultSubtotal="0" outline="0">
      <items count="37">
        <item x="28"/>
        <item x="0"/>
        <item x="1"/>
        <item x="2"/>
        <item x="3"/>
        <item x="4"/>
        <item x="5"/>
        <item x="6"/>
        <item x="7"/>
        <item x="8"/>
        <item x="9"/>
        <item x="10"/>
        <item x="11"/>
        <item x="12"/>
        <item x="13"/>
        <item x="14"/>
        <item x="15"/>
        <item x="16"/>
        <item x="17"/>
        <item x="18"/>
        <item x="19"/>
        <item x="20"/>
        <item x="21"/>
        <item x="22"/>
        <item x="23"/>
        <item x="24"/>
        <item x="25"/>
        <item x="26"/>
        <item x="27"/>
        <item x="29"/>
        <item x="30"/>
        <item x="31"/>
        <item x="32"/>
        <item x="33"/>
        <item x="34"/>
        <item x="35"/>
        <item x="36"/>
      </items>
    </pivotField>
    <pivotField dataField="1" compact="0" showAll="0" outline="0"/>
  </pivotFields>
  <rowFields count="1">
    <field x="2"/>
  </rowFields>
  <rowItems count="38">
    <i>
      <x v="0"/>
    </i>
    <i>
      <x v="1"/>
    </i>
    <i>
      <x v="2"/>
    </i>
    <i>
      <x v="3"/>
    </i>
    <i>
      <x v="4"/>
    </i>
    <i>
      <x v="5"/>
    </i>
    <i>
      <x v="6"/>
    </i>
    <i>
      <x v="7"/>
    </i>
    <i>
      <x v="8"/>
    </i>
    <i>
      <x v="9"/>
    </i>
    <i>
      <x v="10"/>
    </i>
    <i>
      <x v="11"/>
    </i>
    <i>
      <x v="12"/>
    </i>
    <i>
      <x v="13"/>
    </i>
    <i>
      <x v="14"/>
    </i>
    <i>
      <x v="15"/>
    </i>
    <i>
      <x v="16"/>
    </i>
    <i>
      <x v="17"/>
    </i>
    <i>
      <x v="18"/>
    </i>
    <i>
      <x v="19"/>
    </i>
    <i>
      <x v="20"/>
    </i>
    <i>
      <x v="21"/>
    </i>
    <i>
      <x v="22"/>
    </i>
    <i>
      <x v="23"/>
    </i>
    <i>
      <x v="24"/>
    </i>
    <i>
      <x v="25"/>
    </i>
    <i>
      <x v="26"/>
    </i>
    <i>
      <x v="27"/>
    </i>
    <i>
      <x v="28"/>
    </i>
    <i>
      <x v="29"/>
    </i>
    <i>
      <x v="30"/>
    </i>
    <i>
      <x v="31"/>
    </i>
    <i>
      <x v="32"/>
    </i>
    <i>
      <x v="33"/>
    </i>
    <i>
      <x v="34"/>
    </i>
    <i>
      <x v="35"/>
    </i>
    <i>
      <x v="36"/>
    </i>
    <i t="grand">
      <x v="37"/>
    </i>
  </rowItems>
  <colItems count="1">
    <i t="grand">
      <x v="0"/>
    </i>
  </colItems>
  <dataFields count="1">
    <dataField name="Сумма - Количество" fld="3" subtotal="sum" numFmtId="164"/>
  </dataFields>
  <pivotTableStyleInfo name="PivotStyleLight16" showRowHeaders="1" showColHeaders="1" showRowStripes="0" showColStripes="0" showLastColumn="1"/>
</pivotTableDefinition>
</file>

<file path=xl/theme/theme1.xml><?xml version="1.0" encoding="utf-8"?>
<a:theme xmlns:a="http://schemas.openxmlformats.org/drawingml/2006/main" xmlns:r="http://schemas.openxmlformats.org/officeDocument/2006/relationships" name="Office">
  <a:themeElements>
    <a:clrScheme name="LibreOffice">
      <a:dk1>
        <a:srgbClr val="000000"/>
      </a:dk1>
      <a:lt1>
        <a:srgbClr val="ffffff"/>
      </a:lt1>
      <a:dk2>
        <a:srgbClr val="000000"/>
      </a:dk2>
      <a:lt2>
        <a:srgbClr val="ffffff"/>
      </a:lt2>
      <a:accent1>
        <a:srgbClr val="18a303"/>
      </a:accent1>
      <a:accent2>
        <a:srgbClr val="0369a3"/>
      </a:accent2>
      <a:accent3>
        <a:srgbClr val="a33e03"/>
      </a:accent3>
      <a:accent4>
        <a:srgbClr val="8e03a3"/>
      </a:accent4>
      <a:accent5>
        <a:srgbClr val="c99c00"/>
      </a:accent5>
      <a:accent6>
        <a:srgbClr val="c9211e"/>
      </a:accent6>
      <a:hlink>
        <a:srgbClr val="0000ee"/>
      </a:hlink>
      <a:folHlink>
        <a:srgbClr val="551a8b"/>
      </a:folHlink>
    </a:clrScheme>
    <a:fontScheme name="Office">
      <a:majorFont>
        <a:latin typeface="Arial" pitchFamily="0" charset="1"/>
        <a:ea typeface="DejaVu Sans" pitchFamily="0" charset="1"/>
        <a:cs typeface="DejaVu Sans" pitchFamily="0" charset="1"/>
      </a:majorFont>
      <a:minorFont>
        <a:latin typeface="Arial" pitchFamily="0" charset="1"/>
        <a:ea typeface="DejaVu Sans" pitchFamily="0" charset="1"/>
        <a:cs typeface="DejaVu Sans" pitchFamily="0" charset="1"/>
      </a:minorFont>
    </a:fontScheme>
    <a:fmtScheme>
      <a:fillStyleLst>
        <a:solidFill>
          <a:schemeClr val="phClr"/>
        </a:solidFill>
        <a:solidFill>
          <a:schemeClr val="phClr"/>
        </a:solidFill>
        <a:solidFill>
          <a:schemeClr val="phClr"/>
        </a:solidFill>
      </a:fillStyleLst>
      <a:lnStyleLst>
        <a:ln w="6350" cap="flat" cmpd="sng" algn="ctr">
          <a:prstDash val="solid"/>
          <a:miter/>
        </a:ln>
        <a:ln w="6350" cap="flat" cmpd="sng" algn="ctr">
          <a:prstDash val="solid"/>
          <a:miter/>
        </a:ln>
        <a:ln w="6350" cap="flat" cmpd="sng" algn="ctr">
          <a:prstDash val="solid"/>
          <a:miter/>
        </a:ln>
      </a:lnStyleLst>
      <a:effectStyleLst>
        <a:effectStyle>
          <a:effectLst/>
        </a:effectStyle>
        <a:effectStyle>
          <a:effectLst/>
        </a:effectStyle>
        <a:effectStyle>
          <a:effectLst/>
        </a:effectStyle>
      </a:effectStyleLst>
      <a:bgFillStyleLst>
        <a:solidFill>
          <a:schemeClr val="phClr"/>
        </a:solidFill>
        <a:solidFill>
          <a:schemeClr val="phClr"/>
        </a:solidFill>
        <a:solidFill>
          <a:schemeClr val="phClr"/>
        </a:solidFill>
      </a:bgFillStyleLst>
    </a:fmtScheme>
  </a:themeElements>
</a:theme>
</file>

<file path=xl/worksheets/_rels/sheet1.xml.rels><?xml version="1.0" encoding="UTF-8"?>
<Relationships xmlns="http://schemas.openxmlformats.org/package/2006/relationships"><Relationship Id="rId1" Type="http://schemas.openxmlformats.org/officeDocument/2006/relationships/drawing" Target="../drawings/drawing1.xml"/>
</Relationships>
</file>

<file path=xl/worksheets/_rels/sheet2.xml.rels><?xml version="1.0" encoding="UTF-8"?>
<Relationships xmlns="http://schemas.openxmlformats.org/package/2006/relationships"><Relationship Id="rId1" Type="http://schemas.openxmlformats.org/officeDocument/2006/relationships/comments" Target="../comments2.xml"/><Relationship Id="rId2" Type="http://schemas.openxmlformats.org/officeDocument/2006/relationships/drawing" Target="../drawings/drawing2.xml"/><Relationship Id="rId3" Type="http://schemas.openxmlformats.org/officeDocument/2006/relationships/vmlDrawing" Target="../drawings/vmlDrawing1.vml"/>
</Relationships>
</file>

<file path=xl/worksheets/_rels/sheet3.xml.rels><?xml version="1.0" encoding="UTF-8"?>
<Relationships xmlns="http://schemas.openxmlformats.org/package/2006/relationships"><Relationship Id="rId1" Type="http://schemas.openxmlformats.org/officeDocument/2006/relationships/comments" Target="../comments3.xml"/><Relationship Id="rId2" Type="http://schemas.openxmlformats.org/officeDocument/2006/relationships/drawing" Target="../drawings/drawing3.xml"/><Relationship Id="rId3" Type="http://schemas.openxmlformats.org/officeDocument/2006/relationships/vmlDrawing" Target="../drawings/vmlDrawing2.vml"/>
</Relationships>
</file>

<file path=xl/worksheets/_rels/sheet4.xml.rels><?xml version="1.0" encoding="UTF-8"?>
<Relationships xmlns="http://schemas.openxmlformats.org/package/2006/relationships"><Relationship Id="rId1" Type="http://schemas.openxmlformats.org/officeDocument/2006/relationships/drawing" Target="../drawings/drawing4.xml"/>
</Relationships>
</file>

<file path=xl/worksheets/_rels/sheet5.xml.rels><?xml version="1.0" encoding="UTF-8"?>
<Relationships xmlns="http://schemas.openxmlformats.org/package/2006/relationships"><Relationship Id="rId1" Type="http://schemas.openxmlformats.org/officeDocument/2006/relationships/drawing" Target="../drawings/drawing5.xml"/>
</Relationships>
</file>

<file path=xl/worksheets/_rels/sheet6.xml.rels><?xml version="1.0" encoding="UTF-8"?>
<Relationships xmlns="http://schemas.openxmlformats.org/package/2006/relationships"><Relationship Id="rId1" Type="http://schemas.openxmlformats.org/officeDocument/2006/relationships/drawing" Target="../drawings/drawing6.xml"/>
</Relationships>
</file>

<file path=xl/worksheets/_rels/sheet9.xml.rels><?xml version="1.0" encoding="UTF-8"?>
<Relationships xmlns="http://schemas.openxmlformats.org/package/2006/relationships"><Relationship Id="rId1" Type="http://schemas.openxmlformats.org/officeDocument/2006/relationships/drawing" Target="../drawings/drawing7.xml"/>
</Relationships>
</file>

<file path=xl/worksheets/_rels/sheet10.xml.rels><?xml version="1.0" encoding="UTF-8"?>
<Relationships xmlns="http://schemas.openxmlformats.org/package/2006/relationships"><Relationship Id="rId1" Type="http://schemas.openxmlformats.org/officeDocument/2006/relationships/pivotTable" Target="../pivotTables/pivotTable1.xml"/>
</Relationships>
</file>

<file path=xl/worksheets/sheet1.xml><?xml version="1.0" encoding="utf-8"?>
<worksheet xmlns="http://schemas.openxmlformats.org/spreadsheetml/2006/main" xmlns:r="http://schemas.openxmlformats.org/officeDocument/2006/relationships" xmlns:xdr="http://schemas.openxmlformats.org/drawingml/2006/spreadsheetDrawing" xmlns:x14="http://schemas.microsoft.com/office/spreadsheetml/2009/9/main" xmlns:xr2="http://schemas.microsoft.com/office/spreadsheetml/2015/revision2" xmlns:mc="http://schemas.openxmlformats.org/markup-compatibility/2006">
  <sheetPr filterMode="false">
    <pageSetUpPr fitToPage="false"/>
  </sheetPr>
  <dimension ref="B1:K59"/>
  <sheetViews>
    <sheetView showFormulas="false" showGridLines="true" showRowColHeaders="true" showZeros="true" rightToLeft="false" tabSelected="false" showOutlineSymbols="true" defaultGridColor="true" view="normal" topLeftCell="B1" colorId="64" zoomScale="100" zoomScaleNormal="100" zoomScalePageLayoutView="100" workbookViewId="0">
      <selection pane="topLeft" activeCell="G4" activeCellId="0" sqref="A2:K31"/>
    </sheetView>
  </sheetViews>
  <sheetFormatPr defaultColWidth="11.53515625" defaultRowHeight="12.8" customHeight="true" zeroHeight="false" outlineLevelRow="0" outlineLevelCol="0"/>
  <cols>
    <col collapsed="false" customWidth="false" hidden="false" outlineLevel="0" max="8" min="8" style="1" width="11.53"/>
  </cols>
  <sheetData>
    <row r="1" customFormat="false" ht="12.8" hidden="false" customHeight="false" outlineLevel="0" collapsed="false">
      <c r="B1" s="2" t="s">
        <v>0</v>
      </c>
      <c r="C1" s="2" t="s">
        <v>1</v>
      </c>
      <c r="D1" s="2" t="s">
        <v>2</v>
      </c>
      <c r="E1" s="2" t="s">
        <v>3</v>
      </c>
      <c r="F1" s="3" t="s">
        <v>4</v>
      </c>
      <c r="G1" s="3" t="s">
        <v>5</v>
      </c>
    </row>
    <row r="2" customFormat="false" ht="12.8" hidden="false" customHeight="false" outlineLevel="0" collapsed="false">
      <c r="B2" s="4" t="s">
        <v>6</v>
      </c>
      <c r="C2" s="5" t="n">
        <v>1</v>
      </c>
      <c r="D2" s="6" t="n">
        <v>1</v>
      </c>
      <c r="E2" s="6" t="n">
        <v>0</v>
      </c>
      <c r="F2" s="6" t="n">
        <f aca="false">E2</f>
        <v>0</v>
      </c>
      <c r="G2" s="6"/>
    </row>
    <row r="3" customFormat="false" ht="12.8" hidden="false" customHeight="false" outlineLevel="0" collapsed="false">
      <c r="B3" s="4" t="s">
        <v>6</v>
      </c>
      <c r="C3" s="5" t="n">
        <v>1</v>
      </c>
      <c r="D3" s="6" t="n">
        <v>2</v>
      </c>
      <c r="E3" s="6" t="n">
        <v>970</v>
      </c>
      <c r="F3" s="6" t="n">
        <f aca="false">F2+E3</f>
        <v>970</v>
      </c>
      <c r="G3" s="6"/>
    </row>
    <row r="4" customFormat="false" ht="12.8" hidden="false" customHeight="false" outlineLevel="0" collapsed="false">
      <c r="B4" s="4" t="s">
        <v>6</v>
      </c>
      <c r="C4" s="5" t="n">
        <v>1</v>
      </c>
      <c r="D4" s="6" t="n">
        <v>3</v>
      </c>
      <c r="E4" s="6" t="n">
        <v>2160</v>
      </c>
      <c r="F4" s="6" t="n">
        <f aca="false">F3+E4</f>
        <v>3130</v>
      </c>
      <c r="G4" s="6" t="n">
        <v>1</v>
      </c>
    </row>
    <row r="5" customFormat="false" ht="12.8" hidden="false" customHeight="false" outlineLevel="0" collapsed="false">
      <c r="B5" s="4" t="s">
        <v>6</v>
      </c>
      <c r="C5" s="5" t="n">
        <v>1</v>
      </c>
      <c r="D5" s="6" t="n">
        <v>4</v>
      </c>
      <c r="E5" s="6" t="n">
        <v>280</v>
      </c>
      <c r="F5" s="6" t="n">
        <f aca="false">F4+E5</f>
        <v>3410</v>
      </c>
      <c r="G5" s="7"/>
    </row>
    <row r="6" customFormat="false" ht="12.8" hidden="false" customHeight="false" outlineLevel="0" collapsed="false">
      <c r="B6" s="4" t="s">
        <v>6</v>
      </c>
      <c r="C6" s="5" t="n">
        <v>1</v>
      </c>
      <c r="D6" s="6" t="n">
        <v>5</v>
      </c>
      <c r="E6" s="8" t="n">
        <v>300</v>
      </c>
      <c r="F6" s="6" t="n">
        <f aca="false">F5+E6</f>
        <v>3710</v>
      </c>
      <c r="G6" s="6"/>
    </row>
    <row r="7" customFormat="false" ht="12.8" hidden="false" customHeight="false" outlineLevel="0" collapsed="false">
      <c r="B7" s="4" t="s">
        <v>6</v>
      </c>
      <c r="C7" s="5" t="n">
        <v>1</v>
      </c>
      <c r="D7" s="6" t="n">
        <v>6</v>
      </c>
      <c r="E7" s="6" t="n">
        <v>960</v>
      </c>
      <c r="F7" s="6" t="n">
        <f aca="false">F6+E7</f>
        <v>4670</v>
      </c>
      <c r="G7" s="6"/>
    </row>
    <row r="8" customFormat="false" ht="12.8" hidden="false" customHeight="false" outlineLevel="0" collapsed="false">
      <c r="B8" s="4" t="s">
        <v>6</v>
      </c>
      <c r="C8" s="5" t="n">
        <v>1</v>
      </c>
      <c r="D8" s="6" t="n">
        <v>7</v>
      </c>
      <c r="E8" s="6" t="n">
        <v>2160</v>
      </c>
      <c r="F8" s="6" t="n">
        <f aca="false">F7+E8</f>
        <v>6830</v>
      </c>
      <c r="G8" s="6" t="n">
        <v>1</v>
      </c>
    </row>
    <row r="9" customFormat="false" ht="12.8" hidden="false" customHeight="false" outlineLevel="0" collapsed="false">
      <c r="B9" s="4" t="s">
        <v>6</v>
      </c>
      <c r="C9" s="5" t="n">
        <v>1</v>
      </c>
      <c r="D9" s="6" t="n">
        <v>8</v>
      </c>
      <c r="E9" s="6" t="n">
        <v>280</v>
      </c>
      <c r="F9" s="6" t="n">
        <f aca="false">F8+E9</f>
        <v>7110</v>
      </c>
      <c r="G9" s="7"/>
    </row>
    <row r="10" customFormat="false" ht="12.8" hidden="false" customHeight="false" outlineLevel="0" collapsed="false">
      <c r="B10" s="4" t="s">
        <v>6</v>
      </c>
      <c r="C10" s="5" t="n">
        <v>1</v>
      </c>
      <c r="D10" s="6" t="n">
        <v>9</v>
      </c>
      <c r="E10" s="8" t="n">
        <v>300</v>
      </c>
      <c r="F10" s="6" t="n">
        <f aca="false">F9+E10</f>
        <v>7410</v>
      </c>
      <c r="G10" s="6"/>
    </row>
    <row r="11" customFormat="false" ht="12.8" hidden="false" customHeight="false" outlineLevel="0" collapsed="false">
      <c r="B11" s="4" t="s">
        <v>6</v>
      </c>
      <c r="C11" s="5" t="n">
        <v>1</v>
      </c>
      <c r="D11" s="6" t="n">
        <v>10</v>
      </c>
      <c r="E11" s="6" t="n">
        <v>930</v>
      </c>
      <c r="F11" s="6" t="n">
        <f aca="false">F10+E11</f>
        <v>8340</v>
      </c>
      <c r="G11" s="6"/>
      <c r="H11" s="1" t="s">
        <v>7</v>
      </c>
    </row>
    <row r="12" customFormat="false" ht="12.8" hidden="false" customHeight="false" outlineLevel="0" collapsed="false">
      <c r="B12" s="4" t="s">
        <v>6</v>
      </c>
      <c r="C12" s="5" t="n">
        <v>1</v>
      </c>
      <c r="D12" s="6" t="n">
        <v>11</v>
      </c>
      <c r="E12" s="6" t="n">
        <v>1370</v>
      </c>
      <c r="F12" s="6" t="n">
        <f aca="false">F11+E12</f>
        <v>9710</v>
      </c>
      <c r="G12" s="6" t="n">
        <v>1</v>
      </c>
    </row>
    <row r="13" customFormat="false" ht="12.8" hidden="false" customHeight="false" outlineLevel="0" collapsed="false">
      <c r="B13" s="4" t="s">
        <v>6</v>
      </c>
      <c r="C13" s="5" t="n">
        <v>1</v>
      </c>
      <c r="D13" s="6" t="n">
        <v>12</v>
      </c>
      <c r="E13" s="6" t="n">
        <v>280</v>
      </c>
      <c r="F13" s="6" t="n">
        <f aca="false">F12+E13</f>
        <v>9990</v>
      </c>
      <c r="G13" s="7"/>
    </row>
    <row r="14" customFormat="false" ht="12.8" hidden="false" customHeight="false" outlineLevel="0" collapsed="false">
      <c r="B14" s="4" t="s">
        <v>6</v>
      </c>
      <c r="C14" s="5" t="n">
        <v>1</v>
      </c>
      <c r="D14" s="6" t="n">
        <v>13</v>
      </c>
      <c r="E14" s="6" t="n">
        <v>930</v>
      </c>
      <c r="F14" s="6" t="n">
        <f aca="false">F13+E14</f>
        <v>10920</v>
      </c>
      <c r="G14" s="6"/>
    </row>
    <row r="15" customFormat="false" ht="12.8" hidden="false" customHeight="false" outlineLevel="0" collapsed="false">
      <c r="B15" s="4" t="s">
        <v>6</v>
      </c>
      <c r="C15" s="5" t="n">
        <v>1</v>
      </c>
      <c r="D15" s="6" t="n">
        <v>14</v>
      </c>
      <c r="E15" s="8" t="n">
        <v>300</v>
      </c>
      <c r="F15" s="6" t="n">
        <f aca="false">F14+E15</f>
        <v>11220</v>
      </c>
      <c r="G15" s="6"/>
    </row>
    <row r="16" customFormat="false" ht="12.8" hidden="false" customHeight="false" outlineLevel="0" collapsed="false">
      <c r="B16" s="4" t="s">
        <v>6</v>
      </c>
      <c r="C16" s="5" t="n">
        <v>1</v>
      </c>
      <c r="D16" s="6" t="n">
        <v>15</v>
      </c>
      <c r="E16" s="6" t="n">
        <v>3090</v>
      </c>
      <c r="F16" s="6" t="n">
        <f aca="false">F15+E16</f>
        <v>14310</v>
      </c>
      <c r="G16" s="6" t="n">
        <v>1</v>
      </c>
      <c r="H16" s="1" t="s">
        <v>8</v>
      </c>
      <c r="I16" s="6" t="s">
        <v>9</v>
      </c>
    </row>
    <row r="17" customFormat="false" ht="12.8" hidden="false" customHeight="false" outlineLevel="0" collapsed="false">
      <c r="B17" s="4" t="s">
        <v>6</v>
      </c>
      <c r="C17" s="5" t="n">
        <v>1</v>
      </c>
      <c r="D17" s="6" t="n">
        <v>16</v>
      </c>
      <c r="E17" s="6" t="n">
        <v>280</v>
      </c>
      <c r="F17" s="6" t="n">
        <f aca="false">F16+E17</f>
        <v>14590</v>
      </c>
      <c r="G17" s="7"/>
    </row>
    <row r="18" customFormat="false" ht="12.8" hidden="false" customHeight="false" outlineLevel="0" collapsed="false">
      <c r="B18" s="4" t="s">
        <v>6</v>
      </c>
      <c r="C18" s="5" t="n">
        <v>1</v>
      </c>
      <c r="D18" s="6" t="n">
        <v>17</v>
      </c>
      <c r="E18" s="8" t="n">
        <v>300</v>
      </c>
      <c r="F18" s="6" t="n">
        <f aca="false">F17+E18</f>
        <v>14890</v>
      </c>
      <c r="G18" s="6"/>
    </row>
    <row r="19" customFormat="false" ht="12.8" hidden="false" customHeight="false" outlineLevel="0" collapsed="false">
      <c r="B19" s="4" t="s">
        <v>6</v>
      </c>
      <c r="C19" s="5" t="n">
        <v>1</v>
      </c>
      <c r="D19" s="6" t="n">
        <v>18</v>
      </c>
      <c r="E19" s="6" t="n">
        <v>930</v>
      </c>
      <c r="F19" s="6" t="n">
        <f aca="false">F18+E19</f>
        <v>15820</v>
      </c>
      <c r="G19" s="6"/>
    </row>
    <row r="20" customFormat="false" ht="12.8" hidden="false" customHeight="false" outlineLevel="0" collapsed="false">
      <c r="B20" s="4" t="s">
        <v>6</v>
      </c>
      <c r="C20" s="5" t="n">
        <v>1</v>
      </c>
      <c r="D20" s="6" t="n">
        <v>19</v>
      </c>
      <c r="E20" s="6" t="n">
        <v>1370</v>
      </c>
      <c r="F20" s="6" t="n">
        <f aca="false">F19+E20</f>
        <v>17190</v>
      </c>
      <c r="G20" s="6" t="n">
        <v>1</v>
      </c>
    </row>
    <row r="21" customFormat="false" ht="12.8" hidden="false" customHeight="false" outlineLevel="0" collapsed="false">
      <c r="B21" s="4" t="s">
        <v>6</v>
      </c>
      <c r="C21" s="5" t="n">
        <v>1</v>
      </c>
      <c r="D21" s="6" t="n">
        <v>20</v>
      </c>
      <c r="E21" s="6" t="n">
        <v>280</v>
      </c>
      <c r="F21" s="6" t="n">
        <f aca="false">F20+E21</f>
        <v>17470</v>
      </c>
      <c r="G21" s="7"/>
      <c r="H21" s="1" t="s">
        <v>10</v>
      </c>
    </row>
    <row r="22" customFormat="false" ht="12.8" hidden="false" customHeight="false" outlineLevel="0" collapsed="false">
      <c r="B22" s="4" t="s">
        <v>6</v>
      </c>
      <c r="C22" s="5" t="n">
        <v>1</v>
      </c>
      <c r="D22" s="6" t="n">
        <v>21</v>
      </c>
      <c r="E22" s="6" t="n">
        <v>930</v>
      </c>
      <c r="F22" s="6" t="n">
        <f aca="false">F21+E22</f>
        <v>18400</v>
      </c>
      <c r="G22" s="6"/>
    </row>
    <row r="23" customFormat="false" ht="12.8" hidden="false" customHeight="false" outlineLevel="0" collapsed="false">
      <c r="B23" s="4" t="s">
        <v>6</v>
      </c>
      <c r="C23" s="5" t="n">
        <v>1</v>
      </c>
      <c r="D23" s="6" t="n">
        <v>22</v>
      </c>
      <c r="E23" s="8" t="n">
        <v>300</v>
      </c>
      <c r="F23" s="6" t="n">
        <f aca="false">F22+E23</f>
        <v>18700</v>
      </c>
      <c r="G23" s="6"/>
    </row>
    <row r="24" customFormat="false" ht="12.8" hidden="false" customHeight="false" outlineLevel="0" collapsed="false">
      <c r="B24" s="4" t="s">
        <v>6</v>
      </c>
      <c r="C24" s="5" t="n">
        <v>1</v>
      </c>
      <c r="D24" s="6" t="n">
        <v>23</v>
      </c>
      <c r="E24" s="6" t="n">
        <v>2160</v>
      </c>
      <c r="F24" s="6" t="n">
        <f aca="false">F23+E24</f>
        <v>20860</v>
      </c>
      <c r="G24" s="6" t="n">
        <v>1</v>
      </c>
    </row>
    <row r="25" customFormat="false" ht="12.8" hidden="false" customHeight="false" outlineLevel="0" collapsed="false">
      <c r="B25" s="4" t="s">
        <v>6</v>
      </c>
      <c r="C25" s="5" t="n">
        <v>1</v>
      </c>
      <c r="D25" s="6" t="n">
        <v>24</v>
      </c>
      <c r="E25" s="6" t="n">
        <v>280</v>
      </c>
      <c r="F25" s="6" t="n">
        <f aca="false">F24+E25</f>
        <v>21140</v>
      </c>
      <c r="G25" s="7"/>
    </row>
    <row r="26" customFormat="false" ht="12.8" hidden="false" customHeight="false" outlineLevel="0" collapsed="false">
      <c r="B26" s="4" t="s">
        <v>6</v>
      </c>
      <c r="C26" s="5" t="n">
        <v>1</v>
      </c>
      <c r="D26" s="6" t="n">
        <v>25</v>
      </c>
      <c r="E26" s="6" t="n">
        <v>960</v>
      </c>
      <c r="F26" s="6" t="n">
        <f aca="false">F25+E26</f>
        <v>22100</v>
      </c>
      <c r="G26" s="6"/>
    </row>
    <row r="27" customFormat="false" ht="12.8" hidden="false" customHeight="false" outlineLevel="0" collapsed="false">
      <c r="B27" s="4" t="s">
        <v>6</v>
      </c>
      <c r="C27" s="5" t="n">
        <v>1</v>
      </c>
      <c r="D27" s="6" t="n">
        <v>26</v>
      </c>
      <c r="E27" s="8" t="n">
        <v>300</v>
      </c>
      <c r="F27" s="6" t="n">
        <f aca="false">F26+E27</f>
        <v>22400</v>
      </c>
      <c r="G27" s="6"/>
    </row>
    <row r="28" customFormat="false" ht="12.8" hidden="false" customHeight="false" outlineLevel="0" collapsed="false">
      <c r="B28" s="4" t="s">
        <v>6</v>
      </c>
      <c r="C28" s="5" t="n">
        <v>1</v>
      </c>
      <c r="D28" s="6" t="n">
        <v>27</v>
      </c>
      <c r="E28" s="6" t="n">
        <v>2160</v>
      </c>
      <c r="F28" s="6" t="n">
        <f aca="false">F27+E28</f>
        <v>24560</v>
      </c>
      <c r="G28" s="6" t="n">
        <v>1</v>
      </c>
    </row>
    <row r="29" customFormat="false" ht="12.8" hidden="false" customHeight="false" outlineLevel="0" collapsed="false">
      <c r="B29" s="4" t="s">
        <v>6</v>
      </c>
      <c r="C29" s="5" t="n">
        <v>1</v>
      </c>
      <c r="D29" s="6" t="n">
        <v>28</v>
      </c>
      <c r="E29" s="6" t="n">
        <v>280</v>
      </c>
      <c r="F29" s="6" t="n">
        <f aca="false">F28+E29</f>
        <v>24840</v>
      </c>
      <c r="G29" s="7"/>
    </row>
    <row r="30" customFormat="false" ht="12.8" hidden="false" customHeight="false" outlineLevel="0" collapsed="false">
      <c r="B30" s="4" t="s">
        <v>6</v>
      </c>
      <c r="C30" s="5" t="n">
        <v>1</v>
      </c>
      <c r="D30" s="6" t="n">
        <v>29</v>
      </c>
      <c r="E30" s="6" t="n">
        <v>970</v>
      </c>
      <c r="F30" s="6" t="n">
        <f aca="false">F29+E30</f>
        <v>25810</v>
      </c>
      <c r="G30" s="6"/>
      <c r="H30" s="1" t="s">
        <v>11</v>
      </c>
      <c r="I30" s="6" t="n">
        <f aca="false">SUM(E2:E31)</f>
        <v>25810</v>
      </c>
      <c r="J30" s="6" t="s">
        <v>12</v>
      </c>
      <c r="K30" s="6" t="n">
        <v>25810</v>
      </c>
    </row>
    <row r="31" customFormat="false" ht="12.8" hidden="false" customHeight="false" outlineLevel="0" collapsed="false">
      <c r="B31" s="9" t="s">
        <v>6</v>
      </c>
      <c r="C31" s="10" t="n">
        <v>2</v>
      </c>
      <c r="D31" s="6" t="n">
        <v>1</v>
      </c>
      <c r="E31" s="6" t="n">
        <v>0</v>
      </c>
      <c r="F31" s="6" t="n">
        <f aca="false">E31</f>
        <v>0</v>
      </c>
      <c r="G31" s="6"/>
    </row>
    <row r="32" customFormat="false" ht="12.8" hidden="false" customHeight="false" outlineLevel="0" collapsed="false">
      <c r="B32" s="9" t="s">
        <v>6</v>
      </c>
      <c r="C32" s="10" t="n">
        <v>2</v>
      </c>
      <c r="D32" s="6" t="n">
        <v>2</v>
      </c>
      <c r="E32" s="6" t="n">
        <v>970</v>
      </c>
      <c r="F32" s="6" t="n">
        <f aca="false">F31+E32</f>
        <v>970</v>
      </c>
      <c r="G32" s="6"/>
    </row>
    <row r="33" customFormat="false" ht="12.8" hidden="false" customHeight="false" outlineLevel="0" collapsed="false">
      <c r="B33" s="9" t="s">
        <v>6</v>
      </c>
      <c r="C33" s="10" t="n">
        <v>2</v>
      </c>
      <c r="D33" s="6" t="n">
        <v>3</v>
      </c>
      <c r="E33" s="6" t="n">
        <v>280</v>
      </c>
      <c r="F33" s="6" t="n">
        <f aca="false">F32+E33</f>
        <v>1250</v>
      </c>
      <c r="G33" s="7" t="n">
        <v>1</v>
      </c>
    </row>
    <row r="34" customFormat="false" ht="12.8" hidden="false" customHeight="false" outlineLevel="0" collapsed="false">
      <c r="B34" s="9" t="s">
        <v>6</v>
      </c>
      <c r="C34" s="10" t="n">
        <v>2</v>
      </c>
      <c r="D34" s="6" t="n">
        <v>4</v>
      </c>
      <c r="E34" s="6" t="n">
        <v>2160</v>
      </c>
      <c r="F34" s="6" t="n">
        <f aca="false">F33+E34</f>
        <v>3410</v>
      </c>
      <c r="G34" s="6"/>
    </row>
    <row r="35" customFormat="false" ht="12.8" hidden="false" customHeight="false" outlineLevel="0" collapsed="false">
      <c r="B35" s="9" t="s">
        <v>6</v>
      </c>
      <c r="C35" s="10" t="n">
        <v>2</v>
      </c>
      <c r="D35" s="6" t="n">
        <v>5</v>
      </c>
      <c r="E35" s="8" t="n">
        <v>300</v>
      </c>
      <c r="F35" s="6" t="n">
        <f aca="false">F34+E35</f>
        <v>3710</v>
      </c>
      <c r="G35" s="6"/>
    </row>
    <row r="36" customFormat="false" ht="12.8" hidden="false" customHeight="false" outlineLevel="0" collapsed="false">
      <c r="B36" s="9" t="s">
        <v>6</v>
      </c>
      <c r="C36" s="10" t="n">
        <v>2</v>
      </c>
      <c r="D36" s="6" t="n">
        <v>6</v>
      </c>
      <c r="E36" s="6" t="n">
        <v>960</v>
      </c>
      <c r="F36" s="6" t="n">
        <f aca="false">F35+E36</f>
        <v>4670</v>
      </c>
      <c r="G36" s="6"/>
    </row>
    <row r="37" customFormat="false" ht="12.8" hidden="false" customHeight="false" outlineLevel="0" collapsed="false">
      <c r="B37" s="9" t="s">
        <v>6</v>
      </c>
      <c r="C37" s="10" t="n">
        <v>2</v>
      </c>
      <c r="D37" s="6" t="n">
        <v>7</v>
      </c>
      <c r="E37" s="6" t="n">
        <v>280</v>
      </c>
      <c r="F37" s="6" t="n">
        <f aca="false">F36+E37</f>
        <v>4950</v>
      </c>
      <c r="G37" s="7" t="n">
        <v>1</v>
      </c>
    </row>
    <row r="38" customFormat="false" ht="12.8" hidden="false" customHeight="false" outlineLevel="0" collapsed="false">
      <c r="B38" s="9" t="s">
        <v>6</v>
      </c>
      <c r="C38" s="10" t="n">
        <v>2</v>
      </c>
      <c r="D38" s="6" t="n">
        <v>8</v>
      </c>
      <c r="E38" s="6" t="n">
        <v>2160</v>
      </c>
      <c r="F38" s="6" t="n">
        <f aca="false">F37+E38</f>
        <v>7110</v>
      </c>
      <c r="G38" s="6"/>
    </row>
    <row r="39" customFormat="false" ht="12.8" hidden="false" customHeight="false" outlineLevel="0" collapsed="false">
      <c r="B39" s="9" t="s">
        <v>6</v>
      </c>
      <c r="C39" s="10" t="n">
        <v>2</v>
      </c>
      <c r="D39" s="6" t="n">
        <v>9</v>
      </c>
      <c r="E39" s="8" t="n">
        <v>300</v>
      </c>
      <c r="F39" s="6" t="n">
        <f aca="false">F38+E39</f>
        <v>7410</v>
      </c>
      <c r="G39" s="6"/>
    </row>
    <row r="40" customFormat="false" ht="12.8" hidden="false" customHeight="false" outlineLevel="0" collapsed="false">
      <c r="B40" s="9" t="s">
        <v>6</v>
      </c>
      <c r="C40" s="10" t="n">
        <v>2</v>
      </c>
      <c r="D40" s="6" t="n">
        <v>10</v>
      </c>
      <c r="E40" s="6" t="n">
        <v>930</v>
      </c>
      <c r="F40" s="6" t="n">
        <f aca="false">F39+E40</f>
        <v>8340</v>
      </c>
      <c r="G40" s="6"/>
      <c r="H40" s="1" t="s">
        <v>7</v>
      </c>
    </row>
    <row r="41" customFormat="false" ht="12.8" hidden="false" customHeight="false" outlineLevel="0" collapsed="false">
      <c r="B41" s="9" t="s">
        <v>6</v>
      </c>
      <c r="C41" s="10" t="n">
        <v>2</v>
      </c>
      <c r="D41" s="6" t="n">
        <v>11</v>
      </c>
      <c r="E41" s="6" t="n">
        <v>280</v>
      </c>
      <c r="F41" s="6" t="n">
        <f aca="false">F40+E41</f>
        <v>8620</v>
      </c>
      <c r="G41" s="7" t="n">
        <v>1</v>
      </c>
    </row>
    <row r="42" customFormat="false" ht="12.8" hidden="false" customHeight="false" outlineLevel="0" collapsed="false">
      <c r="B42" s="9" t="s">
        <v>6</v>
      </c>
      <c r="C42" s="10" t="n">
        <v>2</v>
      </c>
      <c r="D42" s="6" t="n">
        <v>12</v>
      </c>
      <c r="E42" s="6" t="n">
        <v>1370</v>
      </c>
      <c r="F42" s="6" t="n">
        <f aca="false">F41+E42</f>
        <v>9990</v>
      </c>
      <c r="G42" s="6"/>
    </row>
    <row r="43" customFormat="false" ht="12.8" hidden="false" customHeight="false" outlineLevel="0" collapsed="false">
      <c r="B43" s="9" t="s">
        <v>6</v>
      </c>
      <c r="C43" s="10" t="n">
        <v>2</v>
      </c>
      <c r="D43" s="6" t="n">
        <v>13</v>
      </c>
      <c r="E43" s="6" t="n">
        <v>930</v>
      </c>
      <c r="F43" s="6" t="n">
        <f aca="false">F42+E43</f>
        <v>10920</v>
      </c>
      <c r="G43" s="6"/>
    </row>
    <row r="44" customFormat="false" ht="12.8" hidden="false" customHeight="false" outlineLevel="0" collapsed="false">
      <c r="B44" s="9" t="s">
        <v>6</v>
      </c>
      <c r="C44" s="10" t="n">
        <v>2</v>
      </c>
      <c r="D44" s="6" t="n">
        <v>14</v>
      </c>
      <c r="E44" s="8" t="n">
        <v>300</v>
      </c>
      <c r="F44" s="6" t="n">
        <f aca="false">F43+E44</f>
        <v>11220</v>
      </c>
      <c r="G44" s="6"/>
    </row>
    <row r="45" customFormat="false" ht="12.8" hidden="false" customHeight="false" outlineLevel="0" collapsed="false">
      <c r="B45" s="9" t="s">
        <v>6</v>
      </c>
      <c r="C45" s="10" t="n">
        <v>2</v>
      </c>
      <c r="D45" s="6" t="n">
        <v>15</v>
      </c>
      <c r="E45" s="6" t="n">
        <v>280</v>
      </c>
      <c r="F45" s="6" t="n">
        <f aca="false">F44+E45</f>
        <v>11500</v>
      </c>
      <c r="G45" s="7" t="n">
        <v>1</v>
      </c>
      <c r="H45" s="1" t="s">
        <v>8</v>
      </c>
    </row>
    <row r="46" customFormat="false" ht="12.8" hidden="false" customHeight="false" outlineLevel="0" collapsed="false">
      <c r="B46" s="9" t="s">
        <v>6</v>
      </c>
      <c r="C46" s="10" t="n">
        <v>2</v>
      </c>
      <c r="D46" s="6" t="n">
        <v>16</v>
      </c>
      <c r="E46" s="6" t="n">
        <v>3090</v>
      </c>
      <c r="F46" s="6" t="n">
        <f aca="false">F45+E46</f>
        <v>14590</v>
      </c>
      <c r="G46" s="6"/>
      <c r="H46" s="1" t="s">
        <v>9</v>
      </c>
    </row>
    <row r="47" customFormat="false" ht="12.8" hidden="false" customHeight="false" outlineLevel="0" collapsed="false">
      <c r="B47" s="9" t="s">
        <v>6</v>
      </c>
      <c r="C47" s="10" t="n">
        <v>2</v>
      </c>
      <c r="D47" s="6" t="n">
        <v>17</v>
      </c>
      <c r="E47" s="8" t="n">
        <v>300</v>
      </c>
      <c r="F47" s="6" t="n">
        <f aca="false">F46+E47</f>
        <v>14890</v>
      </c>
      <c r="G47" s="6"/>
    </row>
    <row r="48" customFormat="false" ht="12.8" hidden="false" customHeight="false" outlineLevel="0" collapsed="false">
      <c r="B48" s="9" t="s">
        <v>6</v>
      </c>
      <c r="C48" s="10" t="n">
        <v>2</v>
      </c>
      <c r="D48" s="6" t="n">
        <v>18</v>
      </c>
      <c r="E48" s="6" t="n">
        <v>930</v>
      </c>
      <c r="F48" s="6" t="n">
        <f aca="false">F47+E48</f>
        <v>15820</v>
      </c>
      <c r="G48" s="6"/>
    </row>
    <row r="49" customFormat="false" ht="12.8" hidden="false" customHeight="false" outlineLevel="0" collapsed="false">
      <c r="B49" s="9" t="s">
        <v>6</v>
      </c>
      <c r="C49" s="10" t="n">
        <v>2</v>
      </c>
      <c r="D49" s="6" t="n">
        <v>19</v>
      </c>
      <c r="E49" s="6" t="n">
        <v>280</v>
      </c>
      <c r="F49" s="6" t="n">
        <f aca="false">F48+E49</f>
        <v>16100</v>
      </c>
      <c r="G49" s="7" t="n">
        <v>1</v>
      </c>
    </row>
    <row r="50" customFormat="false" ht="12.8" hidden="false" customHeight="false" outlineLevel="0" collapsed="false">
      <c r="B50" s="9" t="s">
        <v>6</v>
      </c>
      <c r="C50" s="10" t="n">
        <v>2</v>
      </c>
      <c r="D50" s="6" t="n">
        <v>20</v>
      </c>
      <c r="E50" s="6" t="n">
        <v>1370</v>
      </c>
      <c r="F50" s="6" t="n">
        <f aca="false">F49+E50</f>
        <v>17470</v>
      </c>
      <c r="G50" s="6"/>
      <c r="H50" s="1" t="s">
        <v>10</v>
      </c>
    </row>
    <row r="51" customFormat="false" ht="12.8" hidden="false" customHeight="false" outlineLevel="0" collapsed="false">
      <c r="B51" s="9" t="s">
        <v>6</v>
      </c>
      <c r="C51" s="10" t="n">
        <v>2</v>
      </c>
      <c r="D51" s="6" t="n">
        <v>21</v>
      </c>
      <c r="E51" s="6" t="n">
        <v>930</v>
      </c>
      <c r="F51" s="6" t="n">
        <f aca="false">F50+E51</f>
        <v>18400</v>
      </c>
      <c r="G51" s="6"/>
    </row>
    <row r="52" customFormat="false" ht="12.8" hidden="false" customHeight="false" outlineLevel="0" collapsed="false">
      <c r="B52" s="9" t="s">
        <v>6</v>
      </c>
      <c r="C52" s="10" t="n">
        <v>2</v>
      </c>
      <c r="D52" s="6" t="n">
        <v>22</v>
      </c>
      <c r="E52" s="8" t="n">
        <v>300</v>
      </c>
      <c r="F52" s="6" t="n">
        <f aca="false">F51+E52</f>
        <v>18700</v>
      </c>
      <c r="G52" s="6"/>
    </row>
    <row r="53" customFormat="false" ht="12.8" hidden="false" customHeight="false" outlineLevel="0" collapsed="false">
      <c r="B53" s="9" t="s">
        <v>6</v>
      </c>
      <c r="C53" s="10" t="n">
        <v>2</v>
      </c>
      <c r="D53" s="6" t="n">
        <v>23</v>
      </c>
      <c r="E53" s="6" t="n">
        <v>280</v>
      </c>
      <c r="F53" s="6" t="n">
        <f aca="false">F52+E53</f>
        <v>18980</v>
      </c>
      <c r="G53" s="7" t="n">
        <v>1</v>
      </c>
    </row>
    <row r="54" customFormat="false" ht="12.8" hidden="false" customHeight="false" outlineLevel="0" collapsed="false">
      <c r="B54" s="9" t="s">
        <v>6</v>
      </c>
      <c r="C54" s="10" t="n">
        <v>2</v>
      </c>
      <c r="D54" s="6" t="n">
        <v>24</v>
      </c>
      <c r="E54" s="6" t="n">
        <v>2160</v>
      </c>
      <c r="F54" s="6" t="n">
        <f aca="false">F53+E54</f>
        <v>21140</v>
      </c>
      <c r="G54" s="6"/>
    </row>
    <row r="55" customFormat="false" ht="12.8" hidden="false" customHeight="false" outlineLevel="0" collapsed="false">
      <c r="B55" s="9" t="s">
        <v>6</v>
      </c>
      <c r="C55" s="10" t="n">
        <v>2</v>
      </c>
      <c r="D55" s="6" t="n">
        <v>25</v>
      </c>
      <c r="E55" s="6" t="n">
        <v>960</v>
      </c>
      <c r="F55" s="6" t="n">
        <f aca="false">F54+E55</f>
        <v>22100</v>
      </c>
      <c r="G55" s="6"/>
    </row>
    <row r="56" customFormat="false" ht="12.8" hidden="false" customHeight="false" outlineLevel="0" collapsed="false">
      <c r="B56" s="9" t="s">
        <v>6</v>
      </c>
      <c r="C56" s="10" t="n">
        <v>2</v>
      </c>
      <c r="D56" s="6" t="n">
        <v>26</v>
      </c>
      <c r="E56" s="8" t="n">
        <v>300</v>
      </c>
      <c r="F56" s="6" t="n">
        <f aca="false">F55+E56</f>
        <v>22400</v>
      </c>
      <c r="G56" s="6"/>
    </row>
    <row r="57" customFormat="false" ht="12.8" hidden="false" customHeight="false" outlineLevel="0" collapsed="false">
      <c r="B57" s="9" t="s">
        <v>6</v>
      </c>
      <c r="C57" s="10" t="n">
        <v>2</v>
      </c>
      <c r="D57" s="6" t="n">
        <v>27</v>
      </c>
      <c r="E57" s="6" t="n">
        <v>280</v>
      </c>
      <c r="F57" s="6" t="n">
        <f aca="false">F56+E57</f>
        <v>22680</v>
      </c>
      <c r="G57" s="7" t="n">
        <v>1</v>
      </c>
    </row>
    <row r="58" customFormat="false" ht="12.8" hidden="false" customHeight="false" outlineLevel="0" collapsed="false">
      <c r="B58" s="9" t="s">
        <v>6</v>
      </c>
      <c r="C58" s="10" t="n">
        <v>2</v>
      </c>
      <c r="D58" s="6" t="n">
        <v>28</v>
      </c>
      <c r="E58" s="6" t="n">
        <v>2160</v>
      </c>
      <c r="F58" s="6" t="n">
        <f aca="false">F57+E58</f>
        <v>24840</v>
      </c>
      <c r="G58" s="6"/>
    </row>
    <row r="59" customFormat="false" ht="12.8" hidden="false" customHeight="false" outlineLevel="0" collapsed="false">
      <c r="B59" s="9" t="s">
        <v>6</v>
      </c>
      <c r="C59" s="10" t="n">
        <v>2</v>
      </c>
      <c r="D59" s="6" t="n">
        <v>29</v>
      </c>
      <c r="E59" s="6" t="n">
        <v>970</v>
      </c>
      <c r="F59" s="6" t="n">
        <f aca="false">F58+E59</f>
        <v>25810</v>
      </c>
      <c r="G59" s="6"/>
      <c r="I59" s="6" t="n">
        <f aca="false">SUM(E31:E59)</f>
        <v>25810</v>
      </c>
    </row>
  </sheetData>
  <sheetProtection sheet="true" objects="true" scenarios="true"/>
  <autoFilter ref="B1:I59"/>
  <printOptions headings="false" gridLines="false" gridLinesSet="true" horizontalCentered="false" verticalCentered="false"/>
  <pageMargins left="0.7875" right="0.7875" top="1.05277777777778" bottom="1.05277777777778" header="0.7875" footer="0.7875"/>
  <pageSetup paperSize="9" scale="100" fitToWidth="1" fitToHeight="1" pageOrder="downThenOver" orientation="portrait" blackAndWhite="false" draft="false" cellComments="none" horizontalDpi="300" verticalDpi="300" copies="1"/>
  <headerFooter differentFirst="false" differentOddEven="false">
    <oddHeader>&amp;C&amp;"Times New Roman,Обычный"&amp;12&amp;A</oddHeader>
    <oddFooter>&amp;C&amp;"Times New Roman,Обычный"&amp;12Страница &amp;P</oddFooter>
  </headerFooter>
  <drawing r:id="rId1"/>
</worksheet>
</file>

<file path=xl/worksheets/sheet2.xml><?xml version="1.0" encoding="utf-8"?>
<worksheet xmlns="http://schemas.openxmlformats.org/spreadsheetml/2006/main" xmlns:r="http://schemas.openxmlformats.org/officeDocument/2006/relationships" xmlns:xdr="http://schemas.openxmlformats.org/drawingml/2006/spreadsheetDrawing" xmlns:x14="http://schemas.microsoft.com/office/spreadsheetml/2009/9/main" xmlns:xr2="http://schemas.microsoft.com/office/spreadsheetml/2015/revision2" xmlns:mc="http://schemas.openxmlformats.org/markup-compatibility/2006">
  <sheetPr filterMode="false">
    <pageSetUpPr fitToPage="false"/>
  </sheetPr>
  <dimension ref="A1:K31"/>
  <sheetViews>
    <sheetView showFormulas="false" showGridLines="true" showRowColHeaders="true" showZeros="true" rightToLeft="false" tabSelected="true" showOutlineSymbols="true" defaultGridColor="true" view="normal" topLeftCell="A1" colorId="64" zoomScale="100" zoomScaleNormal="100" zoomScalePageLayoutView="100" workbookViewId="0">
      <selection pane="topLeft" activeCell="A2" activeCellId="0" sqref="A2:K31"/>
    </sheetView>
  </sheetViews>
  <sheetFormatPr defaultColWidth="11.53515625" defaultRowHeight="12.8" customHeight="true" zeroHeight="false" outlineLevelRow="0" outlineLevelCol="0"/>
  <cols>
    <col collapsed="false" customWidth="false" hidden="false" outlineLevel="0" max="1" min="1" style="1" width="11.53"/>
    <col collapsed="false" customWidth="true" hidden="false" outlineLevel="0" max="3" min="2" style="1" width="15.17"/>
    <col collapsed="false" customWidth="true" hidden="false" outlineLevel="0" max="4" min="4" style="1" width="16.31"/>
    <col collapsed="false" customWidth="true" hidden="false" outlineLevel="0" max="5" min="5" style="1" width="17.12"/>
    <col collapsed="false" customWidth="true" hidden="false" outlineLevel="0" max="6" min="6" style="11" width="17.44"/>
    <col collapsed="false" customWidth="true" hidden="false" outlineLevel="0" max="7" min="7" style="11" width="17.88"/>
    <col collapsed="false" customWidth="true" hidden="false" outlineLevel="0" max="8" min="8" style="11" width="23.11"/>
    <col collapsed="false" customWidth="true" hidden="false" outlineLevel="0" max="9" min="9" style="11" width="15.39"/>
    <col collapsed="false" customWidth="false" hidden="false" outlineLevel="0" max="11" min="11" style="1" width="11.53"/>
  </cols>
  <sheetData>
    <row r="1" customFormat="false" ht="12.8" hidden="false" customHeight="false" outlineLevel="0" collapsed="false">
      <c r="A1" s="3" t="s">
        <v>13</v>
      </c>
      <c r="B1" s="3" t="s">
        <v>14</v>
      </c>
      <c r="C1" s="3" t="s">
        <v>15</v>
      </c>
      <c r="D1" s="3" t="s">
        <v>16</v>
      </c>
      <c r="E1" s="3" t="s">
        <v>17</v>
      </c>
      <c r="F1" s="2" t="s">
        <v>18</v>
      </c>
      <c r="G1" s="3" t="s">
        <v>19</v>
      </c>
      <c r="H1" s="2" t="s">
        <v>20</v>
      </c>
      <c r="I1" s="2" t="s">
        <v>21</v>
      </c>
      <c r="J1" s="3" t="s">
        <v>22</v>
      </c>
      <c r="K1" s="3" t="s">
        <v>23</v>
      </c>
    </row>
    <row r="2" customFormat="false" ht="12.8" hidden="false" customHeight="false" outlineLevel="0" collapsed="false">
      <c r="A2" s="1" t="n">
        <v>0</v>
      </c>
      <c r="B2" s="12" t="s">
        <v>24</v>
      </c>
      <c r="C2" s="12" t="s">
        <v>24</v>
      </c>
      <c r="D2" s="12" t="s">
        <v>24</v>
      </c>
      <c r="E2" s="12" t="s">
        <v>24</v>
      </c>
      <c r="F2" s="12" t="s">
        <v>24</v>
      </c>
      <c r="G2" s="12" t="s">
        <v>24</v>
      </c>
      <c r="H2" s="12" t="s">
        <v>25</v>
      </c>
      <c r="I2" s="11" t="str">
        <f aca="false">IF(F2="Продлить","Нет","")</f>
        <v/>
      </c>
      <c r="J2" s="1"/>
      <c r="K2" s="1" t="s">
        <v>23</v>
      </c>
    </row>
    <row r="3" customFormat="false" ht="12.8" hidden="false" customHeight="false" outlineLevel="0" collapsed="false">
      <c r="A3" s="1" t="n">
        <v>1</v>
      </c>
      <c r="B3" s="13" t="s">
        <v>26</v>
      </c>
      <c r="C3" s="13" t="s">
        <v>26</v>
      </c>
      <c r="D3" s="12" t="s">
        <v>26</v>
      </c>
      <c r="E3" s="14" t="s">
        <v>27</v>
      </c>
      <c r="F3" s="12" t="s">
        <v>27</v>
      </c>
      <c r="G3" s="12" t="s">
        <v>27</v>
      </c>
      <c r="H3" s="12" t="s">
        <v>25</v>
      </c>
      <c r="I3" s="11" t="str">
        <f aca="false">IF(F3="Продлить","Нет","")</f>
        <v/>
      </c>
      <c r="J3" s="1"/>
      <c r="K3" s="1" t="s">
        <v>23</v>
      </c>
    </row>
    <row r="4" customFormat="false" ht="12.8" hidden="false" customHeight="false" outlineLevel="0" collapsed="false">
      <c r="A4" s="1" t="n">
        <v>2</v>
      </c>
      <c r="B4" s="13" t="s">
        <v>28</v>
      </c>
      <c r="C4" s="13" t="s">
        <v>28</v>
      </c>
      <c r="D4" s="12" t="s">
        <v>29</v>
      </c>
      <c r="E4" s="12" t="s">
        <v>29</v>
      </c>
      <c r="F4" s="12" t="s">
        <v>30</v>
      </c>
      <c r="G4" s="12" t="s">
        <v>27</v>
      </c>
      <c r="H4" s="12" t="s">
        <v>25</v>
      </c>
      <c r="I4" s="11" t="str">
        <f aca="false">IF(F4="Продлить","Нет","")</f>
        <v>Нет</v>
      </c>
      <c r="J4" s="1"/>
      <c r="K4" s="1" t="s">
        <v>23</v>
      </c>
    </row>
    <row r="5" customFormat="false" ht="12.8" hidden="false" customHeight="false" outlineLevel="0" collapsed="false">
      <c r="A5" s="1" t="n">
        <v>3</v>
      </c>
      <c r="B5" s="13" t="s">
        <v>29</v>
      </c>
      <c r="C5" s="13" t="s">
        <v>29</v>
      </c>
      <c r="D5" s="12" t="s">
        <v>28</v>
      </c>
      <c r="E5" s="12" t="s">
        <v>28</v>
      </c>
      <c r="F5" s="12" t="s">
        <v>30</v>
      </c>
      <c r="G5" s="12" t="s">
        <v>27</v>
      </c>
      <c r="H5" s="12" t="s">
        <v>25</v>
      </c>
      <c r="I5" s="11" t="str">
        <f aca="false">IF(F5="Продлить","Нет","")</f>
        <v>Нет</v>
      </c>
      <c r="J5" s="1"/>
      <c r="K5" s="1" t="s">
        <v>23</v>
      </c>
    </row>
    <row r="6" customFormat="false" ht="12.8" hidden="false" customHeight="false" outlineLevel="0" collapsed="false">
      <c r="A6" s="1" t="n">
        <v>4</v>
      </c>
      <c r="B6" s="15" t="s">
        <v>31</v>
      </c>
      <c r="C6" s="15" t="s">
        <v>31</v>
      </c>
      <c r="D6" s="15" t="s">
        <v>31</v>
      </c>
      <c r="E6" s="15" t="s">
        <v>31</v>
      </c>
      <c r="F6" s="15" t="s">
        <v>31</v>
      </c>
      <c r="G6" s="15" t="s">
        <v>31</v>
      </c>
      <c r="H6" s="15" t="s">
        <v>31</v>
      </c>
      <c r="I6" s="11" t="str">
        <f aca="false">IF(F6="Продлить","Нет","")</f>
        <v/>
      </c>
      <c r="J6" s="1"/>
      <c r="K6" s="1" t="s">
        <v>23</v>
      </c>
    </row>
    <row r="7" customFormat="false" ht="12.8" hidden="false" customHeight="false" outlineLevel="0" collapsed="false">
      <c r="A7" s="1" t="n">
        <v>5</v>
      </c>
      <c r="B7" s="13" t="s">
        <v>26</v>
      </c>
      <c r="C7" s="13" t="s">
        <v>26</v>
      </c>
      <c r="D7" s="12" t="s">
        <v>26</v>
      </c>
      <c r="E7" s="14" t="s">
        <v>27</v>
      </c>
      <c r="F7" s="12" t="s">
        <v>27</v>
      </c>
      <c r="G7" s="12" t="s">
        <v>27</v>
      </c>
      <c r="H7" s="12" t="s">
        <v>25</v>
      </c>
      <c r="I7" s="11" t="str">
        <f aca="false">IF(F7="Продлить","Нет","")</f>
        <v/>
      </c>
      <c r="J7" s="1"/>
      <c r="K7" s="1" t="s">
        <v>23</v>
      </c>
    </row>
    <row r="8" customFormat="false" ht="12.8" hidden="false" customHeight="false" outlineLevel="0" collapsed="false">
      <c r="A8" s="1" t="n">
        <v>6</v>
      </c>
      <c r="B8" s="13" t="s">
        <v>28</v>
      </c>
      <c r="C8" s="13" t="s">
        <v>28</v>
      </c>
      <c r="D8" s="12" t="s">
        <v>29</v>
      </c>
      <c r="E8" s="12" t="s">
        <v>29</v>
      </c>
      <c r="F8" s="12" t="s">
        <v>30</v>
      </c>
      <c r="G8" s="12" t="s">
        <v>27</v>
      </c>
      <c r="H8" s="12" t="s">
        <v>25</v>
      </c>
      <c r="I8" s="11" t="str">
        <f aca="false">IF(F8="Продлить","Нет","")</f>
        <v>Нет</v>
      </c>
      <c r="J8" s="1"/>
      <c r="K8" s="1" t="s">
        <v>23</v>
      </c>
    </row>
    <row r="9" customFormat="false" ht="12.8" hidden="false" customHeight="false" outlineLevel="0" collapsed="false">
      <c r="A9" s="1" t="n">
        <v>7</v>
      </c>
      <c r="B9" s="13" t="s">
        <v>29</v>
      </c>
      <c r="C9" s="13" t="s">
        <v>29</v>
      </c>
      <c r="D9" s="12" t="s">
        <v>28</v>
      </c>
      <c r="E9" s="12" t="s">
        <v>28</v>
      </c>
      <c r="F9" s="12" t="s">
        <v>30</v>
      </c>
      <c r="G9" s="12" t="s">
        <v>27</v>
      </c>
      <c r="H9" s="12" t="s">
        <v>25</v>
      </c>
      <c r="I9" s="11" t="str">
        <f aca="false">IF(F9="Продлить","Нет","")</f>
        <v>Нет</v>
      </c>
      <c r="J9" s="1"/>
      <c r="K9" s="1" t="s">
        <v>23</v>
      </c>
    </row>
    <row r="10" customFormat="false" ht="12.8" hidden="false" customHeight="false" outlineLevel="0" collapsed="false">
      <c r="A10" s="1" t="n">
        <v>8</v>
      </c>
      <c r="B10" s="15" t="s">
        <v>31</v>
      </c>
      <c r="C10" s="15" t="s">
        <v>31</v>
      </c>
      <c r="D10" s="15" t="s">
        <v>31</v>
      </c>
      <c r="E10" s="15" t="s">
        <v>31</v>
      </c>
      <c r="F10" s="15" t="s">
        <v>31</v>
      </c>
      <c r="G10" s="15" t="s">
        <v>31</v>
      </c>
      <c r="H10" s="15" t="s">
        <v>31</v>
      </c>
      <c r="I10" s="11" t="str">
        <f aca="false">IF(F10="Продлить","Нет","")</f>
        <v/>
      </c>
      <c r="J10" s="1"/>
      <c r="K10" s="1" t="s">
        <v>23</v>
      </c>
    </row>
    <row r="11" customFormat="false" ht="12.8" hidden="false" customHeight="false" outlineLevel="0" collapsed="false">
      <c r="A11" s="1" t="n">
        <v>9</v>
      </c>
      <c r="B11" s="16" t="s">
        <v>26</v>
      </c>
      <c r="C11" s="16" t="s">
        <v>26</v>
      </c>
      <c r="D11" s="12" t="s">
        <v>26</v>
      </c>
      <c r="E11" s="14" t="s">
        <v>27</v>
      </c>
      <c r="F11" s="12" t="s">
        <v>27</v>
      </c>
      <c r="G11" s="12" t="s">
        <v>27</v>
      </c>
      <c r="H11" s="12" t="s">
        <v>25</v>
      </c>
      <c r="I11" s="11" t="str">
        <f aca="false">IF(F11="Продлить","Нет","")</f>
        <v/>
      </c>
      <c r="J11" s="1"/>
      <c r="K11" s="1" t="s">
        <v>23</v>
      </c>
    </row>
    <row r="12" customFormat="false" ht="12.8" hidden="false" customHeight="false" outlineLevel="0" collapsed="false">
      <c r="A12" s="1" t="n">
        <v>10</v>
      </c>
      <c r="B12" s="16" t="s">
        <v>32</v>
      </c>
      <c r="C12" s="16" t="s">
        <v>32</v>
      </c>
      <c r="D12" s="12" t="s">
        <v>29</v>
      </c>
      <c r="E12" s="12" t="s">
        <v>29</v>
      </c>
      <c r="F12" s="12" t="s">
        <v>30</v>
      </c>
      <c r="G12" s="12" t="s">
        <v>27</v>
      </c>
      <c r="H12" s="12" t="s">
        <v>25</v>
      </c>
      <c r="I12" s="11" t="str">
        <f aca="false">IF(F12="Продлить","Нет","")</f>
        <v>Нет</v>
      </c>
      <c r="J12" s="1"/>
      <c r="K12" s="1" t="s">
        <v>23</v>
      </c>
    </row>
    <row r="13" customFormat="false" ht="12.8" hidden="false" customHeight="false" outlineLevel="0" collapsed="false">
      <c r="A13" s="1" t="n">
        <v>11</v>
      </c>
      <c r="B13" s="16" t="s">
        <v>29</v>
      </c>
      <c r="C13" s="16" t="s">
        <v>29</v>
      </c>
      <c r="D13" s="12" t="s">
        <v>32</v>
      </c>
      <c r="E13" s="12" t="s">
        <v>32</v>
      </c>
      <c r="F13" s="12" t="s">
        <v>30</v>
      </c>
      <c r="G13" s="12" t="s">
        <v>27</v>
      </c>
      <c r="H13" s="12" t="s">
        <v>25</v>
      </c>
      <c r="I13" s="11" t="str">
        <f aca="false">IF(F13="Продлить","Нет","")</f>
        <v>Нет</v>
      </c>
      <c r="J13" s="1"/>
      <c r="K13" s="1" t="s">
        <v>23</v>
      </c>
    </row>
    <row r="14" customFormat="false" ht="12.8" hidden="false" customHeight="false" outlineLevel="0" collapsed="false">
      <c r="A14" s="1" t="n">
        <v>12</v>
      </c>
      <c r="B14" s="16" t="s">
        <v>26</v>
      </c>
      <c r="C14" s="16" t="s">
        <v>26</v>
      </c>
      <c r="D14" s="12" t="s">
        <v>26</v>
      </c>
      <c r="E14" s="14" t="s">
        <v>27</v>
      </c>
      <c r="F14" s="12" t="s">
        <v>30</v>
      </c>
      <c r="G14" s="12" t="s">
        <v>27</v>
      </c>
      <c r="H14" s="12" t="s">
        <v>25</v>
      </c>
      <c r="I14" s="11" t="str">
        <f aca="false">IF(F14="Продлить","Нет","")</f>
        <v>Нет</v>
      </c>
      <c r="J14" s="1"/>
      <c r="K14" s="1" t="s">
        <v>23</v>
      </c>
    </row>
    <row r="15" customFormat="false" ht="12.8" hidden="false" customHeight="false" outlineLevel="0" collapsed="false">
      <c r="A15" s="1" t="n">
        <v>13</v>
      </c>
      <c r="B15" s="15" t="s">
        <v>31</v>
      </c>
      <c r="C15" s="15" t="s">
        <v>31</v>
      </c>
      <c r="D15" s="15" t="s">
        <v>31</v>
      </c>
      <c r="E15" s="15" t="s">
        <v>31</v>
      </c>
      <c r="F15" s="15" t="s">
        <v>31</v>
      </c>
      <c r="G15" s="15" t="s">
        <v>31</v>
      </c>
      <c r="H15" s="15" t="s">
        <v>31</v>
      </c>
      <c r="I15" s="11" t="str">
        <f aca="false">IF(F15="Продлить","Нет","")</f>
        <v/>
      </c>
      <c r="J15" s="1"/>
      <c r="K15" s="1" t="s">
        <v>23</v>
      </c>
    </row>
    <row r="16" customFormat="false" ht="12.8" hidden="false" customHeight="false" outlineLevel="0" collapsed="false">
      <c r="A16" s="1" t="n">
        <v>14</v>
      </c>
      <c r="B16" s="12" t="s">
        <v>33</v>
      </c>
      <c r="C16" s="17" t="s">
        <v>28</v>
      </c>
      <c r="D16" s="12" t="s">
        <v>29</v>
      </c>
      <c r="E16" s="12" t="s">
        <v>29</v>
      </c>
      <c r="F16" s="12" t="s">
        <v>27</v>
      </c>
      <c r="G16" s="12" t="s">
        <v>27</v>
      </c>
      <c r="H16" s="12" t="s">
        <v>25</v>
      </c>
      <c r="I16" s="11" t="str">
        <f aca="false">IF(F16="Продлить","Нет","")</f>
        <v/>
      </c>
      <c r="J16" s="1"/>
      <c r="K16" s="1" t="s">
        <v>23</v>
      </c>
    </row>
    <row r="17" customFormat="false" ht="12.8" hidden="false" customHeight="false" outlineLevel="0" collapsed="false">
      <c r="A17" s="1" t="n">
        <v>15</v>
      </c>
      <c r="B17" s="12" t="s">
        <v>29</v>
      </c>
      <c r="C17" s="12" t="s">
        <v>29</v>
      </c>
      <c r="D17" s="12" t="s">
        <v>33</v>
      </c>
      <c r="E17" s="12" t="s">
        <v>33</v>
      </c>
      <c r="F17" s="12" t="s">
        <v>30</v>
      </c>
      <c r="G17" s="12" t="s">
        <v>27</v>
      </c>
      <c r="H17" s="12" t="s">
        <v>25</v>
      </c>
      <c r="I17" s="11" t="str">
        <f aca="false">IF(F17="Продлить","Нет","")</f>
        <v>Нет</v>
      </c>
      <c r="J17" s="1"/>
      <c r="K17" s="1" t="s">
        <v>23</v>
      </c>
    </row>
    <row r="18" customFormat="false" ht="12.8" hidden="false" customHeight="false" outlineLevel="0" collapsed="false">
      <c r="A18" s="1" t="n">
        <v>16</v>
      </c>
      <c r="B18" s="15" t="s">
        <v>31</v>
      </c>
      <c r="C18" s="15" t="s">
        <v>31</v>
      </c>
      <c r="D18" s="15" t="s">
        <v>31</v>
      </c>
      <c r="E18" s="15" t="s">
        <v>31</v>
      </c>
      <c r="F18" s="15" t="s">
        <v>31</v>
      </c>
      <c r="G18" s="15" t="s">
        <v>31</v>
      </c>
      <c r="H18" s="15" t="s">
        <v>31</v>
      </c>
      <c r="I18" s="11" t="str">
        <f aca="false">IF(F18="Продлить","Нет","")</f>
        <v/>
      </c>
      <c r="J18" s="1"/>
      <c r="K18" s="1" t="s">
        <v>23</v>
      </c>
    </row>
    <row r="19" customFormat="false" ht="12.8" hidden="false" customHeight="false" outlineLevel="0" collapsed="false">
      <c r="A19" s="1" t="n">
        <v>17</v>
      </c>
      <c r="B19" s="16" t="s">
        <v>26</v>
      </c>
      <c r="C19" s="16" t="s">
        <v>26</v>
      </c>
      <c r="D19" s="12" t="s">
        <v>26</v>
      </c>
      <c r="E19" s="14" t="s">
        <v>27</v>
      </c>
      <c r="F19" s="12" t="s">
        <v>27</v>
      </c>
      <c r="G19" s="12" t="s">
        <v>27</v>
      </c>
      <c r="H19" s="12" t="s">
        <v>25</v>
      </c>
      <c r="I19" s="11" t="str">
        <f aca="false">IF(F19="Продлить","Нет","")</f>
        <v/>
      </c>
      <c r="J19" s="1"/>
      <c r="K19" s="1" t="s">
        <v>23</v>
      </c>
    </row>
    <row r="20" customFormat="false" ht="12.8" hidden="false" customHeight="false" outlineLevel="0" collapsed="false">
      <c r="A20" s="1" t="n">
        <v>18</v>
      </c>
      <c r="B20" s="16" t="s">
        <v>32</v>
      </c>
      <c r="C20" s="16" t="s">
        <v>32</v>
      </c>
      <c r="D20" s="12" t="s">
        <v>29</v>
      </c>
      <c r="E20" s="12" t="s">
        <v>29</v>
      </c>
      <c r="F20" s="12" t="s">
        <v>30</v>
      </c>
      <c r="G20" s="12" t="s">
        <v>27</v>
      </c>
      <c r="H20" s="12" t="s">
        <v>25</v>
      </c>
      <c r="I20" s="11" t="str">
        <f aca="false">IF(F20="Продлить","Нет","")</f>
        <v>Нет</v>
      </c>
      <c r="J20" s="1"/>
      <c r="K20" s="1" t="s">
        <v>23</v>
      </c>
    </row>
    <row r="21" customFormat="false" ht="12.8" hidden="false" customHeight="false" outlineLevel="0" collapsed="false">
      <c r="A21" s="1" t="n">
        <v>19</v>
      </c>
      <c r="B21" s="16" t="s">
        <v>29</v>
      </c>
      <c r="C21" s="16" t="s">
        <v>29</v>
      </c>
      <c r="D21" s="12" t="s">
        <v>32</v>
      </c>
      <c r="E21" s="12" t="s">
        <v>32</v>
      </c>
      <c r="F21" s="12" t="s">
        <v>30</v>
      </c>
      <c r="G21" s="12" t="s">
        <v>27</v>
      </c>
      <c r="H21" s="12" t="s">
        <v>25</v>
      </c>
      <c r="I21" s="11" t="str">
        <f aca="false">IF(F21="Продлить","Нет","")</f>
        <v>Нет</v>
      </c>
      <c r="J21" s="1"/>
      <c r="K21" s="1" t="s">
        <v>23</v>
      </c>
    </row>
    <row r="22" customFormat="false" ht="12.8" hidden="false" customHeight="false" outlineLevel="0" collapsed="false">
      <c r="A22" s="1" t="n">
        <v>20</v>
      </c>
      <c r="B22" s="16" t="s">
        <v>26</v>
      </c>
      <c r="C22" s="16" t="s">
        <v>26</v>
      </c>
      <c r="D22" s="12" t="s">
        <v>26</v>
      </c>
      <c r="E22" s="14" t="s">
        <v>27</v>
      </c>
      <c r="F22" s="12" t="s">
        <v>30</v>
      </c>
      <c r="G22" s="12" t="s">
        <v>27</v>
      </c>
      <c r="H22" s="12" t="s">
        <v>25</v>
      </c>
      <c r="I22" s="11" t="str">
        <f aca="false">IF(F22="Продлить","Нет","")</f>
        <v>Нет</v>
      </c>
      <c r="J22" s="1"/>
      <c r="K22" s="1" t="s">
        <v>23</v>
      </c>
    </row>
    <row r="23" customFormat="false" ht="12.8" hidden="false" customHeight="false" outlineLevel="0" collapsed="false">
      <c r="A23" s="1" t="n">
        <v>21</v>
      </c>
      <c r="B23" s="15" t="s">
        <v>31</v>
      </c>
      <c r="C23" s="15" t="s">
        <v>31</v>
      </c>
      <c r="D23" s="15" t="s">
        <v>31</v>
      </c>
      <c r="E23" s="15" t="s">
        <v>31</v>
      </c>
      <c r="F23" s="15" t="s">
        <v>31</v>
      </c>
      <c r="G23" s="15" t="s">
        <v>31</v>
      </c>
      <c r="H23" s="15" t="s">
        <v>31</v>
      </c>
      <c r="I23" s="11" t="str">
        <f aca="false">IF(F23="Продлить","Нет","")</f>
        <v/>
      </c>
      <c r="J23" s="1"/>
      <c r="K23" s="1" t="s">
        <v>23</v>
      </c>
    </row>
    <row r="24" customFormat="false" ht="12.8" hidden="false" customHeight="false" outlineLevel="0" collapsed="false">
      <c r="A24" s="1" t="n">
        <v>22</v>
      </c>
      <c r="B24" s="18" t="s">
        <v>28</v>
      </c>
      <c r="C24" s="18" t="s">
        <v>28</v>
      </c>
      <c r="D24" s="12" t="s">
        <v>29</v>
      </c>
      <c r="E24" s="12" t="s">
        <v>29</v>
      </c>
      <c r="F24" s="12" t="s">
        <v>27</v>
      </c>
      <c r="G24" s="12" t="s">
        <v>27</v>
      </c>
      <c r="H24" s="12" t="s">
        <v>25</v>
      </c>
      <c r="I24" s="11" t="str">
        <f aca="false">IF(F24="Продлить","Нет","")</f>
        <v/>
      </c>
      <c r="J24" s="1"/>
      <c r="K24" s="1" t="s">
        <v>23</v>
      </c>
    </row>
    <row r="25" customFormat="false" ht="12.8" hidden="false" customHeight="false" outlineLevel="0" collapsed="false">
      <c r="A25" s="1" t="n">
        <v>23</v>
      </c>
      <c r="B25" s="18" t="s">
        <v>29</v>
      </c>
      <c r="C25" s="18" t="s">
        <v>29</v>
      </c>
      <c r="D25" s="12" t="s">
        <v>28</v>
      </c>
      <c r="E25" s="12" t="s">
        <v>28</v>
      </c>
      <c r="F25" s="12" t="s">
        <v>30</v>
      </c>
      <c r="G25" s="12" t="s">
        <v>27</v>
      </c>
      <c r="H25" s="12" t="s">
        <v>25</v>
      </c>
      <c r="I25" s="11" t="str">
        <f aca="false">IF(F25="Продлить","Нет","")</f>
        <v>Нет</v>
      </c>
      <c r="J25" s="1"/>
      <c r="K25" s="1" t="s">
        <v>23</v>
      </c>
    </row>
    <row r="26" customFormat="false" ht="12.8" hidden="false" customHeight="false" outlineLevel="0" collapsed="false">
      <c r="A26" s="1" t="n">
        <v>24</v>
      </c>
      <c r="B26" s="18" t="s">
        <v>26</v>
      </c>
      <c r="C26" s="18" t="s">
        <v>26</v>
      </c>
      <c r="D26" s="12" t="s">
        <v>26</v>
      </c>
      <c r="E26" s="14" t="s">
        <v>27</v>
      </c>
      <c r="F26" s="12" t="s">
        <v>30</v>
      </c>
      <c r="G26" s="12" t="s">
        <v>27</v>
      </c>
      <c r="H26" s="12" t="s">
        <v>25</v>
      </c>
      <c r="I26" s="11" t="str">
        <f aca="false">IF(F26="Продлить","Нет","")</f>
        <v>Нет</v>
      </c>
      <c r="J26" s="1"/>
      <c r="K26" s="1" t="s">
        <v>23</v>
      </c>
    </row>
    <row r="27" customFormat="false" ht="12.8" hidden="false" customHeight="false" outlineLevel="0" collapsed="false">
      <c r="A27" s="1" t="n">
        <v>25</v>
      </c>
      <c r="B27" s="15" t="s">
        <v>31</v>
      </c>
      <c r="C27" s="15" t="s">
        <v>31</v>
      </c>
      <c r="D27" s="15" t="s">
        <v>31</v>
      </c>
      <c r="E27" s="15" t="s">
        <v>31</v>
      </c>
      <c r="F27" s="15" t="s">
        <v>31</v>
      </c>
      <c r="G27" s="15" t="s">
        <v>31</v>
      </c>
      <c r="H27" s="15" t="s">
        <v>31</v>
      </c>
      <c r="I27" s="11" t="str">
        <f aca="false">IF(F27="Продлить","Нет","")</f>
        <v/>
      </c>
      <c r="J27" s="1"/>
      <c r="K27" s="1" t="s">
        <v>23</v>
      </c>
    </row>
    <row r="28" customFormat="false" ht="12.8" hidden="false" customHeight="false" outlineLevel="0" collapsed="false">
      <c r="A28" s="1" t="n">
        <v>26</v>
      </c>
      <c r="B28" s="18" t="s">
        <v>28</v>
      </c>
      <c r="C28" s="18" t="s">
        <v>28</v>
      </c>
      <c r="D28" s="12" t="s">
        <v>29</v>
      </c>
      <c r="E28" s="12" t="s">
        <v>29</v>
      </c>
      <c r="F28" s="12" t="s">
        <v>27</v>
      </c>
      <c r="G28" s="12" t="s">
        <v>27</v>
      </c>
      <c r="H28" s="12" t="s">
        <v>25</v>
      </c>
      <c r="I28" s="11" t="str">
        <f aca="false">IF(F28="Продлить","Нет","")</f>
        <v/>
      </c>
      <c r="J28" s="1"/>
      <c r="K28" s="1" t="s">
        <v>23</v>
      </c>
    </row>
    <row r="29" customFormat="false" ht="12.8" hidden="false" customHeight="false" outlineLevel="0" collapsed="false">
      <c r="A29" s="1" t="n">
        <v>27</v>
      </c>
      <c r="B29" s="18" t="s">
        <v>29</v>
      </c>
      <c r="C29" s="18" t="s">
        <v>29</v>
      </c>
      <c r="D29" s="12" t="s">
        <v>28</v>
      </c>
      <c r="E29" s="12" t="s">
        <v>28</v>
      </c>
      <c r="F29" s="12" t="s">
        <v>30</v>
      </c>
      <c r="G29" s="12" t="s">
        <v>27</v>
      </c>
      <c r="H29" s="12" t="s">
        <v>25</v>
      </c>
      <c r="I29" s="11" t="str">
        <f aca="false">IF(F29="Продлить","Нет","")</f>
        <v>Нет</v>
      </c>
      <c r="J29" s="1"/>
      <c r="K29" s="1" t="s">
        <v>23</v>
      </c>
    </row>
    <row r="30" customFormat="false" ht="12.8" hidden="false" customHeight="false" outlineLevel="0" collapsed="false">
      <c r="A30" s="1" t="n">
        <v>28</v>
      </c>
      <c r="B30" s="18" t="s">
        <v>26</v>
      </c>
      <c r="C30" s="18" t="s">
        <v>26</v>
      </c>
      <c r="D30" s="12" t="s">
        <v>26</v>
      </c>
      <c r="E30" s="14" t="s">
        <v>27</v>
      </c>
      <c r="F30" s="12" t="s">
        <v>30</v>
      </c>
      <c r="G30" s="12" t="s">
        <v>27</v>
      </c>
      <c r="H30" s="12" t="s">
        <v>25</v>
      </c>
      <c r="I30" s="11" t="str">
        <f aca="false">IF(F30="Продлить","Нет","")</f>
        <v>Нет</v>
      </c>
      <c r="J30" s="1"/>
      <c r="K30" s="1" t="s">
        <v>23</v>
      </c>
    </row>
    <row r="31" customFormat="false" ht="12.8" hidden="false" customHeight="false" outlineLevel="0" collapsed="false">
      <c r="A31" s="1" t="n">
        <v>29</v>
      </c>
      <c r="B31" s="12"/>
      <c r="C31" s="12"/>
      <c r="D31" s="12"/>
      <c r="E31" s="14"/>
      <c r="F31" s="12"/>
      <c r="G31" s="12"/>
      <c r="H31" s="12" t="s">
        <v>25</v>
      </c>
      <c r="I31" s="11" t="str">
        <f aca="false">IF(F31="Продлить","Нет","")</f>
        <v/>
      </c>
      <c r="J31" s="1"/>
      <c r="K31" s="1" t="s">
        <v>23</v>
      </c>
    </row>
  </sheetData>
  <sheetProtection sheet="true" objects="true" scenarios="true"/>
  <autoFilter ref="A1:K31"/>
  <dataValidations count="1">
    <dataValidation allowBlank="true" errorStyle="stop" operator="equal" showDropDown="false" showErrorMessage="true" showInputMessage="false" sqref="B2:H31" type="list">
      <formula1>Data!$B$2:$B$25</formula1>
      <formula2>0</formula2>
    </dataValidation>
  </dataValidations>
  <printOptions headings="false" gridLines="false" gridLinesSet="true" horizontalCentered="false" verticalCentered="false"/>
  <pageMargins left="0.7875" right="0.7875" top="1.05277777777778" bottom="1.05277777777778" header="0.7875" footer="0.7875"/>
  <pageSetup paperSize="9" scale="100" fitToWidth="1" fitToHeight="1" pageOrder="downThenOver" orientation="portrait" blackAndWhite="false" draft="false" cellComments="none" horizontalDpi="300" verticalDpi="300" copies="1"/>
  <headerFooter differentFirst="false" differentOddEven="false">
    <oddHeader>&amp;C&amp;"Times New Roman,Обычный"&amp;12&amp;A</oddHeader>
    <oddFooter>&amp;C&amp;"Times New Roman,Обычный"&amp;12Страница &amp;P</oddFooter>
  </headerFooter>
  <drawing r:id="rId2"/>
  <legacyDrawing r:id="rId3"/>
</worksheet>
</file>

<file path=xl/worksheets/sheet3.xml><?xml version="1.0" encoding="utf-8"?>
<worksheet xmlns="http://schemas.openxmlformats.org/spreadsheetml/2006/main" xmlns:r="http://schemas.openxmlformats.org/officeDocument/2006/relationships" xmlns:xdr="http://schemas.openxmlformats.org/drawingml/2006/spreadsheetDrawing" xmlns:x14="http://schemas.microsoft.com/office/spreadsheetml/2009/9/main" xmlns:xr2="http://schemas.microsoft.com/office/spreadsheetml/2015/revision2" xmlns:mc="http://schemas.openxmlformats.org/markup-compatibility/2006">
  <sheetPr filterMode="false">
    <pageSetUpPr fitToPage="false"/>
  </sheetPr>
  <dimension ref="A1:O32"/>
  <sheetViews>
    <sheetView showFormulas="false" showGridLines="true" showRowColHeaders="true" showZeros="true" rightToLeft="false" tabSelected="false" showOutlineSymbols="true" defaultGridColor="true" view="normal" topLeftCell="A1" colorId="64" zoomScale="100" zoomScaleNormal="100" zoomScalePageLayoutView="100" workbookViewId="0">
      <selection pane="topLeft" activeCell="J5" activeCellId="0" sqref="A2:K31"/>
    </sheetView>
  </sheetViews>
  <sheetFormatPr defaultColWidth="11.53515625" defaultRowHeight="12.8" customHeight="true" zeroHeight="false" outlineLevelRow="0" outlineLevelCol="0"/>
  <cols>
    <col collapsed="false" customWidth="false" hidden="false" outlineLevel="0" max="1" min="1" style="1" width="11.53"/>
    <col collapsed="false" customWidth="true" hidden="false" outlineLevel="0" max="2" min="2" style="1" width="14.55"/>
    <col collapsed="false" customWidth="false" hidden="false" outlineLevel="0" max="3" min="3" style="1" width="11.53"/>
    <col collapsed="false" customWidth="true" hidden="false" outlineLevel="0" max="4" min="4" style="1" width="14.29"/>
    <col collapsed="false" customWidth="true" hidden="false" outlineLevel="0" max="5" min="5" style="1" width="17.23"/>
    <col collapsed="false" customWidth="true" hidden="false" outlineLevel="0" max="7" min="6" style="1" width="18.19"/>
    <col collapsed="false" customWidth="true" hidden="false" outlineLevel="0" max="8" min="8" style="1" width="14.87"/>
    <col collapsed="false" customWidth="true" hidden="false" outlineLevel="0" max="9" min="9" style="1" width="16.26"/>
    <col collapsed="false" customWidth="true" hidden="false" outlineLevel="0" max="10" min="10" style="1" width="16.37"/>
    <col collapsed="false" customWidth="true" hidden="false" outlineLevel="0" max="11" min="11" style="1" width="19.9"/>
    <col collapsed="false" customWidth="true" hidden="false" outlineLevel="0" max="13" min="12" style="11" width="14.66"/>
  </cols>
  <sheetData>
    <row r="1" customFormat="false" ht="12.8" hidden="false" customHeight="false" outlineLevel="0" collapsed="false">
      <c r="A1" s="17" t="s">
        <v>34</v>
      </c>
      <c r="B1" s="17" t="s">
        <v>35</v>
      </c>
      <c r="C1" s="3" t="s">
        <v>13</v>
      </c>
      <c r="D1" s="3" t="s">
        <v>36</v>
      </c>
      <c r="E1" s="3" t="s">
        <v>37</v>
      </c>
      <c r="F1" s="3" t="s">
        <v>38</v>
      </c>
      <c r="G1" s="3" t="s">
        <v>39</v>
      </c>
      <c r="H1" s="3" t="s">
        <v>40</v>
      </c>
      <c r="I1" s="3" t="s">
        <v>41</v>
      </c>
      <c r="J1" s="3" t="s">
        <v>42</v>
      </c>
      <c r="K1" s="3" t="s">
        <v>43</v>
      </c>
      <c r="L1" s="3" t="s">
        <v>44</v>
      </c>
      <c r="M1" s="3" t="s">
        <v>45</v>
      </c>
      <c r="N1" s="3" t="s">
        <v>22</v>
      </c>
      <c r="O1" s="3" t="s">
        <v>23</v>
      </c>
    </row>
    <row r="2" customFormat="false" ht="12.8" hidden="false" customHeight="false" outlineLevel="0" collapsed="false">
      <c r="A2" s="12" t="s">
        <v>24</v>
      </c>
      <c r="B2" s="12" t="s">
        <v>24</v>
      </c>
      <c r="C2" s="1" t="n">
        <v>0</v>
      </c>
      <c r="D2" s="12"/>
      <c r="E2" s="12"/>
      <c r="F2" s="12"/>
      <c r="G2" s="12"/>
      <c r="H2" s="12"/>
      <c r="I2" s="12"/>
      <c r="J2" s="12"/>
      <c r="K2" s="12"/>
      <c r="L2" s="12"/>
      <c r="M2" s="12"/>
    </row>
    <row r="3" customFormat="false" ht="12.8" hidden="false" customHeight="false" outlineLevel="0" collapsed="false">
      <c r="A3" s="13" t="s">
        <v>26</v>
      </c>
      <c r="B3" s="12" t="s">
        <v>26</v>
      </c>
      <c r="C3" s="1" t="n">
        <v>1</v>
      </c>
      <c r="D3" s="12" t="s">
        <v>46</v>
      </c>
      <c r="E3" s="12" t="s">
        <v>46</v>
      </c>
      <c r="F3" s="12"/>
      <c r="G3" s="12"/>
      <c r="H3" s="12" t="s">
        <v>46</v>
      </c>
      <c r="I3" s="12" t="s">
        <v>46</v>
      </c>
      <c r="J3" s="12"/>
      <c r="K3" s="12"/>
      <c r="L3" s="12" t="s">
        <v>46</v>
      </c>
      <c r="M3" s="19" t="s">
        <v>47</v>
      </c>
    </row>
    <row r="4" customFormat="false" ht="12.8" hidden="false" customHeight="false" outlineLevel="0" collapsed="false">
      <c r="A4" s="13" t="s">
        <v>28</v>
      </c>
      <c r="B4" s="12" t="s">
        <v>29</v>
      </c>
      <c r="C4" s="1" t="n">
        <v>2</v>
      </c>
      <c r="D4" s="19" t="s">
        <v>47</v>
      </c>
      <c r="E4" s="19" t="s">
        <v>47</v>
      </c>
      <c r="F4" s="12" t="s">
        <v>48</v>
      </c>
      <c r="G4" s="12"/>
      <c r="H4" s="12" t="s">
        <v>46</v>
      </c>
      <c r="I4" s="12" t="s">
        <v>46</v>
      </c>
      <c r="J4" s="12"/>
      <c r="K4" s="12"/>
      <c r="L4" s="12" t="s">
        <v>46</v>
      </c>
      <c r="M4" s="12" t="s">
        <v>46</v>
      </c>
    </row>
    <row r="5" customFormat="false" ht="12.8" hidden="false" customHeight="false" outlineLevel="0" collapsed="false">
      <c r="A5" s="13" t="s">
        <v>29</v>
      </c>
      <c r="B5" s="12" t="s">
        <v>28</v>
      </c>
      <c r="C5" s="1" t="n">
        <v>3</v>
      </c>
      <c r="D5" s="12" t="s">
        <v>46</v>
      </c>
      <c r="E5" s="12" t="s">
        <v>46</v>
      </c>
      <c r="F5" s="12"/>
      <c r="G5" s="12"/>
      <c r="H5" s="19" t="s">
        <v>47</v>
      </c>
      <c r="I5" s="19" t="s">
        <v>47</v>
      </c>
      <c r="J5" s="12" t="s">
        <v>48</v>
      </c>
      <c r="K5" s="12" t="s">
        <v>48</v>
      </c>
      <c r="L5" s="12" t="s">
        <v>46</v>
      </c>
      <c r="M5" s="19" t="s">
        <v>47</v>
      </c>
    </row>
    <row r="6" customFormat="false" ht="12.8" hidden="false" customHeight="false" outlineLevel="0" collapsed="false">
      <c r="A6" s="15" t="s">
        <v>31</v>
      </c>
      <c r="B6" s="15" t="s">
        <v>31</v>
      </c>
      <c r="C6" s="1" t="n">
        <v>4</v>
      </c>
      <c r="D6" s="15" t="s">
        <v>49</v>
      </c>
      <c r="E6" s="15" t="s">
        <v>49</v>
      </c>
      <c r="F6" s="12"/>
      <c r="G6" s="12"/>
      <c r="H6" s="15" t="s">
        <v>49</v>
      </c>
      <c r="I6" s="15" t="s">
        <v>49</v>
      </c>
      <c r="J6" s="12"/>
      <c r="K6" s="12"/>
      <c r="L6" s="15" t="s">
        <v>49</v>
      </c>
      <c r="M6" s="15" t="s">
        <v>49</v>
      </c>
    </row>
    <row r="7" customFormat="false" ht="12.8" hidden="false" customHeight="false" outlineLevel="0" collapsed="false">
      <c r="A7" s="13" t="s">
        <v>26</v>
      </c>
      <c r="B7" s="12" t="s">
        <v>26</v>
      </c>
      <c r="C7" s="1" t="n">
        <v>5</v>
      </c>
      <c r="D7" s="12" t="s">
        <v>46</v>
      </c>
      <c r="E7" s="12" t="s">
        <v>46</v>
      </c>
      <c r="F7" s="12"/>
      <c r="G7" s="12"/>
      <c r="H7" s="12" t="s">
        <v>46</v>
      </c>
      <c r="I7" s="12" t="s">
        <v>46</v>
      </c>
      <c r="J7" s="12"/>
      <c r="K7" s="12"/>
      <c r="L7" s="12" t="s">
        <v>46</v>
      </c>
      <c r="M7" s="19" t="s">
        <v>47</v>
      </c>
    </row>
    <row r="8" customFormat="false" ht="12.8" hidden="false" customHeight="false" outlineLevel="0" collapsed="false">
      <c r="A8" s="13" t="s">
        <v>28</v>
      </c>
      <c r="B8" s="12" t="s">
        <v>29</v>
      </c>
      <c r="C8" s="1" t="n">
        <v>6</v>
      </c>
      <c r="D8" s="19" t="s">
        <v>47</v>
      </c>
      <c r="E8" s="19" t="s">
        <v>47</v>
      </c>
      <c r="F8" s="12" t="s">
        <v>48</v>
      </c>
      <c r="G8" s="12"/>
      <c r="H8" s="12" t="s">
        <v>46</v>
      </c>
      <c r="I8" s="12" t="s">
        <v>46</v>
      </c>
      <c r="J8" s="12"/>
      <c r="K8" s="12"/>
      <c r="L8" s="12" t="s">
        <v>46</v>
      </c>
      <c r="M8" s="12" t="s">
        <v>46</v>
      </c>
    </row>
    <row r="9" customFormat="false" ht="12.8" hidden="false" customHeight="false" outlineLevel="0" collapsed="false">
      <c r="A9" s="13" t="s">
        <v>29</v>
      </c>
      <c r="B9" s="12" t="s">
        <v>28</v>
      </c>
      <c r="C9" s="1" t="n">
        <v>7</v>
      </c>
      <c r="D9" s="12" t="s">
        <v>46</v>
      </c>
      <c r="E9" s="12" t="s">
        <v>46</v>
      </c>
      <c r="F9" s="12"/>
      <c r="G9" s="12"/>
      <c r="H9" s="19" t="s">
        <v>47</v>
      </c>
      <c r="I9" s="19" t="s">
        <v>47</v>
      </c>
      <c r="J9" s="12" t="s">
        <v>48</v>
      </c>
      <c r="K9" s="12" t="s">
        <v>48</v>
      </c>
      <c r="L9" s="12" t="s">
        <v>46</v>
      </c>
      <c r="M9" s="19" t="s">
        <v>47</v>
      </c>
    </row>
    <row r="10" customFormat="false" ht="12.8" hidden="false" customHeight="false" outlineLevel="0" collapsed="false">
      <c r="A10" s="15" t="s">
        <v>31</v>
      </c>
      <c r="B10" s="15" t="s">
        <v>31</v>
      </c>
      <c r="C10" s="1" t="n">
        <v>8</v>
      </c>
      <c r="D10" s="15" t="s">
        <v>49</v>
      </c>
      <c r="E10" s="15" t="s">
        <v>49</v>
      </c>
      <c r="F10" s="12"/>
      <c r="G10" s="12"/>
      <c r="H10" s="15" t="s">
        <v>49</v>
      </c>
      <c r="I10" s="15" t="s">
        <v>49</v>
      </c>
      <c r="J10" s="12"/>
      <c r="K10" s="12"/>
      <c r="L10" s="15" t="s">
        <v>49</v>
      </c>
      <c r="M10" s="15" t="s">
        <v>49</v>
      </c>
    </row>
    <row r="11" customFormat="false" ht="12.8" hidden="false" customHeight="false" outlineLevel="0" collapsed="false">
      <c r="A11" s="16" t="s">
        <v>26</v>
      </c>
      <c r="B11" s="12" t="s">
        <v>26</v>
      </c>
      <c r="C11" s="1" t="n">
        <v>9</v>
      </c>
      <c r="D11" s="12" t="s">
        <v>46</v>
      </c>
      <c r="E11" s="12" t="s">
        <v>46</v>
      </c>
      <c r="F11" s="12"/>
      <c r="G11" s="12"/>
      <c r="H11" s="12" t="s">
        <v>46</v>
      </c>
      <c r="I11" s="12" t="s">
        <v>46</v>
      </c>
      <c r="J11" s="12"/>
      <c r="K11" s="12"/>
      <c r="L11" s="12" t="s">
        <v>46</v>
      </c>
      <c r="M11" s="19" t="s">
        <v>47</v>
      </c>
    </row>
    <row r="12" customFormat="false" ht="12.8" hidden="false" customHeight="false" outlineLevel="0" collapsed="false">
      <c r="A12" s="16" t="s">
        <v>32</v>
      </c>
      <c r="B12" s="12" t="s">
        <v>29</v>
      </c>
      <c r="C12" s="1" t="n">
        <v>10</v>
      </c>
      <c r="D12" s="19" t="s">
        <v>47</v>
      </c>
      <c r="E12" s="20" t="s">
        <v>46</v>
      </c>
      <c r="F12" s="12"/>
      <c r="G12" s="12"/>
      <c r="H12" s="12" t="s">
        <v>46</v>
      </c>
      <c r="I12" s="12" t="s">
        <v>46</v>
      </c>
      <c r="J12" s="12"/>
      <c r="K12" s="12"/>
      <c r="L12" s="12" t="s">
        <v>46</v>
      </c>
      <c r="M12" s="12" t="s">
        <v>46</v>
      </c>
    </row>
    <row r="13" customFormat="false" ht="12.8" hidden="false" customHeight="false" outlineLevel="0" collapsed="false">
      <c r="A13" s="16" t="s">
        <v>29</v>
      </c>
      <c r="B13" s="12" t="s">
        <v>32</v>
      </c>
      <c r="C13" s="1" t="n">
        <v>11</v>
      </c>
      <c r="D13" s="12" t="s">
        <v>46</v>
      </c>
      <c r="E13" s="12" t="s">
        <v>46</v>
      </c>
      <c r="F13" s="12"/>
      <c r="G13" s="12"/>
      <c r="H13" s="19" t="s">
        <v>47</v>
      </c>
      <c r="I13" s="19" t="s">
        <v>47</v>
      </c>
      <c r="J13" s="12"/>
      <c r="K13" s="12"/>
      <c r="L13" s="12" t="s">
        <v>46</v>
      </c>
      <c r="M13" s="12" t="s">
        <v>46</v>
      </c>
    </row>
    <row r="14" customFormat="false" ht="12.8" hidden="false" customHeight="false" outlineLevel="0" collapsed="false">
      <c r="A14" s="16" t="s">
        <v>26</v>
      </c>
      <c r="B14" s="12" t="s">
        <v>26</v>
      </c>
      <c r="C14" s="1" t="n">
        <v>12</v>
      </c>
      <c r="D14" s="12" t="s">
        <v>46</v>
      </c>
      <c r="E14" s="12" t="s">
        <v>46</v>
      </c>
      <c r="F14" s="12"/>
      <c r="G14" s="12"/>
      <c r="H14" s="12" t="s">
        <v>46</v>
      </c>
      <c r="I14" s="12" t="s">
        <v>46</v>
      </c>
      <c r="J14" s="12"/>
      <c r="K14" s="12"/>
      <c r="L14" s="12" t="s">
        <v>46</v>
      </c>
      <c r="M14" s="19" t="s">
        <v>47</v>
      </c>
    </row>
    <row r="15" customFormat="false" ht="12.8" hidden="false" customHeight="false" outlineLevel="0" collapsed="false">
      <c r="A15" s="15" t="s">
        <v>31</v>
      </c>
      <c r="B15" s="15" t="s">
        <v>31</v>
      </c>
      <c r="C15" s="1" t="n">
        <v>13</v>
      </c>
      <c r="D15" s="15" t="s">
        <v>49</v>
      </c>
      <c r="E15" s="15" t="s">
        <v>49</v>
      </c>
      <c r="F15" s="12"/>
      <c r="G15" s="12"/>
      <c r="H15" s="15" t="s">
        <v>49</v>
      </c>
      <c r="I15" s="15" t="s">
        <v>49</v>
      </c>
      <c r="J15" s="12"/>
      <c r="K15" s="12"/>
      <c r="L15" s="15" t="s">
        <v>49</v>
      </c>
      <c r="M15" s="15" t="s">
        <v>49</v>
      </c>
    </row>
    <row r="16" customFormat="false" ht="12.8" hidden="false" customHeight="false" outlineLevel="0" collapsed="false">
      <c r="A16" s="12" t="s">
        <v>33</v>
      </c>
      <c r="B16" s="12" t="s">
        <v>29</v>
      </c>
      <c r="C16" s="1" t="n">
        <v>14</v>
      </c>
      <c r="D16" s="19" t="s">
        <v>47</v>
      </c>
      <c r="E16" s="19" t="s">
        <v>47</v>
      </c>
      <c r="F16" s="12" t="s">
        <v>48</v>
      </c>
      <c r="G16" s="12" t="s">
        <v>48</v>
      </c>
      <c r="H16" s="12" t="s">
        <v>46</v>
      </c>
      <c r="I16" s="21" t="s">
        <v>50</v>
      </c>
      <c r="J16" s="12"/>
      <c r="K16" s="12"/>
      <c r="L16" s="12" t="s">
        <v>46</v>
      </c>
      <c r="M16" s="19" t="s">
        <v>47</v>
      </c>
    </row>
    <row r="17" customFormat="false" ht="12.8" hidden="false" customHeight="false" outlineLevel="0" collapsed="false">
      <c r="A17" s="12" t="s">
        <v>29</v>
      </c>
      <c r="B17" s="12" t="s">
        <v>33</v>
      </c>
      <c r="C17" s="1" t="n">
        <v>15</v>
      </c>
      <c r="D17" s="12" t="s">
        <v>46</v>
      </c>
      <c r="E17" s="12" t="s">
        <v>46</v>
      </c>
      <c r="F17" s="12"/>
      <c r="G17" s="12"/>
      <c r="H17" s="19" t="s">
        <v>47</v>
      </c>
      <c r="I17" s="21" t="s">
        <v>51</v>
      </c>
      <c r="J17" s="12" t="s">
        <v>48</v>
      </c>
      <c r="K17" s="21"/>
      <c r="L17" s="12" t="s">
        <v>46</v>
      </c>
      <c r="M17" s="19" t="s">
        <v>47</v>
      </c>
    </row>
    <row r="18" customFormat="false" ht="12.8" hidden="false" customHeight="false" outlineLevel="0" collapsed="false">
      <c r="A18" s="15" t="s">
        <v>31</v>
      </c>
      <c r="B18" s="15" t="s">
        <v>31</v>
      </c>
      <c r="C18" s="1" t="n">
        <v>16</v>
      </c>
      <c r="D18" s="15" t="s">
        <v>49</v>
      </c>
      <c r="E18" s="15" t="s">
        <v>49</v>
      </c>
      <c r="F18" s="12"/>
      <c r="G18" s="12"/>
      <c r="H18" s="15" t="s">
        <v>49</v>
      </c>
      <c r="I18" s="15" t="s">
        <v>49</v>
      </c>
      <c r="J18" s="12"/>
      <c r="K18" s="12"/>
      <c r="L18" s="15" t="s">
        <v>49</v>
      </c>
      <c r="M18" s="15" t="s">
        <v>49</v>
      </c>
    </row>
    <row r="19" customFormat="false" ht="12.8" hidden="false" customHeight="false" outlineLevel="0" collapsed="false">
      <c r="A19" s="16" t="s">
        <v>26</v>
      </c>
      <c r="B19" s="12" t="s">
        <v>26</v>
      </c>
      <c r="C19" s="1" t="n">
        <v>17</v>
      </c>
      <c r="D19" s="12" t="s">
        <v>46</v>
      </c>
      <c r="E19" s="12" t="s">
        <v>46</v>
      </c>
      <c r="F19" s="12"/>
      <c r="G19" s="12"/>
      <c r="H19" s="12" t="s">
        <v>46</v>
      </c>
      <c r="I19" s="12" t="s">
        <v>46</v>
      </c>
      <c r="J19" s="12"/>
      <c r="K19" s="12"/>
      <c r="L19" s="12" t="s">
        <v>46</v>
      </c>
      <c r="M19" s="19" t="s">
        <v>47</v>
      </c>
    </row>
    <row r="20" customFormat="false" ht="12.8" hidden="false" customHeight="false" outlineLevel="0" collapsed="false">
      <c r="A20" s="16" t="s">
        <v>32</v>
      </c>
      <c r="B20" s="12" t="s">
        <v>29</v>
      </c>
      <c r="C20" s="1" t="n">
        <v>18</v>
      </c>
      <c r="D20" s="19" t="s">
        <v>47</v>
      </c>
      <c r="E20" s="20" t="s">
        <v>46</v>
      </c>
      <c r="F20" s="12"/>
      <c r="G20" s="12"/>
      <c r="H20" s="12" t="s">
        <v>46</v>
      </c>
      <c r="I20" s="12" t="s">
        <v>46</v>
      </c>
      <c r="J20" s="12"/>
      <c r="K20" s="12"/>
      <c r="L20" s="12" t="s">
        <v>46</v>
      </c>
      <c r="M20" s="12" t="s">
        <v>46</v>
      </c>
    </row>
    <row r="21" customFormat="false" ht="12.8" hidden="false" customHeight="false" outlineLevel="0" collapsed="false">
      <c r="A21" s="16" t="s">
        <v>29</v>
      </c>
      <c r="B21" s="12" t="s">
        <v>32</v>
      </c>
      <c r="C21" s="1" t="n">
        <v>19</v>
      </c>
      <c r="D21" s="12" t="s">
        <v>46</v>
      </c>
      <c r="E21" s="12" t="s">
        <v>46</v>
      </c>
      <c r="F21" s="12"/>
      <c r="G21" s="12"/>
      <c r="H21" s="19" t="s">
        <v>47</v>
      </c>
      <c r="I21" s="19" t="s">
        <v>47</v>
      </c>
      <c r="J21" s="12"/>
      <c r="K21" s="12"/>
      <c r="L21" s="12" t="s">
        <v>46</v>
      </c>
      <c r="M21" s="12" t="s">
        <v>46</v>
      </c>
    </row>
    <row r="22" customFormat="false" ht="12.8" hidden="false" customHeight="false" outlineLevel="0" collapsed="false">
      <c r="A22" s="16" t="s">
        <v>26</v>
      </c>
      <c r="B22" s="12" t="s">
        <v>26</v>
      </c>
      <c r="C22" s="1" t="n">
        <v>20</v>
      </c>
      <c r="D22" s="12" t="s">
        <v>46</v>
      </c>
      <c r="E22" s="12" t="s">
        <v>46</v>
      </c>
      <c r="F22" s="12"/>
      <c r="G22" s="12"/>
      <c r="H22" s="12" t="s">
        <v>46</v>
      </c>
      <c r="I22" s="12" t="s">
        <v>46</v>
      </c>
      <c r="J22" s="12"/>
      <c r="K22" s="12"/>
      <c r="L22" s="12" t="s">
        <v>46</v>
      </c>
      <c r="M22" s="19" t="s">
        <v>47</v>
      </c>
    </row>
    <row r="23" customFormat="false" ht="12.8" hidden="false" customHeight="false" outlineLevel="0" collapsed="false">
      <c r="A23" s="15" t="s">
        <v>31</v>
      </c>
      <c r="B23" s="15" t="s">
        <v>31</v>
      </c>
      <c r="C23" s="1" t="n">
        <v>21</v>
      </c>
      <c r="D23" s="15" t="s">
        <v>49</v>
      </c>
      <c r="E23" s="15" t="s">
        <v>49</v>
      </c>
      <c r="F23" s="12"/>
      <c r="G23" s="12"/>
      <c r="H23" s="15" t="s">
        <v>49</v>
      </c>
      <c r="I23" s="15" t="s">
        <v>49</v>
      </c>
      <c r="J23" s="12"/>
      <c r="K23" s="12"/>
      <c r="L23" s="15" t="s">
        <v>49</v>
      </c>
      <c r="M23" s="15" t="s">
        <v>49</v>
      </c>
    </row>
    <row r="24" customFormat="false" ht="12.8" hidden="false" customHeight="false" outlineLevel="0" collapsed="false">
      <c r="A24" s="18" t="s">
        <v>28</v>
      </c>
      <c r="B24" s="12" t="s">
        <v>29</v>
      </c>
      <c r="C24" s="1" t="n">
        <v>22</v>
      </c>
      <c r="D24" s="19" t="s">
        <v>47</v>
      </c>
      <c r="E24" s="19" t="s">
        <v>47</v>
      </c>
      <c r="F24" s="12" t="s">
        <v>48</v>
      </c>
      <c r="G24" s="12"/>
      <c r="H24" s="12" t="s">
        <v>46</v>
      </c>
      <c r="I24" s="12" t="s">
        <v>46</v>
      </c>
      <c r="J24" s="12"/>
      <c r="K24" s="12"/>
      <c r="L24" s="12" t="s">
        <v>46</v>
      </c>
      <c r="M24" s="19" t="s">
        <v>47</v>
      </c>
    </row>
    <row r="25" customFormat="false" ht="12.8" hidden="false" customHeight="false" outlineLevel="0" collapsed="false">
      <c r="A25" s="18" t="s">
        <v>29</v>
      </c>
      <c r="B25" s="12" t="s">
        <v>28</v>
      </c>
      <c r="C25" s="1" t="n">
        <v>23</v>
      </c>
      <c r="D25" s="12" t="s">
        <v>46</v>
      </c>
      <c r="E25" s="12" t="s">
        <v>46</v>
      </c>
      <c r="F25" s="12"/>
      <c r="G25" s="12"/>
      <c r="H25" s="19" t="s">
        <v>47</v>
      </c>
      <c r="I25" s="19" t="s">
        <v>47</v>
      </c>
      <c r="J25" s="12" t="s">
        <v>48</v>
      </c>
      <c r="K25" s="12" t="s">
        <v>48</v>
      </c>
      <c r="L25" s="12" t="s">
        <v>46</v>
      </c>
      <c r="M25" s="12" t="s">
        <v>46</v>
      </c>
    </row>
    <row r="26" customFormat="false" ht="12.8" hidden="false" customHeight="false" outlineLevel="0" collapsed="false">
      <c r="A26" s="18" t="s">
        <v>26</v>
      </c>
      <c r="B26" s="12" t="s">
        <v>26</v>
      </c>
      <c r="C26" s="1" t="n">
        <v>24</v>
      </c>
      <c r="D26" s="12" t="s">
        <v>46</v>
      </c>
      <c r="E26" s="12" t="s">
        <v>46</v>
      </c>
      <c r="F26" s="12"/>
      <c r="G26" s="12"/>
      <c r="H26" s="12" t="s">
        <v>46</v>
      </c>
      <c r="I26" s="12" t="s">
        <v>46</v>
      </c>
      <c r="J26" s="12"/>
      <c r="K26" s="12"/>
      <c r="L26" s="12" t="s">
        <v>46</v>
      </c>
      <c r="M26" s="19" t="s">
        <v>47</v>
      </c>
    </row>
    <row r="27" customFormat="false" ht="12.8" hidden="false" customHeight="false" outlineLevel="0" collapsed="false">
      <c r="A27" s="15" t="s">
        <v>31</v>
      </c>
      <c r="B27" s="15" t="s">
        <v>31</v>
      </c>
      <c r="C27" s="1" t="n">
        <v>25</v>
      </c>
      <c r="D27" s="15" t="s">
        <v>49</v>
      </c>
      <c r="E27" s="15" t="s">
        <v>49</v>
      </c>
      <c r="F27" s="12"/>
      <c r="G27" s="12"/>
      <c r="H27" s="15" t="s">
        <v>49</v>
      </c>
      <c r="I27" s="15" t="s">
        <v>49</v>
      </c>
      <c r="J27" s="12"/>
      <c r="K27" s="12"/>
      <c r="L27" s="15" t="s">
        <v>49</v>
      </c>
      <c r="M27" s="15" t="s">
        <v>49</v>
      </c>
    </row>
    <row r="28" customFormat="false" ht="12.8" hidden="false" customHeight="false" outlineLevel="0" collapsed="false">
      <c r="A28" s="18" t="s">
        <v>28</v>
      </c>
      <c r="B28" s="12" t="s">
        <v>29</v>
      </c>
      <c r="C28" s="1" t="n">
        <v>26</v>
      </c>
      <c r="D28" s="19" t="s">
        <v>47</v>
      </c>
      <c r="E28" s="19" t="s">
        <v>47</v>
      </c>
      <c r="F28" s="12" t="s">
        <v>48</v>
      </c>
      <c r="G28" s="12"/>
      <c r="H28" s="12" t="s">
        <v>46</v>
      </c>
      <c r="I28" s="12" t="s">
        <v>46</v>
      </c>
      <c r="J28" s="12"/>
      <c r="K28" s="12"/>
      <c r="L28" s="12" t="s">
        <v>46</v>
      </c>
      <c r="M28" s="19" t="s">
        <v>47</v>
      </c>
    </row>
    <row r="29" customFormat="false" ht="12.8" hidden="false" customHeight="false" outlineLevel="0" collapsed="false">
      <c r="A29" s="18" t="s">
        <v>29</v>
      </c>
      <c r="B29" s="12" t="s">
        <v>28</v>
      </c>
      <c r="C29" s="1" t="n">
        <v>27</v>
      </c>
      <c r="D29" s="12" t="s">
        <v>46</v>
      </c>
      <c r="E29" s="12" t="s">
        <v>46</v>
      </c>
      <c r="F29" s="12"/>
      <c r="G29" s="12"/>
      <c r="H29" s="19" t="s">
        <v>47</v>
      </c>
      <c r="I29" s="19" t="s">
        <v>47</v>
      </c>
      <c r="J29" s="12" t="s">
        <v>48</v>
      </c>
      <c r="K29" s="12" t="s">
        <v>48</v>
      </c>
      <c r="L29" s="12" t="s">
        <v>46</v>
      </c>
      <c r="M29" s="12" t="s">
        <v>46</v>
      </c>
    </row>
    <row r="30" customFormat="false" ht="12.8" hidden="false" customHeight="false" outlineLevel="0" collapsed="false">
      <c r="A30" s="18" t="s">
        <v>26</v>
      </c>
      <c r="B30" s="12" t="s">
        <v>26</v>
      </c>
      <c r="C30" s="1" t="n">
        <v>28</v>
      </c>
      <c r="D30" s="12" t="s">
        <v>46</v>
      </c>
      <c r="E30" s="12" t="s">
        <v>46</v>
      </c>
      <c r="F30" s="12"/>
      <c r="G30" s="12"/>
      <c r="H30" s="12" t="s">
        <v>46</v>
      </c>
      <c r="I30" s="12" t="s">
        <v>46</v>
      </c>
      <c r="J30" s="12"/>
      <c r="K30" s="12"/>
      <c r="L30" s="12" t="s">
        <v>46</v>
      </c>
      <c r="M30" s="19" t="s">
        <v>47</v>
      </c>
    </row>
    <row r="31" customFormat="false" ht="12.8" hidden="false" customHeight="false" outlineLevel="0" collapsed="false">
      <c r="A31" s="12"/>
      <c r="B31" s="12"/>
      <c r="C31" s="1" t="n">
        <v>29</v>
      </c>
      <c r="D31" s="12"/>
      <c r="E31" s="12"/>
      <c r="F31" s="12"/>
      <c r="G31" s="12"/>
      <c r="H31" s="12"/>
      <c r="I31" s="12"/>
      <c r="J31" s="12"/>
      <c r="K31" s="12"/>
      <c r="L31" s="12"/>
      <c r="M31" s="12"/>
      <c r="O31" s="2"/>
    </row>
    <row r="32" customFormat="false" ht="12.8" hidden="false" customHeight="true" outlineLevel="0" collapsed="false">
      <c r="M32" s="12"/>
    </row>
  </sheetData>
  <sheetProtection sheet="true" objects="true" scenarios="true"/>
  <autoFilter ref="A1:M31"/>
  <dataValidations count="3">
    <dataValidation allowBlank="true" errorStyle="stop" operator="equal" showDropDown="false" showErrorMessage="true" showInputMessage="false" sqref="A2:B31 D2:E2 H2:I2 L2:M2 D6:E6 H6:I6 L6:M6 D10:E10 H10:I10 L10:M10 D15:E15 H15:I15 L15:M15 D18:E18 H18:I18 L18:M18 D23:E23 H23:I23 L23:M23 D27:E27 H27:I27 L27:M27 D31:M31" type="list">
      <formula1>Data!$B$2:$B$25</formula1>
      <formula2>0</formula2>
    </dataValidation>
    <dataValidation allowBlank="true" errorStyle="stop" operator="equal" showDropDown="false" showErrorMessage="true" showInputMessage="false" sqref="D3:E5 H3:I5 L3:M5 D7:E9 H7:I9 L7:M9 D11:E14 H11:I14 L11:M14 D16:E17 H16:I17 L16:M17 D19:E22 H19:I22 L19:M22 D24:E26 H24:I26 L24:M26 D28:E30 H28:I30 L28:M30 M32" type="list">
      <formula1>Data!$N$2:$N$25</formula1>
      <formula2>0</formula2>
    </dataValidation>
    <dataValidation allowBlank="true" errorStyle="stop" operator="equal" showDropDown="false" showErrorMessage="true" showInputMessage="false" sqref="F2:G30 J2:K30" type="list">
      <formula1>Data!$P$2:$P$25</formula1>
      <formula2>0</formula2>
    </dataValidation>
  </dataValidations>
  <printOptions headings="false" gridLines="false" gridLinesSet="true" horizontalCentered="false" verticalCentered="false"/>
  <pageMargins left="0.7875" right="0.7875" top="1.05277777777778" bottom="1.05277777777778" header="0.7875" footer="0.7875"/>
  <pageSetup paperSize="9" scale="100" fitToWidth="1" fitToHeight="1" pageOrder="downThenOver" orientation="portrait" blackAndWhite="false" draft="false" cellComments="none" horizontalDpi="300" verticalDpi="300" copies="1"/>
  <headerFooter differentFirst="false" differentOddEven="false">
    <oddHeader>&amp;C&amp;"Times New Roman,Обычный"&amp;12&amp;A</oddHeader>
    <oddFooter>&amp;C&amp;"Times New Roman,Обычный"&amp;12Страница &amp;P</oddFooter>
  </headerFooter>
  <drawing r:id="rId2"/>
  <legacyDrawing r:id="rId3"/>
</worksheet>
</file>

<file path=xl/worksheets/sheet4.xml><?xml version="1.0" encoding="utf-8"?>
<worksheet xmlns="http://schemas.openxmlformats.org/spreadsheetml/2006/main" xmlns:r="http://schemas.openxmlformats.org/officeDocument/2006/relationships" xmlns:xdr="http://schemas.openxmlformats.org/drawingml/2006/spreadsheetDrawing" xmlns:x14="http://schemas.microsoft.com/office/spreadsheetml/2009/9/main" xmlns:xr2="http://schemas.microsoft.com/office/spreadsheetml/2015/revision2" xmlns:mc="http://schemas.openxmlformats.org/markup-compatibility/2006">
  <sheetPr filterMode="false">
    <pageSetUpPr fitToPage="false"/>
  </sheetPr>
  <dimension ref="A1:AB31"/>
  <sheetViews>
    <sheetView showFormulas="false" showGridLines="true" showRowColHeaders="true" showZeros="true" rightToLeft="false" tabSelected="false" showOutlineSymbols="true" defaultGridColor="true" view="normal" topLeftCell="A1" colorId="64" zoomScale="100" zoomScaleNormal="100" zoomScalePageLayoutView="100" workbookViewId="0">
      <selection pane="topLeft" activeCell="I41" activeCellId="1" sqref="A2:K31 I41"/>
    </sheetView>
  </sheetViews>
  <sheetFormatPr defaultColWidth="11.53515625" defaultRowHeight="12.8" customHeight="true" zeroHeight="false" outlineLevelRow="0" outlineLevelCol="0"/>
  <cols>
    <col collapsed="false" customWidth="true" hidden="false" outlineLevel="0" max="2" min="1" style="11" width="16.26"/>
    <col collapsed="false" customWidth="true" hidden="false" outlineLevel="0" max="3" min="3" style="1" width="7.27"/>
    <col collapsed="false" customWidth="true" hidden="false" outlineLevel="0" max="4" min="4" style="1" width="16.15"/>
    <col collapsed="false" customWidth="true" hidden="false" outlineLevel="0" max="5" min="5" style="1" width="18.83"/>
    <col collapsed="false" customWidth="true" hidden="false" outlineLevel="0" max="6" min="6" style="1" width="14.87"/>
    <col collapsed="false" customWidth="true" hidden="false" outlineLevel="0" max="7" min="7" style="1" width="18.19"/>
    <col collapsed="false" customWidth="true" hidden="false" outlineLevel="0" max="8" min="8" style="1" width="17.76"/>
    <col collapsed="false" customWidth="true" hidden="false" outlineLevel="0" max="9" min="9" style="1" width="14.21"/>
    <col collapsed="false" customWidth="true" hidden="false" outlineLevel="0" max="10" min="10" style="1" width="17.76"/>
    <col collapsed="false" customWidth="false" hidden="false" outlineLevel="0" max="11" min="11" style="1" width="11.53"/>
  </cols>
  <sheetData>
    <row r="1" customFormat="false" ht="12.8" hidden="false" customHeight="false" outlineLevel="0" collapsed="false">
      <c r="A1" s="17" t="str">
        <f aca="false">РядыЗаполнений1!B1</f>
        <v>Зап1</v>
      </c>
      <c r="B1" s="17" t="str">
        <f aca="false">РядыЗаполнений1!D1</f>
        <v>Зап2</v>
      </c>
      <c r="C1" s="3" t="s">
        <v>13</v>
      </c>
      <c r="D1" s="3" t="s">
        <v>52</v>
      </c>
      <c r="E1" s="3" t="s">
        <v>53</v>
      </c>
      <c r="F1" s="3" t="s">
        <v>54</v>
      </c>
      <c r="G1" s="3" t="s">
        <v>55</v>
      </c>
      <c r="H1" s="3" t="s">
        <v>56</v>
      </c>
      <c r="I1" s="3" t="s">
        <v>57</v>
      </c>
      <c r="J1" s="3" t="s">
        <v>58</v>
      </c>
      <c r="K1" s="3" t="s">
        <v>22</v>
      </c>
      <c r="L1" s="1"/>
      <c r="M1" s="1"/>
      <c r="N1" s="1"/>
      <c r="O1" s="1"/>
      <c r="P1" s="1"/>
      <c r="Q1" s="1"/>
      <c r="R1" s="1"/>
      <c r="S1" s="1"/>
      <c r="T1" s="1"/>
      <c r="U1" s="1"/>
      <c r="V1" s="1"/>
      <c r="W1" s="1"/>
      <c r="X1" s="1"/>
      <c r="Y1" s="1"/>
      <c r="Z1" s="1"/>
      <c r="AA1" s="1"/>
      <c r="AB1" s="1"/>
    </row>
    <row r="2" customFormat="false" ht="12.8" hidden="false" customHeight="false" outlineLevel="0" collapsed="false">
      <c r="A2" s="22" t="str">
        <f aca="false">РядыЗаполнений1!B2</f>
        <v>Лист 1 мм</v>
      </c>
      <c r="B2" s="22" t="str">
        <f aca="false">РядыЗаполнений1!D2</f>
        <v>Лист 1 мм</v>
      </c>
      <c r="C2" s="23" t="n">
        <v>0</v>
      </c>
      <c r="D2" s="23"/>
      <c r="E2" s="23"/>
      <c r="F2" s="23"/>
      <c r="G2" s="23"/>
      <c r="H2" s="23"/>
      <c r="I2" s="23"/>
      <c r="J2" s="23"/>
      <c r="K2" s="23"/>
    </row>
    <row r="3" customFormat="false" ht="12.8" hidden="false" customHeight="false" outlineLevel="0" collapsed="false">
      <c r="A3" s="6" t="str">
        <f aca="false">РядыЗаполнений1!B3</f>
        <v>Тип 10</v>
      </c>
      <c r="B3" s="6" t="str">
        <f aca="false">РядыЗаполнений1!D3</f>
        <v>Тип 10</v>
      </c>
      <c r="C3" s="1" t="n">
        <v>1</v>
      </c>
      <c r="D3" s="12" t="s">
        <v>59</v>
      </c>
      <c r="E3" s="12" t="s">
        <v>60</v>
      </c>
      <c r="F3" s="12" t="s">
        <v>61</v>
      </c>
      <c r="G3" s="12" t="s">
        <v>61</v>
      </c>
      <c r="H3" s="12" t="s">
        <v>61</v>
      </c>
      <c r="I3" s="12" t="s">
        <v>61</v>
      </c>
      <c r="J3" s="12" t="s">
        <v>61</v>
      </c>
      <c r="K3" s="12"/>
    </row>
    <row r="4" customFormat="false" ht="12.8" hidden="false" customHeight="false" outlineLevel="0" collapsed="false">
      <c r="A4" s="6" t="str">
        <f aca="false">РядыЗаполнений1!B4</f>
        <v>3а</v>
      </c>
      <c r="B4" s="6" t="str">
        <f aca="false">РядыЗаполнений1!D4</f>
        <v>НВС</v>
      </c>
      <c r="C4" s="1" t="n">
        <v>2</v>
      </c>
      <c r="D4" s="12"/>
      <c r="E4" s="12"/>
      <c r="F4" s="12" t="s">
        <v>62</v>
      </c>
      <c r="G4" s="12" t="s">
        <v>62</v>
      </c>
      <c r="H4" s="12" t="s">
        <v>62</v>
      </c>
      <c r="I4" s="12" t="s">
        <v>63</v>
      </c>
      <c r="J4" s="12"/>
      <c r="K4" s="12"/>
    </row>
    <row r="5" customFormat="false" ht="12.8" hidden="false" customHeight="false" outlineLevel="0" collapsed="false">
      <c r="A5" s="6" t="str">
        <f aca="false">РядыЗаполнений1!B5</f>
        <v>НВС</v>
      </c>
      <c r="B5" s="6" t="str">
        <f aca="false">РядыЗаполнений1!D5</f>
        <v>3а</v>
      </c>
      <c r="C5" s="1" t="n">
        <v>3</v>
      </c>
      <c r="D5" s="12" t="s">
        <v>64</v>
      </c>
      <c r="E5" s="12" t="s">
        <v>65</v>
      </c>
      <c r="F5" s="12" t="s">
        <v>63</v>
      </c>
      <c r="G5" s="12" t="s">
        <v>63</v>
      </c>
      <c r="H5" s="12" t="s">
        <v>63</v>
      </c>
      <c r="I5" s="12" t="s">
        <v>62</v>
      </c>
      <c r="J5" s="17" t="s">
        <v>66</v>
      </c>
      <c r="K5" s="12"/>
    </row>
    <row r="6" customFormat="false" ht="12.8" hidden="false" customHeight="false" outlineLevel="0" collapsed="false">
      <c r="A6" s="24" t="str">
        <f aca="false">РядыЗаполнений1!B6</f>
        <v>СН</v>
      </c>
      <c r="B6" s="24" t="str">
        <f aca="false">РядыЗаполнений1!D6</f>
        <v>СН</v>
      </c>
      <c r="C6" s="1" t="n">
        <v>4</v>
      </c>
      <c r="D6" s="15" t="s">
        <v>63</v>
      </c>
      <c r="E6" s="15" t="s">
        <v>63</v>
      </c>
      <c r="F6" s="15" t="s">
        <v>63</v>
      </c>
      <c r="G6" s="15" t="s">
        <v>63</v>
      </c>
      <c r="H6" s="15" t="s">
        <v>63</v>
      </c>
      <c r="I6" s="15" t="s">
        <v>63</v>
      </c>
      <c r="J6" s="15"/>
      <c r="K6" s="15"/>
    </row>
    <row r="7" customFormat="false" ht="12.8" hidden="false" customHeight="false" outlineLevel="0" collapsed="false">
      <c r="A7" s="6" t="str">
        <f aca="false">РядыЗаполнений1!B7</f>
        <v>Тип 10</v>
      </c>
      <c r="B7" s="6" t="str">
        <f aca="false">РядыЗаполнений1!D7</f>
        <v>Тип 10</v>
      </c>
      <c r="C7" s="1" t="n">
        <v>5</v>
      </c>
      <c r="D7" s="12" t="s">
        <v>59</v>
      </c>
      <c r="E7" s="12" t="s">
        <v>60</v>
      </c>
      <c r="F7" s="12" t="s">
        <v>61</v>
      </c>
      <c r="G7" s="12" t="s">
        <v>61</v>
      </c>
      <c r="H7" s="12" t="s">
        <v>61</v>
      </c>
      <c r="I7" s="12" t="s">
        <v>61</v>
      </c>
      <c r="J7" s="12" t="s">
        <v>61</v>
      </c>
      <c r="K7" s="12"/>
    </row>
    <row r="8" customFormat="false" ht="12.8" hidden="false" customHeight="false" outlineLevel="0" collapsed="false">
      <c r="A8" s="6" t="str">
        <f aca="false">РядыЗаполнений1!B8</f>
        <v>3а</v>
      </c>
      <c r="B8" s="6" t="str">
        <f aca="false">РядыЗаполнений1!D8</f>
        <v>НВС</v>
      </c>
      <c r="C8" s="1" t="n">
        <v>6</v>
      </c>
      <c r="D8" s="12"/>
      <c r="E8" s="12"/>
      <c r="F8" s="12" t="s">
        <v>62</v>
      </c>
      <c r="G8" s="12" t="s">
        <v>62</v>
      </c>
      <c r="H8" s="12" t="s">
        <v>62</v>
      </c>
      <c r="I8" s="12" t="s">
        <v>63</v>
      </c>
      <c r="J8" s="12"/>
      <c r="K8" s="12"/>
    </row>
    <row r="9" customFormat="false" ht="12.8" hidden="false" customHeight="false" outlineLevel="0" collapsed="false">
      <c r="A9" s="6" t="str">
        <f aca="false">РядыЗаполнений1!B9</f>
        <v>НВС</v>
      </c>
      <c r="B9" s="6" t="str">
        <f aca="false">РядыЗаполнений1!D9</f>
        <v>3а</v>
      </c>
      <c r="C9" s="1" t="n">
        <v>7</v>
      </c>
      <c r="D9" s="12" t="s">
        <v>64</v>
      </c>
      <c r="E9" s="12" t="s">
        <v>65</v>
      </c>
      <c r="F9" s="12" t="s">
        <v>63</v>
      </c>
      <c r="G9" s="12" t="s">
        <v>63</v>
      </c>
      <c r="H9" s="12" t="s">
        <v>63</v>
      </c>
      <c r="I9" s="12" t="s">
        <v>62</v>
      </c>
      <c r="J9" s="17" t="s">
        <v>66</v>
      </c>
      <c r="K9" s="12"/>
    </row>
    <row r="10" customFormat="false" ht="12.8" hidden="false" customHeight="false" outlineLevel="0" collapsed="false">
      <c r="A10" s="24" t="str">
        <f aca="false">РядыЗаполнений1!B10</f>
        <v>СН</v>
      </c>
      <c r="B10" s="24" t="str">
        <f aca="false">РядыЗаполнений1!D10</f>
        <v>СН</v>
      </c>
      <c r="C10" s="1" t="n">
        <v>8</v>
      </c>
      <c r="D10" s="15" t="s">
        <v>63</v>
      </c>
      <c r="E10" s="15" t="s">
        <v>63</v>
      </c>
      <c r="F10" s="15" t="s">
        <v>63</v>
      </c>
      <c r="G10" s="15" t="s">
        <v>63</v>
      </c>
      <c r="H10" s="15" t="s">
        <v>63</v>
      </c>
      <c r="I10" s="15" t="s">
        <v>63</v>
      </c>
      <c r="J10" s="15"/>
      <c r="K10" s="15"/>
    </row>
    <row r="11" customFormat="false" ht="12.8" hidden="false" customHeight="false" outlineLevel="0" collapsed="false">
      <c r="A11" s="6" t="str">
        <f aca="false">РядыЗаполнений1!B11</f>
        <v>Тип 10</v>
      </c>
      <c r="B11" s="6" t="str">
        <f aca="false">РядыЗаполнений1!D11</f>
        <v>Тип 10</v>
      </c>
      <c r="C11" s="1" t="n">
        <v>9</v>
      </c>
      <c r="D11" s="12" t="s">
        <v>59</v>
      </c>
      <c r="E11" s="12" t="s">
        <v>60</v>
      </c>
      <c r="F11" s="12" t="s">
        <v>61</v>
      </c>
      <c r="G11" s="12" t="s">
        <v>61</v>
      </c>
      <c r="H11" s="12" t="s">
        <v>61</v>
      </c>
      <c r="I11" s="12" t="s">
        <v>61</v>
      </c>
      <c r="J11" s="12" t="s">
        <v>61</v>
      </c>
      <c r="K11" s="12"/>
    </row>
    <row r="12" customFormat="false" ht="12.8" hidden="false" customHeight="false" outlineLevel="0" collapsed="false">
      <c r="A12" s="6" t="str">
        <f aca="false">РядыЗаполнений1!B12</f>
        <v>5а</v>
      </c>
      <c r="B12" s="6" t="str">
        <f aca="false">РядыЗаполнений1!D12</f>
        <v>НВС</v>
      </c>
      <c r="C12" s="1" t="n">
        <v>10</v>
      </c>
      <c r="D12" s="12"/>
      <c r="E12" s="12"/>
      <c r="F12" s="12" t="s">
        <v>62</v>
      </c>
      <c r="G12" s="20" t="s">
        <v>67</v>
      </c>
      <c r="H12" s="20" t="s">
        <v>67</v>
      </c>
      <c r="I12" s="12" t="s">
        <v>63</v>
      </c>
      <c r="J12" s="12" t="s">
        <v>63</v>
      </c>
      <c r="K12" s="12"/>
      <c r="L12" s="6"/>
    </row>
    <row r="13" customFormat="false" ht="12.8" hidden="false" customHeight="false" outlineLevel="0" collapsed="false">
      <c r="A13" s="6" t="str">
        <f aca="false">РядыЗаполнений1!B13</f>
        <v>НВС</v>
      </c>
      <c r="B13" s="6" t="str">
        <f aca="false">РядыЗаполнений1!D13</f>
        <v>5а</v>
      </c>
      <c r="C13" s="1" t="n">
        <v>11</v>
      </c>
      <c r="D13" s="12"/>
      <c r="E13" s="12"/>
      <c r="F13" s="12" t="s">
        <v>63</v>
      </c>
      <c r="G13" s="12" t="s">
        <v>63</v>
      </c>
      <c r="H13" s="12" t="s">
        <v>63</v>
      </c>
      <c r="I13" s="12" t="s">
        <v>62</v>
      </c>
      <c r="J13" s="25" t="s">
        <v>62</v>
      </c>
      <c r="K13" s="12"/>
    </row>
    <row r="14" customFormat="false" ht="12.8" hidden="false" customHeight="false" outlineLevel="0" collapsed="false">
      <c r="A14" s="6" t="str">
        <f aca="false">РядыЗаполнений1!B14</f>
        <v>Тип 10</v>
      </c>
      <c r="B14" s="6" t="str">
        <f aca="false">РядыЗаполнений1!D14</f>
        <v>Тип 10</v>
      </c>
      <c r="C14" s="1" t="n">
        <v>12</v>
      </c>
      <c r="D14" s="12" t="s">
        <v>64</v>
      </c>
      <c r="E14" s="12" t="s">
        <v>65</v>
      </c>
      <c r="F14" s="12" t="s">
        <v>61</v>
      </c>
      <c r="G14" s="12" t="s">
        <v>61</v>
      </c>
      <c r="H14" s="12" t="s">
        <v>61</v>
      </c>
      <c r="I14" s="12" t="s">
        <v>61</v>
      </c>
      <c r="J14" s="12" t="s">
        <v>61</v>
      </c>
      <c r="K14" s="12"/>
    </row>
    <row r="15" customFormat="false" ht="12.8" hidden="false" customHeight="false" outlineLevel="0" collapsed="false">
      <c r="A15" s="24" t="str">
        <f aca="false">РядыЗаполнений1!B15</f>
        <v>СН</v>
      </c>
      <c r="B15" s="24" t="str">
        <f aca="false">РядыЗаполнений1!D15</f>
        <v>СН</v>
      </c>
      <c r="C15" s="1" t="n">
        <v>13</v>
      </c>
      <c r="D15" s="15" t="s">
        <v>63</v>
      </c>
      <c r="E15" s="15" t="s">
        <v>63</v>
      </c>
      <c r="F15" s="15"/>
      <c r="G15" s="15"/>
      <c r="H15" s="15" t="s">
        <v>63</v>
      </c>
      <c r="I15" s="15" t="s">
        <v>63</v>
      </c>
      <c r="J15" s="15" t="s">
        <v>63</v>
      </c>
      <c r="K15" s="15"/>
    </row>
    <row r="16" customFormat="false" ht="12.8" hidden="false" customHeight="false" outlineLevel="0" collapsed="false">
      <c r="A16" s="6" t="str">
        <f aca="false">РядыЗаполнений1!B16</f>
        <v>1а</v>
      </c>
      <c r="B16" s="6" t="str">
        <f aca="false">РядыЗаполнений1!D16</f>
        <v>НВС</v>
      </c>
      <c r="C16" s="1" t="n">
        <v>14</v>
      </c>
      <c r="D16" s="12" t="s">
        <v>59</v>
      </c>
      <c r="E16" s="12" t="s">
        <v>60</v>
      </c>
      <c r="F16" s="17" t="s">
        <v>66</v>
      </c>
      <c r="G16" s="17" t="s">
        <v>66</v>
      </c>
      <c r="H16" s="25" t="s">
        <v>62</v>
      </c>
      <c r="I16" s="12"/>
      <c r="J16" s="12" t="s">
        <v>63</v>
      </c>
      <c r="K16" s="12"/>
    </row>
    <row r="17" customFormat="false" ht="12.8" hidden="false" customHeight="false" outlineLevel="0" collapsed="false">
      <c r="A17" s="6" t="str">
        <f aca="false">РядыЗаполнений1!B17</f>
        <v>НВС</v>
      </c>
      <c r="B17" s="6" t="str">
        <f aca="false">РядыЗаполнений1!D17</f>
        <v>1а</v>
      </c>
      <c r="C17" s="1" t="n">
        <v>15</v>
      </c>
      <c r="D17" s="12" t="s">
        <v>64</v>
      </c>
      <c r="E17" s="12" t="s">
        <v>65</v>
      </c>
      <c r="F17" s="12"/>
      <c r="G17" s="12"/>
      <c r="H17" s="12" t="s">
        <v>63</v>
      </c>
      <c r="I17" s="17" t="s">
        <v>66</v>
      </c>
      <c r="J17" s="26" t="s">
        <v>68</v>
      </c>
      <c r="K17" s="12"/>
    </row>
    <row r="18" customFormat="false" ht="12.8" hidden="false" customHeight="false" outlineLevel="0" collapsed="false">
      <c r="A18" s="24" t="str">
        <f aca="false">РядыЗаполнений1!B18</f>
        <v>СН</v>
      </c>
      <c r="B18" s="24" t="str">
        <f aca="false">РядыЗаполнений1!D18</f>
        <v>СН</v>
      </c>
      <c r="C18" s="1" t="n">
        <v>16</v>
      </c>
      <c r="D18" s="15" t="s">
        <v>63</v>
      </c>
      <c r="E18" s="15" t="s">
        <v>63</v>
      </c>
      <c r="F18" s="15" t="s">
        <v>63</v>
      </c>
      <c r="G18" s="15" t="s">
        <v>63</v>
      </c>
      <c r="H18" s="15" t="s">
        <v>63</v>
      </c>
      <c r="I18" s="15"/>
      <c r="J18" s="15" t="s">
        <v>63</v>
      </c>
      <c r="K18" s="15"/>
    </row>
    <row r="19" customFormat="false" ht="12.8" hidden="false" customHeight="false" outlineLevel="0" collapsed="false">
      <c r="A19" s="6" t="str">
        <f aca="false">РядыЗаполнений1!B19</f>
        <v>Тип 10</v>
      </c>
      <c r="B19" s="6" t="str">
        <f aca="false">РядыЗаполнений1!D19</f>
        <v>Тип 10</v>
      </c>
      <c r="C19" s="1" t="n">
        <v>17</v>
      </c>
      <c r="D19" s="12" t="s">
        <v>59</v>
      </c>
      <c r="E19" s="12" t="s">
        <v>60</v>
      </c>
      <c r="F19" s="12" t="s">
        <v>61</v>
      </c>
      <c r="G19" s="12" t="s">
        <v>61</v>
      </c>
      <c r="H19" s="12" t="s">
        <v>61</v>
      </c>
      <c r="I19" s="12" t="s">
        <v>61</v>
      </c>
      <c r="J19" s="12" t="s">
        <v>61</v>
      </c>
      <c r="K19" s="12"/>
    </row>
    <row r="20" customFormat="false" ht="12.8" hidden="false" customHeight="false" outlineLevel="0" collapsed="false">
      <c r="A20" s="6" t="str">
        <f aca="false">РядыЗаполнений1!B20</f>
        <v>5а</v>
      </c>
      <c r="B20" s="6" t="str">
        <f aca="false">РядыЗаполнений1!D20</f>
        <v>НВС</v>
      </c>
      <c r="C20" s="1" t="n">
        <v>18</v>
      </c>
      <c r="D20" s="12"/>
      <c r="E20" s="12"/>
      <c r="F20" s="12" t="s">
        <v>62</v>
      </c>
      <c r="G20" s="20" t="s">
        <v>67</v>
      </c>
      <c r="H20" s="20" t="s">
        <v>67</v>
      </c>
      <c r="I20" s="12" t="s">
        <v>63</v>
      </c>
      <c r="J20" s="12" t="s">
        <v>63</v>
      </c>
      <c r="K20" s="12"/>
    </row>
    <row r="21" customFormat="false" ht="12.8" hidden="false" customHeight="false" outlineLevel="0" collapsed="false">
      <c r="A21" s="6" t="str">
        <f aca="false">РядыЗаполнений1!B21</f>
        <v>НВС</v>
      </c>
      <c r="B21" s="6" t="str">
        <f aca="false">РядыЗаполнений1!D21</f>
        <v>5а</v>
      </c>
      <c r="C21" s="1" t="n">
        <v>19</v>
      </c>
      <c r="D21" s="12"/>
      <c r="E21" s="12"/>
      <c r="F21" s="12" t="s">
        <v>63</v>
      </c>
      <c r="G21" s="12" t="s">
        <v>63</v>
      </c>
      <c r="H21" s="12" t="s">
        <v>63</v>
      </c>
      <c r="I21" s="12" t="s">
        <v>62</v>
      </c>
      <c r="J21" s="25" t="s">
        <v>62</v>
      </c>
      <c r="K21" s="12"/>
    </row>
    <row r="22" customFormat="false" ht="12.8" hidden="false" customHeight="false" outlineLevel="0" collapsed="false">
      <c r="A22" s="6" t="str">
        <f aca="false">РядыЗаполнений1!B22</f>
        <v>Тип 10</v>
      </c>
      <c r="B22" s="6" t="str">
        <f aca="false">РядыЗаполнений1!D22</f>
        <v>Тип 10</v>
      </c>
      <c r="C22" s="1" t="n">
        <v>20</v>
      </c>
      <c r="D22" s="12" t="s">
        <v>64</v>
      </c>
      <c r="E22" s="12" t="s">
        <v>65</v>
      </c>
      <c r="F22" s="12" t="s">
        <v>61</v>
      </c>
      <c r="G22" s="12" t="s">
        <v>61</v>
      </c>
      <c r="H22" s="12" t="s">
        <v>61</v>
      </c>
      <c r="I22" s="12" t="s">
        <v>61</v>
      </c>
      <c r="J22" s="12" t="s">
        <v>61</v>
      </c>
      <c r="K22" s="12"/>
    </row>
    <row r="23" customFormat="false" ht="12.8" hidden="false" customHeight="false" outlineLevel="0" collapsed="false">
      <c r="A23" s="24" t="str">
        <f aca="false">РядыЗаполнений1!B23</f>
        <v>СН</v>
      </c>
      <c r="B23" s="24" t="str">
        <f aca="false">РядыЗаполнений1!D23</f>
        <v>СН</v>
      </c>
      <c r="C23" s="1" t="n">
        <v>21</v>
      </c>
      <c r="D23" s="15" t="s">
        <v>63</v>
      </c>
      <c r="E23" s="15" t="s">
        <v>63</v>
      </c>
      <c r="F23" s="15" t="s">
        <v>63</v>
      </c>
      <c r="G23" s="15" t="s">
        <v>63</v>
      </c>
      <c r="H23" s="15" t="s">
        <v>63</v>
      </c>
      <c r="I23" s="15" t="s">
        <v>63</v>
      </c>
      <c r="J23" s="15" t="s">
        <v>63</v>
      </c>
      <c r="K23" s="15"/>
    </row>
    <row r="24" customFormat="false" ht="12.8" hidden="false" customHeight="false" outlineLevel="0" collapsed="false">
      <c r="A24" s="6" t="str">
        <f aca="false">РядыЗаполнений1!B24</f>
        <v>3а</v>
      </c>
      <c r="B24" s="6" t="str">
        <f aca="false">РядыЗаполнений1!D24</f>
        <v>НВС</v>
      </c>
      <c r="C24" s="1" t="n">
        <v>22</v>
      </c>
      <c r="D24" s="12" t="s">
        <v>59</v>
      </c>
      <c r="E24" s="12" t="s">
        <v>60</v>
      </c>
      <c r="F24" s="12" t="s">
        <v>62</v>
      </c>
      <c r="G24" s="12" t="s">
        <v>62</v>
      </c>
      <c r="H24" s="12" t="s">
        <v>62</v>
      </c>
      <c r="I24" s="12" t="s">
        <v>63</v>
      </c>
      <c r="J24" s="12"/>
      <c r="K24" s="12"/>
    </row>
    <row r="25" customFormat="false" ht="12.8" hidden="false" customHeight="false" outlineLevel="0" collapsed="false">
      <c r="A25" s="6" t="str">
        <f aca="false">РядыЗаполнений1!B25</f>
        <v>НВС</v>
      </c>
      <c r="B25" s="6" t="str">
        <f aca="false">РядыЗаполнений1!D25</f>
        <v>3а</v>
      </c>
      <c r="C25" s="1" t="n">
        <v>23</v>
      </c>
      <c r="D25" s="12"/>
      <c r="E25" s="12"/>
      <c r="F25" s="12" t="s">
        <v>63</v>
      </c>
      <c r="G25" s="12" t="s">
        <v>63</v>
      </c>
      <c r="H25" s="12" t="s">
        <v>63</v>
      </c>
      <c r="I25" s="12" t="s">
        <v>62</v>
      </c>
      <c r="J25" s="17" t="s">
        <v>66</v>
      </c>
      <c r="K25" s="12"/>
    </row>
    <row r="26" customFormat="false" ht="12.8" hidden="false" customHeight="false" outlineLevel="0" collapsed="false">
      <c r="A26" s="6" t="str">
        <f aca="false">РядыЗаполнений1!B26</f>
        <v>Тип 10</v>
      </c>
      <c r="B26" s="6" t="str">
        <f aca="false">РядыЗаполнений1!D26</f>
        <v>Тип 10</v>
      </c>
      <c r="C26" s="1" t="n">
        <v>24</v>
      </c>
      <c r="D26" s="12" t="s">
        <v>64</v>
      </c>
      <c r="E26" s="12" t="s">
        <v>65</v>
      </c>
      <c r="F26" s="12" t="s">
        <v>61</v>
      </c>
      <c r="G26" s="12" t="s">
        <v>61</v>
      </c>
      <c r="H26" s="12" t="s">
        <v>61</v>
      </c>
      <c r="I26" s="12" t="s">
        <v>61</v>
      </c>
      <c r="J26" s="12" t="s">
        <v>64</v>
      </c>
      <c r="K26" s="12"/>
    </row>
    <row r="27" customFormat="false" ht="12.8" hidden="false" customHeight="false" outlineLevel="0" collapsed="false">
      <c r="A27" s="24" t="str">
        <f aca="false">РядыЗаполнений1!B27</f>
        <v>СН</v>
      </c>
      <c r="B27" s="24" t="str">
        <f aca="false">РядыЗаполнений1!D27</f>
        <v>СН</v>
      </c>
      <c r="C27" s="1" t="n">
        <v>25</v>
      </c>
      <c r="D27" s="15" t="s">
        <v>63</v>
      </c>
      <c r="E27" s="15" t="s">
        <v>63</v>
      </c>
      <c r="F27" s="15" t="s">
        <v>63</v>
      </c>
      <c r="G27" s="15" t="s">
        <v>63</v>
      </c>
      <c r="H27" s="15" t="s">
        <v>63</v>
      </c>
      <c r="I27" s="15" t="s">
        <v>63</v>
      </c>
      <c r="J27" s="15" t="s">
        <v>63</v>
      </c>
      <c r="K27" s="15"/>
    </row>
    <row r="28" customFormat="false" ht="12.8" hidden="false" customHeight="false" outlineLevel="0" collapsed="false">
      <c r="A28" s="6" t="str">
        <f aca="false">РядыЗаполнений1!B28</f>
        <v>3а</v>
      </c>
      <c r="B28" s="6" t="str">
        <f aca="false">РядыЗаполнений1!D28</f>
        <v>НВС</v>
      </c>
      <c r="C28" s="1" t="n">
        <v>26</v>
      </c>
      <c r="D28" s="12" t="s">
        <v>59</v>
      </c>
      <c r="E28" s="12" t="s">
        <v>60</v>
      </c>
      <c r="F28" s="12" t="s">
        <v>62</v>
      </c>
      <c r="G28" s="12" t="s">
        <v>62</v>
      </c>
      <c r="H28" s="12" t="s">
        <v>62</v>
      </c>
      <c r="I28" s="12" t="s">
        <v>63</v>
      </c>
      <c r="J28" s="12"/>
      <c r="K28" s="12"/>
    </row>
    <row r="29" customFormat="false" ht="12.8" hidden="false" customHeight="false" outlineLevel="0" collapsed="false">
      <c r="A29" s="6" t="str">
        <f aca="false">РядыЗаполнений1!B29</f>
        <v>НВС</v>
      </c>
      <c r="B29" s="6" t="str">
        <f aca="false">РядыЗаполнений1!D29</f>
        <v>3а</v>
      </c>
      <c r="C29" s="1" t="n">
        <v>27</v>
      </c>
      <c r="D29" s="12"/>
      <c r="E29" s="12"/>
      <c r="F29" s="12" t="s">
        <v>63</v>
      </c>
      <c r="G29" s="12" t="s">
        <v>63</v>
      </c>
      <c r="H29" s="12" t="s">
        <v>63</v>
      </c>
      <c r="I29" s="12" t="s">
        <v>62</v>
      </c>
      <c r="J29" s="17" t="s">
        <v>66</v>
      </c>
      <c r="K29" s="12"/>
    </row>
    <row r="30" customFormat="false" ht="12.8" hidden="false" customHeight="false" outlineLevel="0" collapsed="false">
      <c r="A30" s="6" t="str">
        <f aca="false">РядыЗаполнений1!B30</f>
        <v>Тип 10</v>
      </c>
      <c r="B30" s="6" t="str">
        <f aca="false">РядыЗаполнений1!D30</f>
        <v>Тип 10</v>
      </c>
      <c r="C30" s="1" t="n">
        <v>28</v>
      </c>
      <c r="D30" s="12" t="s">
        <v>64</v>
      </c>
      <c r="E30" s="12" t="s">
        <v>65</v>
      </c>
      <c r="F30" s="12" t="s">
        <v>61</v>
      </c>
      <c r="G30" s="12" t="s">
        <v>61</v>
      </c>
      <c r="H30" s="12" t="s">
        <v>61</v>
      </c>
      <c r="I30" s="12" t="s">
        <v>61</v>
      </c>
      <c r="J30" s="12" t="s">
        <v>64</v>
      </c>
      <c r="K30" s="12"/>
    </row>
    <row r="31" customFormat="false" ht="12.8" hidden="false" customHeight="false" outlineLevel="0" collapsed="false">
      <c r="A31" s="6"/>
      <c r="B31" s="6"/>
      <c r="C31" s="1" t="n">
        <v>29</v>
      </c>
    </row>
  </sheetData>
  <sheetProtection sheet="true" objects="true" scenarios="true"/>
  <autoFilter ref="A1:K31"/>
  <dataValidations count="1">
    <dataValidation allowBlank="true" errorStyle="stop" operator="equal" showDropDown="false" showErrorMessage="true" showInputMessage="false" sqref="D2:K30" type="list">
      <formula1>Data!$J$2:$J$25</formula1>
      <formula2>0</formula2>
    </dataValidation>
  </dataValidations>
  <printOptions headings="false" gridLines="false" gridLinesSet="true" horizontalCentered="false" verticalCentered="false"/>
  <pageMargins left="0.7875" right="0.7875" top="1.05277777777778" bottom="1.05277777777778" header="0.7875" footer="0.7875"/>
  <pageSetup paperSize="9" scale="100" fitToWidth="1" fitToHeight="1" pageOrder="downThenOver" orientation="portrait" blackAndWhite="false" draft="false" cellComments="none" horizontalDpi="300" verticalDpi="300" copies="1"/>
  <headerFooter differentFirst="false" differentOddEven="false">
    <oddHeader>&amp;C&amp;"Times New Roman,Обычный"&amp;12&amp;A</oddHeader>
    <oddFooter>&amp;C&amp;"Times New Roman,Обычный"&amp;12Страница &amp;P</oddFooter>
  </headerFooter>
  <drawing r:id="rId1"/>
</worksheet>
</file>

<file path=xl/worksheets/sheet5.xml><?xml version="1.0" encoding="utf-8"?>
<worksheet xmlns="http://schemas.openxmlformats.org/spreadsheetml/2006/main" xmlns:r="http://schemas.openxmlformats.org/officeDocument/2006/relationships" xmlns:xdr="http://schemas.openxmlformats.org/drawingml/2006/spreadsheetDrawing" xmlns:x14="http://schemas.microsoft.com/office/spreadsheetml/2009/9/main" xmlns:xr2="http://schemas.microsoft.com/office/spreadsheetml/2015/revision2" xmlns:mc="http://schemas.openxmlformats.org/markup-compatibility/2006">
  <sheetPr filterMode="false">
    <pageSetUpPr fitToPage="false"/>
  </sheetPr>
  <dimension ref="A1:W173"/>
  <sheetViews>
    <sheetView showFormulas="false" showGridLines="true" showRowColHeaders="true" showZeros="true" rightToLeft="false" tabSelected="false" showOutlineSymbols="true" defaultGridColor="true" view="normal" topLeftCell="A1" colorId="64" zoomScale="100" zoomScaleNormal="100" zoomScalePageLayoutView="100" workbookViewId="0">
      <selection pane="topLeft" activeCell="J5" activeCellId="0" sqref="A2:K31"/>
    </sheetView>
  </sheetViews>
  <sheetFormatPr defaultColWidth="11.53515625" defaultRowHeight="12.8" customHeight="true" zeroHeight="false" outlineLevelRow="0" outlineLevelCol="0"/>
  <cols>
    <col collapsed="false" customWidth="true" hidden="false" outlineLevel="0" max="1" min="1" style="11" width="14.13"/>
    <col collapsed="false" customWidth="true" hidden="false" outlineLevel="0" max="7" min="2" style="6" width="14.13"/>
    <col collapsed="false" customWidth="true" hidden="false" outlineLevel="0" max="9" min="8" style="11" width="14.13"/>
    <col collapsed="false" customWidth="true" hidden="false" outlineLevel="0" max="10" min="10" style="11" width="24.29"/>
    <col collapsed="false" customWidth="true" hidden="false" outlineLevel="0" max="11" min="11" style="1" width="18.41"/>
    <col collapsed="false" customWidth="true" hidden="false" outlineLevel="0" max="12" min="12" style="1" width="20.65"/>
    <col collapsed="false" customWidth="true" hidden="false" outlineLevel="0" max="13" min="13" style="1" width="16.48"/>
    <col collapsed="false" customWidth="true" hidden="false" outlineLevel="0" max="17" min="17" style="11" width="17.45"/>
  </cols>
  <sheetData>
    <row r="1" customFormat="false" ht="12.8" hidden="false" customHeight="false" outlineLevel="0" collapsed="false">
      <c r="A1" s="3" t="s">
        <v>69</v>
      </c>
      <c r="B1" s="3" t="s">
        <v>70</v>
      </c>
      <c r="C1" s="3" t="s">
        <v>71</v>
      </c>
      <c r="D1" s="3" t="s">
        <v>72</v>
      </c>
      <c r="E1" s="3" t="s">
        <v>73</v>
      </c>
      <c r="F1" s="3" t="s">
        <v>74</v>
      </c>
      <c r="G1" s="3" t="s">
        <v>75</v>
      </c>
      <c r="H1" s="2" t="s">
        <v>4</v>
      </c>
      <c r="I1" s="3" t="s">
        <v>76</v>
      </c>
      <c r="J1" s="2" t="s">
        <v>77</v>
      </c>
      <c r="K1" s="3" t="s">
        <v>78</v>
      </c>
      <c r="L1" s="3" t="s">
        <v>79</v>
      </c>
      <c r="M1" s="3" t="s">
        <v>80</v>
      </c>
      <c r="O1" s="3" t="s">
        <v>81</v>
      </c>
      <c r="P1" s="3" t="s">
        <v>82</v>
      </c>
      <c r="Q1" s="3" t="s">
        <v>83</v>
      </c>
    </row>
    <row r="2" customFormat="false" ht="12.8" hidden="false" customHeight="false" outlineLevel="0" collapsed="false">
      <c r="A2" s="6" t="n">
        <v>0</v>
      </c>
      <c r="B2" s="6" t="n">
        <v>0</v>
      </c>
      <c r="C2" s="6" t="n">
        <v>0</v>
      </c>
      <c r="D2" s="6" t="n">
        <v>0</v>
      </c>
      <c r="E2" s="6" t="n">
        <v>0</v>
      </c>
      <c r="F2" s="6" t="n">
        <v>0</v>
      </c>
      <c r="G2" s="6" t="n">
        <v>0</v>
      </c>
      <c r="H2" s="6" t="n">
        <v>0</v>
      </c>
      <c r="I2" s="23" t="n">
        <v>1</v>
      </c>
      <c r="J2" s="27" t="s">
        <v>20</v>
      </c>
      <c r="K2" s="12"/>
      <c r="L2" s="12"/>
      <c r="M2" s="12"/>
    </row>
    <row r="3" customFormat="false" ht="12.8" hidden="false" customHeight="false" outlineLevel="0" collapsed="false">
      <c r="A3" s="6" t="n">
        <v>2</v>
      </c>
      <c r="B3" s="6" t="n">
        <v>7670</v>
      </c>
      <c r="C3" s="28" t="n">
        <v>3770</v>
      </c>
      <c r="D3" s="6" t="n">
        <v>10</v>
      </c>
      <c r="E3" s="6" t="n">
        <v>1</v>
      </c>
      <c r="F3" s="6" t="n">
        <v>1</v>
      </c>
      <c r="G3" s="6" t="n">
        <v>25</v>
      </c>
      <c r="H3" s="6" t="n">
        <f aca="false">G3+B3</f>
        <v>7695</v>
      </c>
      <c r="I3" s="23" t="n">
        <v>1</v>
      </c>
      <c r="J3" s="9" t="s">
        <v>18</v>
      </c>
      <c r="K3" s="12" t="s">
        <v>44</v>
      </c>
      <c r="L3" s="12"/>
      <c r="M3" s="12" t="s">
        <v>52</v>
      </c>
      <c r="O3" s="11" t="n">
        <v>8360</v>
      </c>
    </row>
    <row r="4" customFormat="false" ht="12.8" hidden="false" customHeight="false" outlineLevel="0" collapsed="false">
      <c r="A4" s="6" t="n">
        <v>2</v>
      </c>
      <c r="E4" s="6" t="n">
        <v>2</v>
      </c>
      <c r="F4" s="6" t="n">
        <v>2</v>
      </c>
      <c r="G4" s="6" t="n">
        <v>690</v>
      </c>
      <c r="H4" s="6" t="n">
        <f aca="false">H3+G4</f>
        <v>8385</v>
      </c>
      <c r="J4" s="29" t="s">
        <v>14</v>
      </c>
      <c r="K4" s="12" t="s">
        <v>36</v>
      </c>
      <c r="L4" s="12" t="s">
        <v>38</v>
      </c>
      <c r="M4" s="12" t="s">
        <v>54</v>
      </c>
      <c r="S4" s="30" t="s">
        <v>69</v>
      </c>
      <c r="T4" s="30" t="s">
        <v>84</v>
      </c>
      <c r="U4" s="30" t="s">
        <v>85</v>
      </c>
      <c r="V4" s="30" t="s">
        <v>86</v>
      </c>
      <c r="W4" s="30" t="s">
        <v>87</v>
      </c>
    </row>
    <row r="5" customFormat="false" ht="12.8" hidden="false" customHeight="false" outlineLevel="0" collapsed="false">
      <c r="A5" s="6" t="n">
        <v>2</v>
      </c>
      <c r="E5" s="6" t="n">
        <v>3</v>
      </c>
      <c r="F5" s="6" t="n">
        <v>3</v>
      </c>
      <c r="G5" s="6" t="n">
        <v>950</v>
      </c>
      <c r="H5" s="6" t="n">
        <f aca="false">H4+G5</f>
        <v>9335</v>
      </c>
      <c r="J5" s="29" t="s">
        <v>22</v>
      </c>
      <c r="K5" s="31" t="s">
        <v>22</v>
      </c>
      <c r="L5" s="12"/>
      <c r="M5" s="12" t="s">
        <v>22</v>
      </c>
      <c r="P5" s="11" t="n">
        <f aca="false">H5-O3+13</f>
        <v>988</v>
      </c>
      <c r="Q5" s="11" t="n">
        <f aca="false">1600-P5</f>
        <v>612</v>
      </c>
      <c r="S5" s="32" t="n">
        <v>2</v>
      </c>
      <c r="T5" s="32" t="n">
        <f aca="false">8385+950</f>
        <v>9335</v>
      </c>
      <c r="U5" s="32" t="n">
        <v>8360</v>
      </c>
      <c r="V5" s="32" t="n">
        <v>13</v>
      </c>
      <c r="W5" s="32" t="n">
        <f aca="false">T5-U5+V5</f>
        <v>988</v>
      </c>
    </row>
    <row r="6" customFormat="false" ht="12.8" hidden="false" customHeight="false" outlineLevel="0" collapsed="false">
      <c r="A6" s="6" t="n">
        <v>2</v>
      </c>
      <c r="E6" s="6" t="n">
        <v>4</v>
      </c>
      <c r="F6" s="6" t="n">
        <v>4</v>
      </c>
      <c r="G6" s="6" t="n">
        <v>1720</v>
      </c>
      <c r="H6" s="6" t="n">
        <f aca="false">H5+G6</f>
        <v>11055</v>
      </c>
      <c r="J6" s="29" t="s">
        <v>18</v>
      </c>
      <c r="K6" s="12" t="s">
        <v>44</v>
      </c>
      <c r="L6" s="12"/>
      <c r="M6" s="12" t="s">
        <v>52</v>
      </c>
      <c r="S6" s="32"/>
      <c r="T6" s="32"/>
      <c r="U6" s="32"/>
      <c r="V6" s="32"/>
      <c r="W6" s="32"/>
    </row>
    <row r="7" customFormat="false" ht="12.8" hidden="false" customHeight="false" outlineLevel="0" collapsed="false">
      <c r="A7" s="33" t="n">
        <v>3</v>
      </c>
      <c r="B7" s="33" t="n">
        <v>11450</v>
      </c>
      <c r="C7" s="33" t="n">
        <v>3350</v>
      </c>
      <c r="D7" s="34" t="n">
        <v>10</v>
      </c>
      <c r="E7" s="33" t="n">
        <v>1</v>
      </c>
      <c r="F7" s="33" t="n">
        <v>5</v>
      </c>
      <c r="G7" s="33" t="n">
        <v>690</v>
      </c>
      <c r="H7" s="6" t="n">
        <f aca="false">H6+G7</f>
        <v>11745</v>
      </c>
      <c r="I7" s="23" t="n">
        <v>2</v>
      </c>
      <c r="J7" s="35" t="s">
        <v>16</v>
      </c>
      <c r="K7" s="12" t="s">
        <v>40</v>
      </c>
      <c r="L7" s="12" t="s">
        <v>42</v>
      </c>
      <c r="M7" s="12" t="s">
        <v>57</v>
      </c>
      <c r="O7" s="11" t="n">
        <v>11720</v>
      </c>
      <c r="S7" s="32" t="n">
        <v>19</v>
      </c>
      <c r="T7" s="32" t="n">
        <v>66455</v>
      </c>
      <c r="U7" s="32" t="n">
        <v>65480</v>
      </c>
      <c r="V7" s="32" t="n">
        <v>13</v>
      </c>
      <c r="W7" s="32" t="n">
        <f aca="false">T7-U7+V7</f>
        <v>988</v>
      </c>
    </row>
    <row r="8" customFormat="false" ht="12.8" hidden="false" customHeight="false" outlineLevel="0" collapsed="false">
      <c r="A8" s="33" t="n">
        <v>3</v>
      </c>
      <c r="B8" s="33"/>
      <c r="C8" s="33"/>
      <c r="D8" s="33"/>
      <c r="E8" s="33" t="n">
        <v>2</v>
      </c>
      <c r="F8" s="33" t="n">
        <v>6</v>
      </c>
      <c r="G8" s="33" t="n">
        <v>950</v>
      </c>
      <c r="H8" s="6" t="n">
        <f aca="false">H7+G8</f>
        <v>12695</v>
      </c>
      <c r="J8" s="35" t="s">
        <v>22</v>
      </c>
      <c r="K8" s="19" t="s">
        <v>22</v>
      </c>
      <c r="L8" s="12"/>
      <c r="M8" s="12" t="s">
        <v>22</v>
      </c>
      <c r="P8" s="11" t="n">
        <f aca="false">H8-O7+13</f>
        <v>988</v>
      </c>
      <c r="Q8" s="11" t="n">
        <f aca="false">1600-P8</f>
        <v>612</v>
      </c>
      <c r="S8" s="32" t="n">
        <v>20</v>
      </c>
      <c r="T8" s="32" t="n">
        <v>69975</v>
      </c>
      <c r="U8" s="32" t="n">
        <v>69000</v>
      </c>
      <c r="V8" s="32" t="n">
        <v>13</v>
      </c>
      <c r="W8" s="32" t="n">
        <f aca="false">T8-U8+V8</f>
        <v>988</v>
      </c>
    </row>
    <row r="9" customFormat="false" ht="12.8" hidden="false" customHeight="false" outlineLevel="0" collapsed="false">
      <c r="A9" s="33" t="n">
        <v>3</v>
      </c>
      <c r="B9" s="33"/>
      <c r="C9" s="33"/>
      <c r="D9" s="33"/>
      <c r="E9" s="33" t="n">
        <v>3</v>
      </c>
      <c r="F9" s="33" t="n">
        <v>7</v>
      </c>
      <c r="G9" s="33" t="n">
        <v>1720</v>
      </c>
      <c r="H9" s="6" t="n">
        <f aca="false">H8+G9</f>
        <v>14415</v>
      </c>
      <c r="J9" s="35" t="s">
        <v>18</v>
      </c>
      <c r="K9" s="12" t="s">
        <v>44</v>
      </c>
      <c r="L9" s="12"/>
      <c r="M9" s="12" t="s">
        <v>52</v>
      </c>
      <c r="S9" s="32" t="n">
        <v>21</v>
      </c>
      <c r="T9" s="32" t="n">
        <v>73335</v>
      </c>
      <c r="U9" s="32" t="n">
        <v>72360</v>
      </c>
      <c r="V9" s="32" t="n">
        <v>13</v>
      </c>
      <c r="W9" s="32" t="n">
        <f aca="false">T9-U9+V9</f>
        <v>988</v>
      </c>
    </row>
    <row r="10" customFormat="false" ht="12.8" hidden="false" customHeight="false" outlineLevel="0" collapsed="false">
      <c r="A10" s="6" t="n">
        <f aca="false">A7+1</f>
        <v>4</v>
      </c>
      <c r="B10" s="6" t="n">
        <f aca="false">B7+C7+D7</f>
        <v>14810</v>
      </c>
      <c r="C10" s="6" t="n">
        <f aca="false">$C$7</f>
        <v>3350</v>
      </c>
      <c r="D10" s="6" t="n">
        <v>10</v>
      </c>
      <c r="E10" s="6" t="n">
        <f aca="false">E7</f>
        <v>1</v>
      </c>
      <c r="F10" s="6" t="n">
        <v>8</v>
      </c>
      <c r="G10" s="36" t="n">
        <f aca="false">$G$7</f>
        <v>690</v>
      </c>
      <c r="H10" s="6" t="n">
        <f aca="false">H9+G10</f>
        <v>15105</v>
      </c>
      <c r="I10" s="23" t="n">
        <v>1</v>
      </c>
      <c r="J10" s="29" t="s">
        <v>14</v>
      </c>
      <c r="K10" s="12" t="s">
        <v>36</v>
      </c>
      <c r="L10" s="12" t="s">
        <v>38</v>
      </c>
      <c r="M10" s="12" t="s">
        <v>54</v>
      </c>
      <c r="O10" s="11" t="n">
        <f aca="false">O7+C7+D7</f>
        <v>15080</v>
      </c>
      <c r="S10" s="32"/>
      <c r="T10" s="32"/>
      <c r="U10" s="32"/>
      <c r="V10" s="32"/>
      <c r="W10" s="32"/>
    </row>
    <row r="11" customFormat="false" ht="12.8" hidden="false" customHeight="false" outlineLevel="0" collapsed="false">
      <c r="A11" s="6" t="n">
        <f aca="false">A8+1</f>
        <v>4</v>
      </c>
      <c r="E11" s="6" t="n">
        <f aca="false">E8</f>
        <v>2</v>
      </c>
      <c r="F11" s="6" t="n">
        <v>9</v>
      </c>
      <c r="G11" s="36" t="n">
        <f aca="false">$G$8</f>
        <v>950</v>
      </c>
      <c r="H11" s="6" t="n">
        <f aca="false">H10+G11</f>
        <v>16055</v>
      </c>
      <c r="J11" s="29" t="s">
        <v>22</v>
      </c>
      <c r="K11" s="31" t="s">
        <v>22</v>
      </c>
      <c r="L11" s="12"/>
      <c r="M11" s="12" t="s">
        <v>22</v>
      </c>
      <c r="P11" s="11" t="n">
        <f aca="false">H11-O10+13</f>
        <v>988</v>
      </c>
      <c r="Q11" s="11" t="n">
        <f aca="false">1600-P11</f>
        <v>612</v>
      </c>
      <c r="S11" s="32" t="n">
        <v>39</v>
      </c>
      <c r="T11" s="32" t="n">
        <v>133815</v>
      </c>
      <c r="U11" s="32" t="n">
        <v>132840</v>
      </c>
      <c r="V11" s="32" t="n">
        <v>13</v>
      </c>
      <c r="W11" s="32" t="n">
        <f aca="false">T11-U11+V11</f>
        <v>988</v>
      </c>
    </row>
    <row r="12" customFormat="false" ht="12.8" hidden="false" customHeight="false" outlineLevel="0" collapsed="false">
      <c r="A12" s="6" t="n">
        <f aca="false">A9+1</f>
        <v>4</v>
      </c>
      <c r="E12" s="6" t="n">
        <f aca="false">E9</f>
        <v>3</v>
      </c>
      <c r="F12" s="6" t="n">
        <v>10</v>
      </c>
      <c r="G12" s="36" t="n">
        <f aca="false">$G$9</f>
        <v>1720</v>
      </c>
      <c r="H12" s="6" t="n">
        <f aca="false">H11+G12</f>
        <v>17775</v>
      </c>
      <c r="J12" s="29" t="s">
        <v>18</v>
      </c>
      <c r="K12" s="12" t="s">
        <v>44</v>
      </c>
      <c r="L12" s="12"/>
      <c r="M12" s="12" t="s">
        <v>52</v>
      </c>
      <c r="S12" s="32" t="n">
        <v>40</v>
      </c>
      <c r="T12" s="32" t="n">
        <v>137335</v>
      </c>
      <c r="U12" s="32" t="n">
        <v>136360</v>
      </c>
      <c r="V12" s="32" t="n">
        <v>13</v>
      </c>
      <c r="W12" s="32" t="n">
        <f aca="false">T12-U12+V12</f>
        <v>988</v>
      </c>
    </row>
    <row r="13" customFormat="false" ht="12.8" hidden="false" customHeight="false" outlineLevel="0" collapsed="false">
      <c r="A13" s="6" t="n">
        <f aca="false">A10+1</f>
        <v>5</v>
      </c>
      <c r="B13" s="6" t="n">
        <f aca="false">B10+C10+D10</f>
        <v>18170</v>
      </c>
      <c r="C13" s="6" t="n">
        <f aca="false">$C$7</f>
        <v>3350</v>
      </c>
      <c r="D13" s="6" t="n">
        <v>10</v>
      </c>
      <c r="E13" s="6" t="n">
        <f aca="false">E10</f>
        <v>1</v>
      </c>
      <c r="F13" s="6" t="n">
        <v>11</v>
      </c>
      <c r="G13" s="36" t="n">
        <f aca="false">$G$7</f>
        <v>690</v>
      </c>
      <c r="H13" s="6" t="n">
        <f aca="false">H12+G13</f>
        <v>18465</v>
      </c>
      <c r="I13" s="23" t="n">
        <v>2</v>
      </c>
      <c r="J13" s="35" t="s">
        <v>16</v>
      </c>
      <c r="K13" s="12" t="s">
        <v>40</v>
      </c>
      <c r="L13" s="12" t="s">
        <v>42</v>
      </c>
      <c r="M13" s="12" t="s">
        <v>57</v>
      </c>
      <c r="O13" s="11" t="n">
        <f aca="false">O10+C10+D10</f>
        <v>18440</v>
      </c>
      <c r="S13" s="32" t="n">
        <v>41</v>
      </c>
      <c r="T13" s="32" t="n">
        <v>140695</v>
      </c>
      <c r="U13" s="32" t="n">
        <v>139720</v>
      </c>
      <c r="V13" s="32" t="n">
        <v>13</v>
      </c>
      <c r="W13" s="32" t="n">
        <f aca="false">T13-U13+V13</f>
        <v>988</v>
      </c>
    </row>
    <row r="14" customFormat="false" ht="12.8" hidden="false" customHeight="false" outlineLevel="0" collapsed="false">
      <c r="A14" s="6" t="n">
        <f aca="false">A11+1</f>
        <v>5</v>
      </c>
      <c r="E14" s="6" t="n">
        <f aca="false">E11</f>
        <v>2</v>
      </c>
      <c r="F14" s="6" t="n">
        <v>12</v>
      </c>
      <c r="G14" s="36" t="n">
        <f aca="false">$G$8</f>
        <v>950</v>
      </c>
      <c r="H14" s="6" t="n">
        <f aca="false">H13+G14</f>
        <v>19415</v>
      </c>
      <c r="J14" s="35" t="s">
        <v>22</v>
      </c>
      <c r="K14" s="19" t="s">
        <v>22</v>
      </c>
      <c r="L14" s="12"/>
      <c r="M14" s="12" t="s">
        <v>22</v>
      </c>
      <c r="P14" s="11" t="n">
        <f aca="false">H14-O13+13</f>
        <v>988</v>
      </c>
      <c r="Q14" s="11" t="n">
        <f aca="false">1600-P14</f>
        <v>612</v>
      </c>
      <c r="S14" s="32"/>
      <c r="T14" s="32"/>
      <c r="U14" s="32"/>
      <c r="V14" s="32"/>
      <c r="W14" s="32"/>
    </row>
    <row r="15" customFormat="false" ht="12.8" hidden="false" customHeight="false" outlineLevel="0" collapsed="false">
      <c r="A15" s="6" t="n">
        <f aca="false">A12+1</f>
        <v>5</v>
      </c>
      <c r="E15" s="6" t="n">
        <f aca="false">E12</f>
        <v>3</v>
      </c>
      <c r="F15" s="6" t="n">
        <v>13</v>
      </c>
      <c r="G15" s="36" t="n">
        <f aca="false">$G$9</f>
        <v>1720</v>
      </c>
      <c r="H15" s="6" t="n">
        <f aca="false">H14+G15</f>
        <v>21135</v>
      </c>
      <c r="J15" s="35" t="s">
        <v>18</v>
      </c>
      <c r="K15" s="12" t="s">
        <v>44</v>
      </c>
      <c r="L15" s="12"/>
      <c r="M15" s="12" t="s">
        <v>52</v>
      </c>
      <c r="S15" s="32" t="n">
        <v>57</v>
      </c>
      <c r="T15" s="32" t="n">
        <v>194455</v>
      </c>
      <c r="U15" s="32" t="n">
        <v>193480</v>
      </c>
      <c r="V15" s="32" t="n">
        <v>13</v>
      </c>
      <c r="W15" s="32" t="n">
        <f aca="false">T15-U15+V15</f>
        <v>988</v>
      </c>
    </row>
    <row r="16" customFormat="false" ht="12.8" hidden="false" customHeight="false" outlineLevel="0" collapsed="false">
      <c r="A16" s="6" t="n">
        <f aca="false">A13+1</f>
        <v>6</v>
      </c>
      <c r="B16" s="6" t="n">
        <f aca="false">B13+C13+D13</f>
        <v>21530</v>
      </c>
      <c r="C16" s="6" t="n">
        <f aca="false">$C$7</f>
        <v>3350</v>
      </c>
      <c r="D16" s="6" t="n">
        <v>10</v>
      </c>
      <c r="E16" s="6" t="n">
        <f aca="false">E13</f>
        <v>1</v>
      </c>
      <c r="F16" s="6" t="n">
        <v>14</v>
      </c>
      <c r="G16" s="36" t="n">
        <f aca="false">$G$7</f>
        <v>690</v>
      </c>
      <c r="H16" s="6" t="n">
        <f aca="false">H15+G16</f>
        <v>21825</v>
      </c>
      <c r="I16" s="23" t="n">
        <v>1</v>
      </c>
      <c r="J16" s="29" t="s">
        <v>14</v>
      </c>
      <c r="K16" s="12" t="s">
        <v>36</v>
      </c>
      <c r="L16" s="12" t="s">
        <v>38</v>
      </c>
      <c r="M16" s="12" t="s">
        <v>54</v>
      </c>
      <c r="O16" s="11" t="n">
        <f aca="false">O13+C13+D13</f>
        <v>21800</v>
      </c>
    </row>
    <row r="17" customFormat="false" ht="12.8" hidden="false" customHeight="false" outlineLevel="0" collapsed="false">
      <c r="A17" s="6" t="n">
        <f aca="false">A14+1</f>
        <v>6</v>
      </c>
      <c r="E17" s="6" t="n">
        <f aca="false">E14</f>
        <v>2</v>
      </c>
      <c r="F17" s="6" t="n">
        <v>15</v>
      </c>
      <c r="G17" s="36" t="n">
        <f aca="false">$G$8</f>
        <v>950</v>
      </c>
      <c r="H17" s="6" t="n">
        <f aca="false">H16+G17</f>
        <v>22775</v>
      </c>
      <c r="J17" s="29" t="s">
        <v>22</v>
      </c>
      <c r="K17" s="31" t="s">
        <v>22</v>
      </c>
      <c r="L17" s="12"/>
      <c r="M17" s="12" t="s">
        <v>22</v>
      </c>
      <c r="P17" s="11" t="n">
        <f aca="false">H17-O16+13</f>
        <v>988</v>
      </c>
      <c r="Q17" s="11" t="n">
        <f aca="false">1600-P17</f>
        <v>612</v>
      </c>
    </row>
    <row r="18" customFormat="false" ht="12.8" hidden="false" customHeight="false" outlineLevel="0" collapsed="false">
      <c r="A18" s="6" t="n">
        <f aca="false">A15+1</f>
        <v>6</v>
      </c>
      <c r="E18" s="6" t="n">
        <f aca="false">E15</f>
        <v>3</v>
      </c>
      <c r="F18" s="6" t="n">
        <v>16</v>
      </c>
      <c r="G18" s="36" t="n">
        <f aca="false">$G$9</f>
        <v>1720</v>
      </c>
      <c r="H18" s="6" t="n">
        <f aca="false">H17+G18</f>
        <v>24495</v>
      </c>
      <c r="J18" s="29" t="s">
        <v>18</v>
      </c>
      <c r="K18" s="12" t="s">
        <v>44</v>
      </c>
      <c r="L18" s="12"/>
      <c r="M18" s="12" t="s">
        <v>52</v>
      </c>
    </row>
    <row r="19" customFormat="false" ht="12.8" hidden="false" customHeight="false" outlineLevel="0" collapsed="false">
      <c r="A19" s="6" t="n">
        <f aca="false">A16+1</f>
        <v>7</v>
      </c>
      <c r="B19" s="6" t="n">
        <f aca="false">B16+C16+D16</f>
        <v>24890</v>
      </c>
      <c r="C19" s="6" t="n">
        <f aca="false">$C$7</f>
        <v>3350</v>
      </c>
      <c r="D19" s="6" t="n">
        <v>10</v>
      </c>
      <c r="E19" s="6" t="n">
        <f aca="false">E16</f>
        <v>1</v>
      </c>
      <c r="F19" s="6" t="n">
        <v>17</v>
      </c>
      <c r="G19" s="36" t="n">
        <f aca="false">$G$7</f>
        <v>690</v>
      </c>
      <c r="H19" s="6" t="n">
        <f aca="false">H18+G19</f>
        <v>25185</v>
      </c>
      <c r="I19" s="23" t="n">
        <v>2</v>
      </c>
      <c r="J19" s="35" t="s">
        <v>16</v>
      </c>
      <c r="K19" s="12" t="s">
        <v>40</v>
      </c>
      <c r="L19" s="12" t="s">
        <v>42</v>
      </c>
      <c r="M19" s="12" t="s">
        <v>57</v>
      </c>
      <c r="O19" s="11" t="n">
        <f aca="false">O16+C16+D16</f>
        <v>25160</v>
      </c>
    </row>
    <row r="20" customFormat="false" ht="12.8" hidden="false" customHeight="false" outlineLevel="0" collapsed="false">
      <c r="A20" s="6" t="n">
        <f aca="false">A17+1</f>
        <v>7</v>
      </c>
      <c r="E20" s="6" t="n">
        <f aca="false">E17</f>
        <v>2</v>
      </c>
      <c r="F20" s="6" t="n">
        <v>18</v>
      </c>
      <c r="G20" s="36" t="n">
        <f aca="false">$G$8</f>
        <v>950</v>
      </c>
      <c r="H20" s="6" t="n">
        <f aca="false">H19+G20</f>
        <v>26135</v>
      </c>
      <c r="J20" s="35" t="s">
        <v>22</v>
      </c>
      <c r="K20" s="19" t="s">
        <v>22</v>
      </c>
      <c r="L20" s="12"/>
      <c r="M20" s="12" t="s">
        <v>22</v>
      </c>
      <c r="P20" s="11" t="n">
        <f aca="false">H20-O19+13</f>
        <v>988</v>
      </c>
      <c r="Q20" s="11" t="n">
        <f aca="false">1600-P20</f>
        <v>612</v>
      </c>
    </row>
    <row r="21" customFormat="false" ht="12.8" hidden="false" customHeight="false" outlineLevel="0" collapsed="false">
      <c r="A21" s="6" t="n">
        <f aca="false">A18+1</f>
        <v>7</v>
      </c>
      <c r="E21" s="6" t="n">
        <f aca="false">E18</f>
        <v>3</v>
      </c>
      <c r="F21" s="6" t="n">
        <v>19</v>
      </c>
      <c r="G21" s="36" t="n">
        <f aca="false">$G$9</f>
        <v>1720</v>
      </c>
      <c r="H21" s="6" t="n">
        <f aca="false">H20+G21</f>
        <v>27855</v>
      </c>
      <c r="J21" s="35" t="s">
        <v>18</v>
      </c>
      <c r="K21" s="12" t="s">
        <v>44</v>
      </c>
      <c r="L21" s="12"/>
      <c r="M21" s="12" t="s">
        <v>52</v>
      </c>
    </row>
    <row r="22" customFormat="false" ht="12.8" hidden="false" customHeight="false" outlineLevel="0" collapsed="false">
      <c r="A22" s="6" t="n">
        <f aca="false">A19+1</f>
        <v>8</v>
      </c>
      <c r="B22" s="6" t="n">
        <f aca="false">B19+C19+D19</f>
        <v>28250</v>
      </c>
      <c r="C22" s="6" t="n">
        <f aca="false">$C$7</f>
        <v>3350</v>
      </c>
      <c r="D22" s="6" t="n">
        <v>10</v>
      </c>
      <c r="E22" s="6" t="n">
        <f aca="false">E19</f>
        <v>1</v>
      </c>
      <c r="F22" s="6" t="n">
        <v>20</v>
      </c>
      <c r="G22" s="36" t="n">
        <f aca="false">$G$7</f>
        <v>690</v>
      </c>
      <c r="H22" s="6" t="n">
        <f aca="false">H21+G22</f>
        <v>28545</v>
      </c>
      <c r="I22" s="23" t="n">
        <v>1</v>
      </c>
      <c r="J22" s="29" t="s">
        <v>14</v>
      </c>
      <c r="K22" s="12" t="s">
        <v>36</v>
      </c>
      <c r="L22" s="12" t="s">
        <v>38</v>
      </c>
      <c r="M22" s="12" t="s">
        <v>54</v>
      </c>
      <c r="O22" s="11" t="n">
        <f aca="false">O19+C19+D19</f>
        <v>28520</v>
      </c>
    </row>
    <row r="23" customFormat="false" ht="12.8" hidden="false" customHeight="false" outlineLevel="0" collapsed="false">
      <c r="A23" s="6" t="n">
        <f aca="false">A20+1</f>
        <v>8</v>
      </c>
      <c r="E23" s="6" t="n">
        <f aca="false">E20</f>
        <v>2</v>
      </c>
      <c r="F23" s="6" t="n">
        <v>21</v>
      </c>
      <c r="G23" s="36" t="n">
        <f aca="false">$G$8</f>
        <v>950</v>
      </c>
      <c r="H23" s="6" t="n">
        <f aca="false">H22+G23</f>
        <v>29495</v>
      </c>
      <c r="J23" s="29" t="s">
        <v>22</v>
      </c>
      <c r="K23" s="31" t="s">
        <v>22</v>
      </c>
      <c r="L23" s="12"/>
      <c r="M23" s="12" t="s">
        <v>22</v>
      </c>
      <c r="P23" s="11" t="n">
        <f aca="false">H23-O22+13</f>
        <v>988</v>
      </c>
      <c r="Q23" s="11" t="n">
        <f aca="false">1600-P23</f>
        <v>612</v>
      </c>
    </row>
    <row r="24" customFormat="false" ht="12.8" hidden="false" customHeight="false" outlineLevel="0" collapsed="false">
      <c r="A24" s="6" t="n">
        <f aca="false">A21+1</f>
        <v>8</v>
      </c>
      <c r="E24" s="6" t="n">
        <f aca="false">E21</f>
        <v>3</v>
      </c>
      <c r="F24" s="6" t="n">
        <v>22</v>
      </c>
      <c r="G24" s="36" t="n">
        <f aca="false">$G$9</f>
        <v>1720</v>
      </c>
      <c r="H24" s="6" t="n">
        <f aca="false">H23+G24</f>
        <v>31215</v>
      </c>
      <c r="J24" s="29" t="s">
        <v>18</v>
      </c>
      <c r="K24" s="12" t="s">
        <v>44</v>
      </c>
      <c r="L24" s="12"/>
      <c r="M24" s="12" t="s">
        <v>52</v>
      </c>
    </row>
    <row r="25" customFormat="false" ht="12.8" hidden="false" customHeight="false" outlineLevel="0" collapsed="false">
      <c r="A25" s="6" t="n">
        <f aca="false">A22+1</f>
        <v>9</v>
      </c>
      <c r="B25" s="6" t="n">
        <f aca="false">B22+C22+D22</f>
        <v>31610</v>
      </c>
      <c r="C25" s="6" t="n">
        <f aca="false">$C$7</f>
        <v>3350</v>
      </c>
      <c r="D25" s="6" t="n">
        <v>10</v>
      </c>
      <c r="E25" s="6" t="n">
        <f aca="false">E22</f>
        <v>1</v>
      </c>
      <c r="F25" s="6" t="n">
        <v>23</v>
      </c>
      <c r="G25" s="36" t="n">
        <f aca="false">$G$7</f>
        <v>690</v>
      </c>
      <c r="H25" s="6" t="n">
        <f aca="false">H24+G25</f>
        <v>31905</v>
      </c>
      <c r="I25" s="23" t="n">
        <v>2</v>
      </c>
      <c r="J25" s="35" t="s">
        <v>16</v>
      </c>
      <c r="K25" s="12" t="s">
        <v>40</v>
      </c>
      <c r="L25" s="12" t="s">
        <v>42</v>
      </c>
      <c r="M25" s="12" t="s">
        <v>57</v>
      </c>
      <c r="O25" s="11" t="n">
        <f aca="false">O22+C22+D22</f>
        <v>31880</v>
      </c>
    </row>
    <row r="26" customFormat="false" ht="12.8" hidden="false" customHeight="false" outlineLevel="0" collapsed="false">
      <c r="A26" s="6" t="n">
        <f aca="false">A23+1</f>
        <v>9</v>
      </c>
      <c r="E26" s="6" t="n">
        <f aca="false">E23</f>
        <v>2</v>
      </c>
      <c r="F26" s="6" t="n">
        <v>24</v>
      </c>
      <c r="G26" s="36" t="n">
        <f aca="false">$G$8</f>
        <v>950</v>
      </c>
      <c r="H26" s="6" t="n">
        <f aca="false">H25+G26</f>
        <v>32855</v>
      </c>
      <c r="J26" s="35" t="s">
        <v>22</v>
      </c>
      <c r="K26" s="19" t="s">
        <v>22</v>
      </c>
      <c r="L26" s="12"/>
      <c r="M26" s="12" t="s">
        <v>22</v>
      </c>
      <c r="P26" s="11" t="n">
        <f aca="false">H26-O25+13</f>
        <v>988</v>
      </c>
      <c r="Q26" s="11" t="n">
        <f aca="false">1600-P26</f>
        <v>612</v>
      </c>
    </row>
    <row r="27" customFormat="false" ht="12.8" hidden="false" customHeight="false" outlineLevel="0" collapsed="false">
      <c r="A27" s="6" t="n">
        <f aca="false">A24+1</f>
        <v>9</v>
      </c>
      <c r="E27" s="6" t="n">
        <f aca="false">E24</f>
        <v>3</v>
      </c>
      <c r="F27" s="6" t="n">
        <v>25</v>
      </c>
      <c r="G27" s="36" t="n">
        <f aca="false">$G$9</f>
        <v>1720</v>
      </c>
      <c r="H27" s="6" t="n">
        <f aca="false">H26+G27</f>
        <v>34575</v>
      </c>
      <c r="J27" s="35" t="s">
        <v>18</v>
      </c>
      <c r="K27" s="12" t="s">
        <v>44</v>
      </c>
      <c r="L27" s="12"/>
      <c r="M27" s="12" t="s">
        <v>52</v>
      </c>
    </row>
    <row r="28" customFormat="false" ht="12.8" hidden="false" customHeight="false" outlineLevel="0" collapsed="false">
      <c r="A28" s="6" t="n">
        <f aca="false">A25+1</f>
        <v>10</v>
      </c>
      <c r="B28" s="6" t="n">
        <f aca="false">B25+C25+D25</f>
        <v>34970</v>
      </c>
      <c r="C28" s="6" t="n">
        <f aca="false">$C$7</f>
        <v>3350</v>
      </c>
      <c r="D28" s="6" t="n">
        <v>10</v>
      </c>
      <c r="E28" s="6" t="n">
        <f aca="false">E25</f>
        <v>1</v>
      </c>
      <c r="F28" s="6" t="n">
        <v>26</v>
      </c>
      <c r="G28" s="36" t="n">
        <f aca="false">$G$7</f>
        <v>690</v>
      </c>
      <c r="H28" s="6" t="n">
        <f aca="false">H27+G28</f>
        <v>35265</v>
      </c>
      <c r="I28" s="23" t="n">
        <v>1</v>
      </c>
      <c r="J28" s="29" t="s">
        <v>14</v>
      </c>
      <c r="K28" s="12" t="s">
        <v>36</v>
      </c>
      <c r="L28" s="12" t="s">
        <v>38</v>
      </c>
      <c r="M28" s="12" t="s">
        <v>54</v>
      </c>
      <c r="O28" s="11" t="n">
        <f aca="false">O25+C25+D25</f>
        <v>35240</v>
      </c>
    </row>
    <row r="29" customFormat="false" ht="12.8" hidden="false" customHeight="false" outlineLevel="0" collapsed="false">
      <c r="A29" s="6" t="n">
        <f aca="false">A26+1</f>
        <v>10</v>
      </c>
      <c r="E29" s="6" t="n">
        <f aca="false">E26</f>
        <v>2</v>
      </c>
      <c r="F29" s="6" t="n">
        <v>27</v>
      </c>
      <c r="G29" s="36" t="n">
        <f aca="false">$G$8</f>
        <v>950</v>
      </c>
      <c r="H29" s="6" t="n">
        <f aca="false">H28+G29</f>
        <v>36215</v>
      </c>
      <c r="J29" s="29" t="s">
        <v>22</v>
      </c>
      <c r="K29" s="31" t="s">
        <v>22</v>
      </c>
      <c r="L29" s="12"/>
      <c r="M29" s="12" t="s">
        <v>22</v>
      </c>
      <c r="P29" s="11" t="n">
        <f aca="false">H29-O28+13</f>
        <v>988</v>
      </c>
      <c r="Q29" s="11" t="n">
        <f aca="false">1600-P29</f>
        <v>612</v>
      </c>
    </row>
    <row r="30" customFormat="false" ht="12.8" hidden="false" customHeight="false" outlineLevel="0" collapsed="false">
      <c r="A30" s="6" t="n">
        <f aca="false">A27+1</f>
        <v>10</v>
      </c>
      <c r="E30" s="6" t="n">
        <f aca="false">E27</f>
        <v>3</v>
      </c>
      <c r="F30" s="6" t="n">
        <v>28</v>
      </c>
      <c r="G30" s="36" t="n">
        <f aca="false">$G$9</f>
        <v>1720</v>
      </c>
      <c r="H30" s="6" t="n">
        <f aca="false">H29+G30</f>
        <v>37935</v>
      </c>
      <c r="J30" s="29" t="s">
        <v>18</v>
      </c>
      <c r="K30" s="12" t="s">
        <v>44</v>
      </c>
      <c r="L30" s="12"/>
      <c r="M30" s="12" t="s">
        <v>52</v>
      </c>
    </row>
    <row r="31" customFormat="false" ht="12.8" hidden="false" customHeight="false" outlineLevel="0" collapsed="false">
      <c r="A31" s="6" t="n">
        <f aca="false">A28+1</f>
        <v>11</v>
      </c>
      <c r="B31" s="6" t="n">
        <f aca="false">B28+C28+D28</f>
        <v>38330</v>
      </c>
      <c r="C31" s="6" t="n">
        <f aca="false">$C$7</f>
        <v>3350</v>
      </c>
      <c r="D31" s="6" t="n">
        <v>10</v>
      </c>
      <c r="E31" s="6" t="n">
        <f aca="false">E28</f>
        <v>1</v>
      </c>
      <c r="F31" s="6" t="n">
        <v>29</v>
      </c>
      <c r="G31" s="36" t="n">
        <f aca="false">$G$7</f>
        <v>690</v>
      </c>
      <c r="H31" s="6" t="n">
        <f aca="false">H30+G31</f>
        <v>38625</v>
      </c>
      <c r="I31" s="23" t="n">
        <v>2</v>
      </c>
      <c r="J31" s="35" t="s">
        <v>16</v>
      </c>
      <c r="K31" s="12" t="s">
        <v>40</v>
      </c>
      <c r="L31" s="12" t="s">
        <v>42</v>
      </c>
      <c r="M31" s="12" t="s">
        <v>57</v>
      </c>
      <c r="O31" s="11" t="n">
        <f aca="false">O28+C28+D28</f>
        <v>38600</v>
      </c>
    </row>
    <row r="32" customFormat="false" ht="12.8" hidden="false" customHeight="false" outlineLevel="0" collapsed="false">
      <c r="A32" s="6" t="n">
        <f aca="false">A29+1</f>
        <v>11</v>
      </c>
      <c r="E32" s="6" t="n">
        <f aca="false">E29</f>
        <v>2</v>
      </c>
      <c r="F32" s="6" t="n">
        <v>30</v>
      </c>
      <c r="G32" s="36" t="n">
        <f aca="false">$G$8</f>
        <v>950</v>
      </c>
      <c r="H32" s="6" t="n">
        <f aca="false">H31+G32</f>
        <v>39575</v>
      </c>
      <c r="J32" s="35" t="s">
        <v>22</v>
      </c>
      <c r="K32" s="19" t="s">
        <v>22</v>
      </c>
      <c r="L32" s="12"/>
      <c r="M32" s="12" t="s">
        <v>22</v>
      </c>
      <c r="P32" s="11" t="n">
        <f aca="false">H32-O31+13</f>
        <v>988</v>
      </c>
      <c r="Q32" s="11" t="n">
        <f aca="false">1600-P32</f>
        <v>612</v>
      </c>
    </row>
    <row r="33" customFormat="false" ht="12.8" hidden="false" customHeight="false" outlineLevel="0" collapsed="false">
      <c r="A33" s="6" t="n">
        <f aca="false">A30+1</f>
        <v>11</v>
      </c>
      <c r="E33" s="6" t="n">
        <f aca="false">E30</f>
        <v>3</v>
      </c>
      <c r="F33" s="6" t="n">
        <v>31</v>
      </c>
      <c r="G33" s="36" t="n">
        <f aca="false">$G$9</f>
        <v>1720</v>
      </c>
      <c r="H33" s="6" t="n">
        <f aca="false">H32+G33</f>
        <v>41295</v>
      </c>
      <c r="J33" s="35" t="s">
        <v>18</v>
      </c>
      <c r="K33" s="12" t="s">
        <v>44</v>
      </c>
      <c r="L33" s="12"/>
      <c r="M33" s="12" t="s">
        <v>52</v>
      </c>
    </row>
    <row r="34" customFormat="false" ht="12.8" hidden="false" customHeight="false" outlineLevel="0" collapsed="false">
      <c r="A34" s="6" t="n">
        <f aca="false">A31+1</f>
        <v>12</v>
      </c>
      <c r="B34" s="6" t="n">
        <f aca="false">B31+C31+D31</f>
        <v>41690</v>
      </c>
      <c r="C34" s="6" t="n">
        <f aca="false">$C$7</f>
        <v>3350</v>
      </c>
      <c r="D34" s="6" t="n">
        <v>10</v>
      </c>
      <c r="E34" s="6" t="n">
        <f aca="false">E31</f>
        <v>1</v>
      </c>
      <c r="F34" s="6" t="n">
        <v>32</v>
      </c>
      <c r="G34" s="36" t="n">
        <f aca="false">$G$7</f>
        <v>690</v>
      </c>
      <c r="H34" s="6" t="n">
        <f aca="false">H33+G34</f>
        <v>41985</v>
      </c>
      <c r="I34" s="23" t="n">
        <v>1</v>
      </c>
      <c r="J34" s="29" t="s">
        <v>14</v>
      </c>
      <c r="K34" s="12" t="s">
        <v>36</v>
      </c>
      <c r="L34" s="12" t="s">
        <v>38</v>
      </c>
      <c r="M34" s="12" t="s">
        <v>54</v>
      </c>
      <c r="O34" s="11" t="n">
        <f aca="false">O31+C31+D31</f>
        <v>41960</v>
      </c>
    </row>
    <row r="35" customFormat="false" ht="12.8" hidden="false" customHeight="false" outlineLevel="0" collapsed="false">
      <c r="A35" s="6" t="n">
        <f aca="false">A32+1</f>
        <v>12</v>
      </c>
      <c r="E35" s="6" t="n">
        <f aca="false">E32</f>
        <v>2</v>
      </c>
      <c r="F35" s="6" t="n">
        <v>33</v>
      </c>
      <c r="G35" s="36" t="n">
        <f aca="false">$G$8</f>
        <v>950</v>
      </c>
      <c r="H35" s="6" t="n">
        <f aca="false">H34+G35</f>
        <v>42935</v>
      </c>
      <c r="J35" s="29" t="s">
        <v>22</v>
      </c>
      <c r="K35" s="31" t="s">
        <v>22</v>
      </c>
      <c r="L35" s="12"/>
      <c r="M35" s="12" t="s">
        <v>22</v>
      </c>
      <c r="P35" s="11" t="n">
        <f aca="false">H35-O34+13</f>
        <v>988</v>
      </c>
      <c r="Q35" s="11" t="n">
        <f aca="false">1600-P35</f>
        <v>612</v>
      </c>
    </row>
    <row r="36" customFormat="false" ht="12.8" hidden="false" customHeight="false" outlineLevel="0" collapsed="false">
      <c r="A36" s="6" t="n">
        <f aca="false">A33+1</f>
        <v>12</v>
      </c>
      <c r="E36" s="6" t="n">
        <f aca="false">E33</f>
        <v>3</v>
      </c>
      <c r="F36" s="6" t="n">
        <v>34</v>
      </c>
      <c r="G36" s="36" t="n">
        <f aca="false">$G$9</f>
        <v>1720</v>
      </c>
      <c r="H36" s="6" t="n">
        <f aca="false">H35+G36</f>
        <v>44655</v>
      </c>
      <c r="J36" s="29" t="s">
        <v>18</v>
      </c>
      <c r="K36" s="12" t="s">
        <v>44</v>
      </c>
      <c r="L36" s="12"/>
      <c r="M36" s="12" t="s">
        <v>52</v>
      </c>
    </row>
    <row r="37" customFormat="false" ht="12.8" hidden="false" customHeight="false" outlineLevel="0" collapsed="false">
      <c r="A37" s="6" t="n">
        <f aca="false">A34+1</f>
        <v>13</v>
      </c>
      <c r="B37" s="6" t="n">
        <f aca="false">B34+C34+D34</f>
        <v>45050</v>
      </c>
      <c r="C37" s="6" t="n">
        <f aca="false">$C$7</f>
        <v>3350</v>
      </c>
      <c r="D37" s="6" t="n">
        <v>10</v>
      </c>
      <c r="E37" s="6" t="n">
        <f aca="false">E34</f>
        <v>1</v>
      </c>
      <c r="F37" s="6" t="n">
        <v>35</v>
      </c>
      <c r="G37" s="36" t="n">
        <f aca="false">$G$7</f>
        <v>690</v>
      </c>
      <c r="H37" s="6" t="n">
        <f aca="false">H36+G37</f>
        <v>45345</v>
      </c>
      <c r="I37" s="23" t="n">
        <v>2</v>
      </c>
      <c r="J37" s="35" t="s">
        <v>16</v>
      </c>
      <c r="K37" s="12" t="s">
        <v>40</v>
      </c>
      <c r="L37" s="12" t="s">
        <v>42</v>
      </c>
      <c r="M37" s="12" t="s">
        <v>57</v>
      </c>
      <c r="O37" s="11" t="n">
        <f aca="false">O34+C34+D34</f>
        <v>45320</v>
      </c>
    </row>
    <row r="38" customFormat="false" ht="12.8" hidden="false" customHeight="false" outlineLevel="0" collapsed="false">
      <c r="A38" s="6" t="n">
        <f aca="false">A35+1</f>
        <v>13</v>
      </c>
      <c r="E38" s="6" t="n">
        <f aca="false">E35</f>
        <v>2</v>
      </c>
      <c r="F38" s="6" t="n">
        <v>36</v>
      </c>
      <c r="G38" s="36" t="n">
        <f aca="false">$G$8</f>
        <v>950</v>
      </c>
      <c r="H38" s="6" t="n">
        <f aca="false">H37+G38</f>
        <v>46295</v>
      </c>
      <c r="J38" s="35" t="s">
        <v>22</v>
      </c>
      <c r="K38" s="19" t="s">
        <v>22</v>
      </c>
      <c r="L38" s="12"/>
      <c r="M38" s="12" t="s">
        <v>22</v>
      </c>
      <c r="P38" s="11" t="n">
        <f aca="false">H38-O37+13</f>
        <v>988</v>
      </c>
      <c r="Q38" s="11" t="n">
        <f aca="false">1600-P38</f>
        <v>612</v>
      </c>
    </row>
    <row r="39" customFormat="false" ht="12.8" hidden="false" customHeight="false" outlineLevel="0" collapsed="false">
      <c r="A39" s="6" t="n">
        <f aca="false">A36+1</f>
        <v>13</v>
      </c>
      <c r="E39" s="6" t="n">
        <f aca="false">E36</f>
        <v>3</v>
      </c>
      <c r="F39" s="6" t="n">
        <v>37</v>
      </c>
      <c r="G39" s="36" t="n">
        <f aca="false">$G$9</f>
        <v>1720</v>
      </c>
      <c r="H39" s="6" t="n">
        <f aca="false">H38+G39</f>
        <v>48015</v>
      </c>
      <c r="J39" s="35" t="s">
        <v>18</v>
      </c>
      <c r="K39" s="12" t="s">
        <v>44</v>
      </c>
      <c r="L39" s="12"/>
      <c r="M39" s="12" t="s">
        <v>52</v>
      </c>
    </row>
    <row r="40" customFormat="false" ht="12.8" hidden="false" customHeight="false" outlineLevel="0" collapsed="false">
      <c r="A40" s="6" t="n">
        <f aca="false">A37+1</f>
        <v>14</v>
      </c>
      <c r="B40" s="6" t="n">
        <f aca="false">B37+C37+D37</f>
        <v>48410</v>
      </c>
      <c r="C40" s="6" t="n">
        <f aca="false">$C$7</f>
        <v>3350</v>
      </c>
      <c r="D40" s="6" t="n">
        <v>10</v>
      </c>
      <c r="E40" s="6" t="n">
        <f aca="false">E37</f>
        <v>1</v>
      </c>
      <c r="F40" s="6" t="n">
        <v>38</v>
      </c>
      <c r="G40" s="36" t="n">
        <f aca="false">$G$7</f>
        <v>690</v>
      </c>
      <c r="H40" s="6" t="n">
        <f aca="false">H39+G40</f>
        <v>48705</v>
      </c>
      <c r="I40" s="23" t="n">
        <v>1</v>
      </c>
      <c r="J40" s="29" t="s">
        <v>14</v>
      </c>
      <c r="K40" s="12" t="s">
        <v>36</v>
      </c>
      <c r="L40" s="12" t="s">
        <v>38</v>
      </c>
      <c r="M40" s="12" t="s">
        <v>54</v>
      </c>
      <c r="O40" s="11" t="n">
        <f aca="false">O37+C37+D37</f>
        <v>48680</v>
      </c>
    </row>
    <row r="41" customFormat="false" ht="12.8" hidden="false" customHeight="false" outlineLevel="0" collapsed="false">
      <c r="A41" s="6" t="n">
        <f aca="false">A38+1</f>
        <v>14</v>
      </c>
      <c r="E41" s="6" t="n">
        <f aca="false">E38</f>
        <v>2</v>
      </c>
      <c r="F41" s="6" t="n">
        <v>39</v>
      </c>
      <c r="G41" s="36" t="n">
        <f aca="false">$G$8</f>
        <v>950</v>
      </c>
      <c r="H41" s="6" t="n">
        <f aca="false">H40+G41</f>
        <v>49655</v>
      </c>
      <c r="J41" s="29" t="s">
        <v>22</v>
      </c>
      <c r="K41" s="31" t="s">
        <v>22</v>
      </c>
      <c r="L41" s="12"/>
      <c r="M41" s="12" t="s">
        <v>22</v>
      </c>
      <c r="P41" s="11" t="n">
        <f aca="false">H41-O40+13</f>
        <v>988</v>
      </c>
      <c r="Q41" s="11" t="n">
        <f aca="false">1600-P41</f>
        <v>612</v>
      </c>
    </row>
    <row r="42" customFormat="false" ht="12.8" hidden="false" customHeight="false" outlineLevel="0" collapsed="false">
      <c r="A42" s="6" t="n">
        <f aca="false">A39+1</f>
        <v>14</v>
      </c>
      <c r="E42" s="6" t="n">
        <f aca="false">E39</f>
        <v>3</v>
      </c>
      <c r="F42" s="6" t="n">
        <v>40</v>
      </c>
      <c r="G42" s="36" t="n">
        <f aca="false">$G$9</f>
        <v>1720</v>
      </c>
      <c r="H42" s="6" t="n">
        <f aca="false">H41+G42</f>
        <v>51375</v>
      </c>
      <c r="J42" s="29" t="s">
        <v>18</v>
      </c>
      <c r="K42" s="12" t="s">
        <v>44</v>
      </c>
      <c r="L42" s="12"/>
      <c r="M42" s="12" t="s">
        <v>52</v>
      </c>
    </row>
    <row r="43" customFormat="false" ht="12.8" hidden="false" customHeight="false" outlineLevel="0" collapsed="false">
      <c r="A43" s="6" t="n">
        <f aca="false">A40+1</f>
        <v>15</v>
      </c>
      <c r="B43" s="6" t="n">
        <f aca="false">B40+C40+D40</f>
        <v>51770</v>
      </c>
      <c r="C43" s="6" t="n">
        <f aca="false">$C$7</f>
        <v>3350</v>
      </c>
      <c r="D43" s="6" t="n">
        <v>10</v>
      </c>
      <c r="E43" s="6" t="n">
        <f aca="false">E40</f>
        <v>1</v>
      </c>
      <c r="F43" s="6" t="n">
        <v>41</v>
      </c>
      <c r="G43" s="36" t="n">
        <f aca="false">$G$7</f>
        <v>690</v>
      </c>
      <c r="H43" s="6" t="n">
        <f aca="false">H42+G43</f>
        <v>52065</v>
      </c>
      <c r="I43" s="23" t="n">
        <v>2</v>
      </c>
      <c r="J43" s="35" t="s">
        <v>16</v>
      </c>
      <c r="K43" s="12" t="s">
        <v>40</v>
      </c>
      <c r="L43" s="12" t="s">
        <v>42</v>
      </c>
      <c r="M43" s="12" t="s">
        <v>57</v>
      </c>
      <c r="O43" s="11" t="n">
        <f aca="false">O40+C40+D40</f>
        <v>52040</v>
      </c>
    </row>
    <row r="44" customFormat="false" ht="12.8" hidden="false" customHeight="false" outlineLevel="0" collapsed="false">
      <c r="A44" s="6" t="n">
        <f aca="false">A41+1</f>
        <v>15</v>
      </c>
      <c r="E44" s="6" t="n">
        <f aca="false">E41</f>
        <v>2</v>
      </c>
      <c r="F44" s="6" t="n">
        <v>42</v>
      </c>
      <c r="G44" s="36" t="n">
        <f aca="false">$G$8</f>
        <v>950</v>
      </c>
      <c r="H44" s="6" t="n">
        <f aca="false">H43+G44</f>
        <v>53015</v>
      </c>
      <c r="J44" s="35" t="s">
        <v>22</v>
      </c>
      <c r="K44" s="19" t="s">
        <v>22</v>
      </c>
      <c r="L44" s="12"/>
      <c r="M44" s="12" t="s">
        <v>22</v>
      </c>
      <c r="P44" s="11" t="n">
        <f aca="false">H44-O43+13</f>
        <v>988</v>
      </c>
      <c r="Q44" s="11" t="n">
        <f aca="false">1600-P44</f>
        <v>612</v>
      </c>
    </row>
    <row r="45" customFormat="false" ht="12.8" hidden="false" customHeight="false" outlineLevel="0" collapsed="false">
      <c r="A45" s="6" t="n">
        <f aca="false">A42+1</f>
        <v>15</v>
      </c>
      <c r="E45" s="6" t="n">
        <f aca="false">E42</f>
        <v>3</v>
      </c>
      <c r="F45" s="6" t="n">
        <v>43</v>
      </c>
      <c r="G45" s="36" t="n">
        <f aca="false">$G$9</f>
        <v>1720</v>
      </c>
      <c r="H45" s="6" t="n">
        <f aca="false">H44+G45</f>
        <v>54735</v>
      </c>
      <c r="J45" s="35" t="s">
        <v>18</v>
      </c>
      <c r="K45" s="12" t="s">
        <v>44</v>
      </c>
      <c r="L45" s="12"/>
      <c r="M45" s="12" t="s">
        <v>52</v>
      </c>
    </row>
    <row r="46" customFormat="false" ht="12.8" hidden="false" customHeight="false" outlineLevel="0" collapsed="false">
      <c r="A46" s="6" t="n">
        <f aca="false">A43+1</f>
        <v>16</v>
      </c>
      <c r="B46" s="6" t="n">
        <f aca="false">B43+C43+D43</f>
        <v>55130</v>
      </c>
      <c r="C46" s="6" t="n">
        <f aca="false">$C$7</f>
        <v>3350</v>
      </c>
      <c r="D46" s="6" t="n">
        <v>10</v>
      </c>
      <c r="E46" s="6" t="n">
        <f aca="false">E43</f>
        <v>1</v>
      </c>
      <c r="F46" s="6" t="n">
        <v>44</v>
      </c>
      <c r="G46" s="36" t="n">
        <f aca="false">$G$7</f>
        <v>690</v>
      </c>
      <c r="H46" s="6" t="n">
        <f aca="false">H45+G46</f>
        <v>55425</v>
      </c>
      <c r="I46" s="23" t="n">
        <v>1</v>
      </c>
      <c r="J46" s="29" t="s">
        <v>14</v>
      </c>
      <c r="K46" s="12" t="s">
        <v>36</v>
      </c>
      <c r="L46" s="12" t="s">
        <v>38</v>
      </c>
      <c r="M46" s="12" t="s">
        <v>54</v>
      </c>
      <c r="O46" s="11" t="n">
        <f aca="false">O43+C43+D43</f>
        <v>55400</v>
      </c>
    </row>
    <row r="47" customFormat="false" ht="12.8" hidden="false" customHeight="false" outlineLevel="0" collapsed="false">
      <c r="A47" s="6" t="n">
        <f aca="false">A44+1</f>
        <v>16</v>
      </c>
      <c r="E47" s="6" t="n">
        <f aca="false">E44</f>
        <v>2</v>
      </c>
      <c r="F47" s="6" t="n">
        <v>45</v>
      </c>
      <c r="G47" s="36" t="n">
        <f aca="false">$G$8</f>
        <v>950</v>
      </c>
      <c r="H47" s="6" t="n">
        <f aca="false">H46+G47</f>
        <v>56375</v>
      </c>
      <c r="J47" s="29" t="s">
        <v>22</v>
      </c>
      <c r="K47" s="31" t="s">
        <v>22</v>
      </c>
      <c r="L47" s="12"/>
      <c r="M47" s="12" t="s">
        <v>22</v>
      </c>
      <c r="P47" s="11" t="n">
        <f aca="false">H47-O46+13</f>
        <v>988</v>
      </c>
      <c r="Q47" s="11" t="n">
        <f aca="false">1600-P47</f>
        <v>612</v>
      </c>
    </row>
    <row r="48" customFormat="false" ht="12.8" hidden="false" customHeight="false" outlineLevel="0" collapsed="false">
      <c r="A48" s="6" t="n">
        <f aca="false">A45+1</f>
        <v>16</v>
      </c>
      <c r="E48" s="6" t="n">
        <f aca="false">E45</f>
        <v>3</v>
      </c>
      <c r="F48" s="6" t="n">
        <v>46</v>
      </c>
      <c r="G48" s="36" t="n">
        <f aca="false">$G$9</f>
        <v>1720</v>
      </c>
      <c r="H48" s="6" t="n">
        <f aca="false">H47+G48</f>
        <v>58095</v>
      </c>
      <c r="J48" s="29" t="s">
        <v>18</v>
      </c>
      <c r="K48" s="12" t="s">
        <v>44</v>
      </c>
      <c r="L48" s="12"/>
      <c r="M48" s="12" t="s">
        <v>52</v>
      </c>
    </row>
    <row r="49" customFormat="false" ht="12.8" hidden="false" customHeight="false" outlineLevel="0" collapsed="false">
      <c r="A49" s="6" t="n">
        <f aca="false">A46+1</f>
        <v>17</v>
      </c>
      <c r="B49" s="6" t="n">
        <f aca="false">B46+C46+D46</f>
        <v>58490</v>
      </c>
      <c r="C49" s="6" t="n">
        <f aca="false">$C$7</f>
        <v>3350</v>
      </c>
      <c r="D49" s="6" t="n">
        <v>10</v>
      </c>
      <c r="E49" s="6" t="n">
        <f aca="false">E46</f>
        <v>1</v>
      </c>
      <c r="F49" s="6" t="n">
        <v>47</v>
      </c>
      <c r="G49" s="36" t="n">
        <f aca="false">$G$7</f>
        <v>690</v>
      </c>
      <c r="H49" s="6" t="n">
        <f aca="false">H48+G49</f>
        <v>58785</v>
      </c>
      <c r="I49" s="23" t="n">
        <v>2</v>
      </c>
      <c r="J49" s="35" t="s">
        <v>16</v>
      </c>
      <c r="K49" s="12" t="s">
        <v>40</v>
      </c>
      <c r="L49" s="12" t="s">
        <v>42</v>
      </c>
      <c r="M49" s="12" t="s">
        <v>57</v>
      </c>
      <c r="O49" s="11" t="n">
        <f aca="false">O46+C46+D46</f>
        <v>58760</v>
      </c>
    </row>
    <row r="50" customFormat="false" ht="12.8" hidden="false" customHeight="false" outlineLevel="0" collapsed="false">
      <c r="A50" s="6" t="n">
        <f aca="false">A47+1</f>
        <v>17</v>
      </c>
      <c r="E50" s="6" t="n">
        <f aca="false">E47</f>
        <v>2</v>
      </c>
      <c r="F50" s="6" t="n">
        <v>48</v>
      </c>
      <c r="G50" s="36" t="n">
        <f aca="false">$G$8</f>
        <v>950</v>
      </c>
      <c r="H50" s="6" t="n">
        <f aca="false">H49+G50</f>
        <v>59735</v>
      </c>
      <c r="J50" s="35" t="s">
        <v>22</v>
      </c>
      <c r="K50" s="19" t="s">
        <v>22</v>
      </c>
      <c r="L50" s="12"/>
      <c r="M50" s="12" t="s">
        <v>22</v>
      </c>
      <c r="P50" s="11" t="n">
        <f aca="false">H50-O49+13</f>
        <v>988</v>
      </c>
      <c r="Q50" s="11" t="n">
        <f aca="false">1600-P50</f>
        <v>612</v>
      </c>
    </row>
    <row r="51" customFormat="false" ht="12.8" hidden="false" customHeight="false" outlineLevel="0" collapsed="false">
      <c r="A51" s="6" t="n">
        <f aca="false">A48+1</f>
        <v>17</v>
      </c>
      <c r="E51" s="6" t="n">
        <f aca="false">E48</f>
        <v>3</v>
      </c>
      <c r="F51" s="6" t="n">
        <v>49</v>
      </c>
      <c r="G51" s="36" t="n">
        <f aca="false">$G$9</f>
        <v>1720</v>
      </c>
      <c r="H51" s="6" t="n">
        <f aca="false">H50+G51</f>
        <v>61455</v>
      </c>
      <c r="J51" s="35" t="s">
        <v>18</v>
      </c>
      <c r="K51" s="12" t="s">
        <v>44</v>
      </c>
      <c r="L51" s="12"/>
      <c r="M51" s="12" t="s">
        <v>52</v>
      </c>
    </row>
    <row r="52" customFormat="false" ht="12.8" hidden="false" customHeight="false" outlineLevel="0" collapsed="false">
      <c r="A52" s="6" t="n">
        <f aca="false">A49+1</f>
        <v>18</v>
      </c>
      <c r="B52" s="6" t="n">
        <f aca="false">B49+C49+D49</f>
        <v>61850</v>
      </c>
      <c r="C52" s="6" t="n">
        <f aca="false">$C$7</f>
        <v>3350</v>
      </c>
      <c r="D52" s="6" t="n">
        <v>10</v>
      </c>
      <c r="E52" s="6" t="n">
        <f aca="false">E49</f>
        <v>1</v>
      </c>
      <c r="F52" s="6" t="n">
        <v>50</v>
      </c>
      <c r="G52" s="36" t="n">
        <f aca="false">$G$7</f>
        <v>690</v>
      </c>
      <c r="H52" s="6" t="n">
        <f aca="false">H51+G52</f>
        <v>62145</v>
      </c>
      <c r="I52" s="23" t="n">
        <v>1</v>
      </c>
      <c r="J52" s="29" t="s">
        <v>14</v>
      </c>
      <c r="K52" s="12" t="s">
        <v>36</v>
      </c>
      <c r="L52" s="12" t="s">
        <v>38</v>
      </c>
      <c r="M52" s="12" t="s">
        <v>54</v>
      </c>
      <c r="O52" s="11" t="n">
        <f aca="false">O49+C49+D49</f>
        <v>62120</v>
      </c>
    </row>
    <row r="53" customFormat="false" ht="12.8" hidden="false" customHeight="false" outlineLevel="0" collapsed="false">
      <c r="A53" s="6" t="n">
        <f aca="false">A50+1</f>
        <v>18</v>
      </c>
      <c r="E53" s="6" t="n">
        <f aca="false">E50</f>
        <v>2</v>
      </c>
      <c r="F53" s="6" t="n">
        <v>51</v>
      </c>
      <c r="G53" s="36" t="n">
        <f aca="false">$G$8</f>
        <v>950</v>
      </c>
      <c r="H53" s="6" t="n">
        <f aca="false">H52+G53</f>
        <v>63095</v>
      </c>
      <c r="J53" s="29" t="s">
        <v>22</v>
      </c>
      <c r="K53" s="31" t="s">
        <v>22</v>
      </c>
      <c r="L53" s="12"/>
      <c r="M53" s="12" t="s">
        <v>22</v>
      </c>
      <c r="P53" s="11" t="n">
        <f aca="false">H53-O52+13</f>
        <v>988</v>
      </c>
      <c r="Q53" s="11" t="n">
        <f aca="false">1600-P53</f>
        <v>612</v>
      </c>
    </row>
    <row r="54" customFormat="false" ht="12.8" hidden="false" customHeight="false" outlineLevel="0" collapsed="false">
      <c r="A54" s="6" t="n">
        <f aca="false">A51+1</f>
        <v>18</v>
      </c>
      <c r="E54" s="6" t="n">
        <f aca="false">E51</f>
        <v>3</v>
      </c>
      <c r="F54" s="6" t="n">
        <v>52</v>
      </c>
      <c r="G54" s="36" t="n">
        <f aca="false">$G$9</f>
        <v>1720</v>
      </c>
      <c r="H54" s="6" t="n">
        <f aca="false">H53+G54</f>
        <v>64815</v>
      </c>
      <c r="J54" s="29" t="s">
        <v>18</v>
      </c>
      <c r="K54" s="12" t="s">
        <v>44</v>
      </c>
      <c r="L54" s="12"/>
      <c r="M54" s="12" t="s">
        <v>52</v>
      </c>
    </row>
    <row r="55" customFormat="false" ht="12.8" hidden="false" customHeight="false" outlineLevel="0" collapsed="false">
      <c r="A55" s="6" t="n">
        <f aca="false">A52+1</f>
        <v>19</v>
      </c>
      <c r="B55" s="6" t="n">
        <f aca="false">B52+C52+D52</f>
        <v>65210</v>
      </c>
      <c r="C55" s="37" t="n">
        <v>3510</v>
      </c>
      <c r="D55" s="6" t="n">
        <v>10</v>
      </c>
      <c r="E55" s="6" t="n">
        <f aca="false">E52</f>
        <v>1</v>
      </c>
      <c r="F55" s="6" t="n">
        <v>53</v>
      </c>
      <c r="G55" s="38" t="n">
        <f aca="false">$G$7</f>
        <v>690</v>
      </c>
      <c r="H55" s="6" t="n">
        <f aca="false">H54+G55</f>
        <v>65505</v>
      </c>
      <c r="I55" s="23" t="n">
        <v>2</v>
      </c>
      <c r="J55" s="35" t="s">
        <v>16</v>
      </c>
      <c r="K55" s="12" t="s">
        <v>40</v>
      </c>
      <c r="L55" s="12" t="s">
        <v>42</v>
      </c>
      <c r="M55" s="12" t="s">
        <v>57</v>
      </c>
      <c r="O55" s="11" t="n">
        <f aca="false">O52+C52+D52</f>
        <v>65480</v>
      </c>
    </row>
    <row r="56" customFormat="false" ht="12.8" hidden="false" customHeight="false" outlineLevel="0" collapsed="false">
      <c r="A56" s="6" t="n">
        <f aca="false">A53+1</f>
        <v>19</v>
      </c>
      <c r="E56" s="6" t="n">
        <f aca="false">E53</f>
        <v>2</v>
      </c>
      <c r="F56" s="6" t="n">
        <v>54</v>
      </c>
      <c r="G56" s="38" t="n">
        <f aca="false">$G$8</f>
        <v>950</v>
      </c>
      <c r="H56" s="6" t="n">
        <f aca="false">H55+G56</f>
        <v>66455</v>
      </c>
      <c r="J56" s="35" t="s">
        <v>22</v>
      </c>
      <c r="K56" s="19" t="s">
        <v>22</v>
      </c>
      <c r="L56" s="12"/>
      <c r="M56" s="12" t="s">
        <v>22</v>
      </c>
      <c r="P56" s="11" t="n">
        <f aca="false">H56-O55+13</f>
        <v>988</v>
      </c>
      <c r="Q56" s="11" t="n">
        <f aca="false">1600-P56</f>
        <v>612</v>
      </c>
    </row>
    <row r="57" customFormat="false" ht="12.8" hidden="false" customHeight="false" outlineLevel="0" collapsed="false">
      <c r="A57" s="6" t="n">
        <f aca="false">A54+1</f>
        <v>19</v>
      </c>
      <c r="E57" s="6" t="n">
        <f aca="false">E54</f>
        <v>3</v>
      </c>
      <c r="F57" s="6" t="n">
        <v>55</v>
      </c>
      <c r="G57" s="38" t="n">
        <f aca="false">$G$9</f>
        <v>1720</v>
      </c>
      <c r="H57" s="6" t="n">
        <f aca="false">H56+G57</f>
        <v>68175</v>
      </c>
      <c r="J57" s="35" t="s">
        <v>18</v>
      </c>
      <c r="K57" s="21" t="s">
        <v>45</v>
      </c>
      <c r="L57" s="12"/>
      <c r="M57" s="17" t="s">
        <v>53</v>
      </c>
    </row>
    <row r="58" customFormat="false" ht="12.8" hidden="false" customHeight="false" outlineLevel="0" collapsed="false">
      <c r="A58" s="6" t="n">
        <f aca="false">A55+1</f>
        <v>20</v>
      </c>
      <c r="B58" s="6" t="n">
        <f aca="false">B55+C55+D55</f>
        <v>68730</v>
      </c>
      <c r="C58" s="6" t="n">
        <v>3350</v>
      </c>
      <c r="D58" s="6" t="n">
        <v>10</v>
      </c>
      <c r="E58" s="6" t="n">
        <f aca="false">E55</f>
        <v>1</v>
      </c>
      <c r="F58" s="6" t="n">
        <v>56</v>
      </c>
      <c r="G58" s="38" t="n">
        <v>1390</v>
      </c>
      <c r="H58" s="6" t="n">
        <f aca="false">H57+G58</f>
        <v>69565</v>
      </c>
      <c r="I58" s="23" t="n">
        <v>1</v>
      </c>
      <c r="J58" s="29" t="s">
        <v>15</v>
      </c>
      <c r="K58" s="20" t="s">
        <v>37</v>
      </c>
      <c r="L58" s="12" t="s">
        <v>39</v>
      </c>
      <c r="M58" s="20" t="s">
        <v>55</v>
      </c>
      <c r="O58" s="11" t="n">
        <f aca="false">O55+C55+D55</f>
        <v>69000</v>
      </c>
    </row>
    <row r="59" customFormat="false" ht="12.8" hidden="false" customHeight="false" outlineLevel="0" collapsed="false">
      <c r="A59" s="6" t="n">
        <f aca="false">A56+1</f>
        <v>20</v>
      </c>
      <c r="E59" s="6" t="n">
        <f aca="false">E56</f>
        <v>2</v>
      </c>
      <c r="F59" s="6" t="n">
        <v>57</v>
      </c>
      <c r="G59" s="38" t="n">
        <v>410</v>
      </c>
      <c r="H59" s="6" t="n">
        <f aca="false">H58+G59</f>
        <v>69975</v>
      </c>
      <c r="J59" s="29" t="s">
        <v>22</v>
      </c>
      <c r="K59" s="31" t="s">
        <v>22</v>
      </c>
      <c r="L59" s="12"/>
      <c r="M59" s="12" t="s">
        <v>22</v>
      </c>
      <c r="P59" s="11" t="n">
        <f aca="false">H59-O58+13</f>
        <v>988</v>
      </c>
      <c r="Q59" s="11" t="n">
        <f aca="false">1600-P59</f>
        <v>612</v>
      </c>
    </row>
    <row r="60" customFormat="false" ht="12.8" hidden="false" customHeight="false" outlineLevel="0" collapsed="false">
      <c r="A60" s="6" t="n">
        <f aca="false">A57+1</f>
        <v>20</v>
      </c>
      <c r="E60" s="6" t="n">
        <f aca="false">E57</f>
        <v>3</v>
      </c>
      <c r="F60" s="6" t="n">
        <v>58</v>
      </c>
      <c r="G60" s="38" t="n">
        <v>1720</v>
      </c>
      <c r="H60" s="6" t="n">
        <f aca="false">H59+G60</f>
        <v>71695</v>
      </c>
      <c r="J60" s="29" t="s">
        <v>18</v>
      </c>
      <c r="K60" s="12" t="s">
        <v>44</v>
      </c>
      <c r="L60" s="12"/>
      <c r="M60" s="12" t="s">
        <v>52</v>
      </c>
    </row>
    <row r="61" customFormat="false" ht="12.8" hidden="false" customHeight="false" outlineLevel="0" collapsed="false">
      <c r="A61" s="6" t="n">
        <f aca="false">A58+1</f>
        <v>21</v>
      </c>
      <c r="B61" s="6" t="n">
        <f aca="false">B58+C58+D58</f>
        <v>72090</v>
      </c>
      <c r="C61" s="6" t="n">
        <f aca="false">$C$7</f>
        <v>3350</v>
      </c>
      <c r="D61" s="6" t="n">
        <v>10</v>
      </c>
      <c r="E61" s="6" t="n">
        <f aca="false">E58</f>
        <v>1</v>
      </c>
      <c r="F61" s="6" t="n">
        <v>59</v>
      </c>
      <c r="G61" s="36" t="n">
        <f aca="false">$G$7</f>
        <v>690</v>
      </c>
      <c r="H61" s="6" t="n">
        <f aca="false">H60+G61</f>
        <v>72385</v>
      </c>
      <c r="I61" s="23" t="n">
        <v>2</v>
      </c>
      <c r="J61" s="35" t="s">
        <v>16</v>
      </c>
      <c r="K61" s="12" t="s">
        <v>40</v>
      </c>
      <c r="L61" s="12" t="s">
        <v>42</v>
      </c>
      <c r="M61" s="12" t="s">
        <v>57</v>
      </c>
      <c r="O61" s="11" t="n">
        <f aca="false">O58+C58+D58</f>
        <v>72360</v>
      </c>
    </row>
    <row r="62" customFormat="false" ht="12.8" hidden="false" customHeight="false" outlineLevel="0" collapsed="false">
      <c r="A62" s="6" t="n">
        <f aca="false">A59+1</f>
        <v>21</v>
      </c>
      <c r="E62" s="6" t="n">
        <f aca="false">E59</f>
        <v>2</v>
      </c>
      <c r="F62" s="6" t="n">
        <v>60</v>
      </c>
      <c r="G62" s="36" t="n">
        <f aca="false">$G$8</f>
        <v>950</v>
      </c>
      <c r="H62" s="6" t="n">
        <f aca="false">H61+G62</f>
        <v>73335</v>
      </c>
      <c r="J62" s="35" t="s">
        <v>22</v>
      </c>
      <c r="K62" s="19" t="s">
        <v>22</v>
      </c>
      <c r="L62" s="12"/>
      <c r="M62" s="12" t="s">
        <v>22</v>
      </c>
      <c r="P62" s="11" t="n">
        <f aca="false">H62-O61+13</f>
        <v>988</v>
      </c>
      <c r="Q62" s="11" t="n">
        <f aca="false">1600-P62</f>
        <v>612</v>
      </c>
    </row>
    <row r="63" customFormat="false" ht="12.8" hidden="false" customHeight="false" outlineLevel="0" collapsed="false">
      <c r="A63" s="6" t="n">
        <f aca="false">A60+1</f>
        <v>21</v>
      </c>
      <c r="E63" s="6" t="n">
        <f aca="false">E60</f>
        <v>3</v>
      </c>
      <c r="F63" s="6" t="n">
        <v>61</v>
      </c>
      <c r="G63" s="36" t="n">
        <f aca="false">$G$9</f>
        <v>1720</v>
      </c>
      <c r="H63" s="6" t="n">
        <f aca="false">H62+G63</f>
        <v>75055</v>
      </c>
      <c r="J63" s="35" t="s">
        <v>18</v>
      </c>
      <c r="K63" s="12" t="s">
        <v>44</v>
      </c>
      <c r="L63" s="12"/>
      <c r="M63" s="12" t="s">
        <v>52</v>
      </c>
    </row>
    <row r="64" customFormat="false" ht="12.8" hidden="false" customHeight="false" outlineLevel="0" collapsed="false">
      <c r="A64" s="6" t="n">
        <f aca="false">A61+1</f>
        <v>22</v>
      </c>
      <c r="B64" s="6" t="n">
        <f aca="false">B61+C61+D61</f>
        <v>75450</v>
      </c>
      <c r="C64" s="6" t="n">
        <f aca="false">$C$7</f>
        <v>3350</v>
      </c>
      <c r="D64" s="6" t="n">
        <v>10</v>
      </c>
      <c r="E64" s="6" t="n">
        <f aca="false">E61</f>
        <v>1</v>
      </c>
      <c r="F64" s="6" t="n">
        <v>62</v>
      </c>
      <c r="G64" s="36" t="n">
        <f aca="false">$G$7</f>
        <v>690</v>
      </c>
      <c r="H64" s="6" t="n">
        <f aca="false">H63+G64</f>
        <v>75745</v>
      </c>
      <c r="I64" s="23" t="n">
        <v>1</v>
      </c>
      <c r="J64" s="29" t="s">
        <v>14</v>
      </c>
      <c r="K64" s="12" t="s">
        <v>36</v>
      </c>
      <c r="L64" s="12" t="s">
        <v>38</v>
      </c>
      <c r="M64" s="12" t="s">
        <v>54</v>
      </c>
      <c r="O64" s="11" t="n">
        <f aca="false">O61+C61+D61</f>
        <v>75720</v>
      </c>
    </row>
    <row r="65" customFormat="false" ht="12.8" hidden="false" customHeight="false" outlineLevel="0" collapsed="false">
      <c r="A65" s="6" t="n">
        <f aca="false">A62+1</f>
        <v>22</v>
      </c>
      <c r="E65" s="6" t="n">
        <f aca="false">E62</f>
        <v>2</v>
      </c>
      <c r="F65" s="6" t="n">
        <v>63</v>
      </c>
      <c r="G65" s="36" t="n">
        <f aca="false">$G$8</f>
        <v>950</v>
      </c>
      <c r="H65" s="6" t="n">
        <f aca="false">H64+G65</f>
        <v>76695</v>
      </c>
      <c r="J65" s="29" t="s">
        <v>22</v>
      </c>
      <c r="K65" s="31" t="s">
        <v>22</v>
      </c>
      <c r="L65" s="12"/>
      <c r="M65" s="12" t="s">
        <v>22</v>
      </c>
      <c r="P65" s="11" t="n">
        <f aca="false">H65-O64+13</f>
        <v>988</v>
      </c>
      <c r="Q65" s="11" t="n">
        <f aca="false">1600-P65</f>
        <v>612</v>
      </c>
    </row>
    <row r="66" customFormat="false" ht="12.8" hidden="false" customHeight="false" outlineLevel="0" collapsed="false">
      <c r="A66" s="6" t="n">
        <f aca="false">A63+1</f>
        <v>22</v>
      </c>
      <c r="E66" s="6" t="n">
        <f aca="false">E63</f>
        <v>3</v>
      </c>
      <c r="F66" s="6" t="n">
        <v>64</v>
      </c>
      <c r="G66" s="36" t="n">
        <f aca="false">$G$9</f>
        <v>1720</v>
      </c>
      <c r="H66" s="6" t="n">
        <f aca="false">H65+G66</f>
        <v>78415</v>
      </c>
      <c r="J66" s="29" t="s">
        <v>18</v>
      </c>
      <c r="K66" s="12" t="s">
        <v>44</v>
      </c>
      <c r="L66" s="12"/>
      <c r="M66" s="12" t="s">
        <v>52</v>
      </c>
    </row>
    <row r="67" customFormat="false" ht="12.8" hidden="false" customHeight="false" outlineLevel="0" collapsed="false">
      <c r="A67" s="6" t="n">
        <f aca="false">A64+1</f>
        <v>23</v>
      </c>
      <c r="B67" s="6" t="n">
        <f aca="false">B64+C64+D64</f>
        <v>78810</v>
      </c>
      <c r="C67" s="6" t="n">
        <f aca="false">$C$7</f>
        <v>3350</v>
      </c>
      <c r="D67" s="6" t="n">
        <v>10</v>
      </c>
      <c r="E67" s="6" t="n">
        <f aca="false">E64</f>
        <v>1</v>
      </c>
      <c r="F67" s="6" t="n">
        <v>65</v>
      </c>
      <c r="G67" s="36" t="n">
        <f aca="false">$G$7</f>
        <v>690</v>
      </c>
      <c r="H67" s="6" t="n">
        <f aca="false">H66+G67</f>
        <v>79105</v>
      </c>
      <c r="I67" s="23" t="n">
        <v>2</v>
      </c>
      <c r="J67" s="35" t="s">
        <v>16</v>
      </c>
      <c r="K67" s="12" t="s">
        <v>40</v>
      </c>
      <c r="L67" s="12" t="s">
        <v>42</v>
      </c>
      <c r="M67" s="12" t="s">
        <v>57</v>
      </c>
      <c r="O67" s="11" t="n">
        <f aca="false">O64+C64+D64</f>
        <v>79080</v>
      </c>
    </row>
    <row r="68" customFormat="false" ht="12.8" hidden="false" customHeight="false" outlineLevel="0" collapsed="false">
      <c r="A68" s="6" t="n">
        <f aca="false">A65+1</f>
        <v>23</v>
      </c>
      <c r="E68" s="6" t="n">
        <f aca="false">E65</f>
        <v>2</v>
      </c>
      <c r="F68" s="6" t="n">
        <v>66</v>
      </c>
      <c r="G68" s="36" t="n">
        <f aca="false">$G$8</f>
        <v>950</v>
      </c>
      <c r="H68" s="6" t="n">
        <f aca="false">H67+G68</f>
        <v>80055</v>
      </c>
      <c r="J68" s="35" t="s">
        <v>22</v>
      </c>
      <c r="K68" s="19" t="s">
        <v>22</v>
      </c>
      <c r="L68" s="12"/>
      <c r="M68" s="12" t="s">
        <v>22</v>
      </c>
      <c r="P68" s="11" t="n">
        <f aca="false">H68-O67+13</f>
        <v>988</v>
      </c>
      <c r="Q68" s="11" t="n">
        <f aca="false">1600-P68</f>
        <v>612</v>
      </c>
    </row>
    <row r="69" customFormat="false" ht="12.8" hidden="false" customHeight="false" outlineLevel="0" collapsed="false">
      <c r="A69" s="6" t="n">
        <f aca="false">A66+1</f>
        <v>23</v>
      </c>
      <c r="E69" s="6" t="n">
        <f aca="false">E66</f>
        <v>3</v>
      </c>
      <c r="F69" s="6" t="n">
        <v>67</v>
      </c>
      <c r="G69" s="36" t="n">
        <f aca="false">$G$9</f>
        <v>1720</v>
      </c>
      <c r="H69" s="6" t="n">
        <f aca="false">H68+G69</f>
        <v>81775</v>
      </c>
      <c r="J69" s="35" t="s">
        <v>18</v>
      </c>
      <c r="K69" s="12" t="s">
        <v>44</v>
      </c>
      <c r="L69" s="12"/>
      <c r="M69" s="12" t="s">
        <v>52</v>
      </c>
    </row>
    <row r="70" customFormat="false" ht="12.8" hidden="false" customHeight="false" outlineLevel="0" collapsed="false">
      <c r="A70" s="6" t="n">
        <f aca="false">A67+1</f>
        <v>24</v>
      </c>
      <c r="B70" s="6" t="n">
        <f aca="false">B67+C67+D67</f>
        <v>82170</v>
      </c>
      <c r="C70" s="6" t="n">
        <f aca="false">$C$7</f>
        <v>3350</v>
      </c>
      <c r="D70" s="6" t="n">
        <v>10</v>
      </c>
      <c r="E70" s="6" t="n">
        <f aca="false">E67</f>
        <v>1</v>
      </c>
      <c r="F70" s="6" t="n">
        <v>68</v>
      </c>
      <c r="G70" s="36" t="n">
        <f aca="false">$G$7</f>
        <v>690</v>
      </c>
      <c r="H70" s="6" t="n">
        <f aca="false">H69+G70</f>
        <v>82465</v>
      </c>
      <c r="I70" s="23" t="n">
        <v>1</v>
      </c>
      <c r="J70" s="29" t="s">
        <v>14</v>
      </c>
      <c r="K70" s="12" t="s">
        <v>36</v>
      </c>
      <c r="L70" s="12" t="s">
        <v>38</v>
      </c>
      <c r="M70" s="12" t="s">
        <v>54</v>
      </c>
      <c r="O70" s="11" t="n">
        <f aca="false">O67+C67+D67</f>
        <v>82440</v>
      </c>
    </row>
    <row r="71" customFormat="false" ht="12.8" hidden="false" customHeight="false" outlineLevel="0" collapsed="false">
      <c r="A71" s="6" t="n">
        <f aca="false">A68+1</f>
        <v>24</v>
      </c>
      <c r="E71" s="6" t="n">
        <f aca="false">E68</f>
        <v>2</v>
      </c>
      <c r="F71" s="6" t="n">
        <v>69</v>
      </c>
      <c r="G71" s="36" t="n">
        <f aca="false">$G$8</f>
        <v>950</v>
      </c>
      <c r="H71" s="6" t="n">
        <f aca="false">H70+G71</f>
        <v>83415</v>
      </c>
      <c r="J71" s="29" t="s">
        <v>22</v>
      </c>
      <c r="K71" s="31" t="s">
        <v>22</v>
      </c>
      <c r="L71" s="12"/>
      <c r="M71" s="12" t="s">
        <v>22</v>
      </c>
      <c r="P71" s="11" t="n">
        <f aca="false">H71-O70+13</f>
        <v>988</v>
      </c>
      <c r="Q71" s="11" t="n">
        <f aca="false">1600-P71</f>
        <v>612</v>
      </c>
    </row>
    <row r="72" customFormat="false" ht="12.8" hidden="false" customHeight="false" outlineLevel="0" collapsed="false">
      <c r="A72" s="6" t="n">
        <f aca="false">A69+1</f>
        <v>24</v>
      </c>
      <c r="E72" s="6" t="n">
        <f aca="false">E69</f>
        <v>3</v>
      </c>
      <c r="F72" s="6" t="n">
        <v>70</v>
      </c>
      <c r="G72" s="36" t="n">
        <f aca="false">$G$9</f>
        <v>1720</v>
      </c>
      <c r="H72" s="6" t="n">
        <f aca="false">H71+G72</f>
        <v>85135</v>
      </c>
      <c r="J72" s="29" t="s">
        <v>18</v>
      </c>
      <c r="K72" s="12" t="s">
        <v>44</v>
      </c>
      <c r="L72" s="12"/>
      <c r="M72" s="12" t="s">
        <v>52</v>
      </c>
    </row>
    <row r="73" customFormat="false" ht="12.8" hidden="false" customHeight="false" outlineLevel="0" collapsed="false">
      <c r="A73" s="6" t="n">
        <f aca="false">A70+1</f>
        <v>25</v>
      </c>
      <c r="B73" s="6" t="n">
        <f aca="false">B70+C70+D70</f>
        <v>85530</v>
      </c>
      <c r="C73" s="6" t="n">
        <f aca="false">$C$7</f>
        <v>3350</v>
      </c>
      <c r="D73" s="6" t="n">
        <v>10</v>
      </c>
      <c r="E73" s="6" t="n">
        <f aca="false">E70</f>
        <v>1</v>
      </c>
      <c r="F73" s="6" t="n">
        <v>71</v>
      </c>
      <c r="G73" s="36" t="n">
        <f aca="false">$G$7</f>
        <v>690</v>
      </c>
      <c r="H73" s="6" t="n">
        <f aca="false">H72+G73</f>
        <v>85825</v>
      </c>
      <c r="I73" s="23" t="n">
        <v>2</v>
      </c>
      <c r="J73" s="35" t="s">
        <v>16</v>
      </c>
      <c r="K73" s="12" t="s">
        <v>40</v>
      </c>
      <c r="L73" s="12" t="s">
        <v>42</v>
      </c>
      <c r="M73" s="12" t="s">
        <v>57</v>
      </c>
      <c r="O73" s="11" t="n">
        <f aca="false">O70+C70+D70</f>
        <v>85800</v>
      </c>
    </row>
    <row r="74" customFormat="false" ht="12.8" hidden="false" customHeight="false" outlineLevel="0" collapsed="false">
      <c r="A74" s="6" t="n">
        <f aca="false">A71+1</f>
        <v>25</v>
      </c>
      <c r="E74" s="6" t="n">
        <f aca="false">E71</f>
        <v>2</v>
      </c>
      <c r="F74" s="6" t="n">
        <v>72</v>
      </c>
      <c r="G74" s="36" t="n">
        <f aca="false">$G$8</f>
        <v>950</v>
      </c>
      <c r="H74" s="6" t="n">
        <f aca="false">H73+G74</f>
        <v>86775</v>
      </c>
      <c r="J74" s="35" t="s">
        <v>22</v>
      </c>
      <c r="K74" s="19" t="s">
        <v>22</v>
      </c>
      <c r="L74" s="12"/>
      <c r="M74" s="12" t="s">
        <v>22</v>
      </c>
      <c r="P74" s="11" t="n">
        <f aca="false">H74-O73+13</f>
        <v>988</v>
      </c>
      <c r="Q74" s="11" t="n">
        <f aca="false">1600-P74</f>
        <v>612</v>
      </c>
    </row>
    <row r="75" customFormat="false" ht="12.8" hidden="false" customHeight="false" outlineLevel="0" collapsed="false">
      <c r="A75" s="6" t="n">
        <f aca="false">A72+1</f>
        <v>25</v>
      </c>
      <c r="E75" s="6" t="n">
        <f aca="false">E72</f>
        <v>3</v>
      </c>
      <c r="F75" s="6" t="n">
        <v>73</v>
      </c>
      <c r="G75" s="36" t="n">
        <f aca="false">$G$9</f>
        <v>1720</v>
      </c>
      <c r="H75" s="6" t="n">
        <f aca="false">H74+G75</f>
        <v>88495</v>
      </c>
      <c r="J75" s="35" t="s">
        <v>18</v>
      </c>
      <c r="K75" s="12" t="s">
        <v>44</v>
      </c>
      <c r="L75" s="12"/>
      <c r="M75" s="12" t="s">
        <v>52</v>
      </c>
    </row>
    <row r="76" customFormat="false" ht="12.8" hidden="false" customHeight="false" outlineLevel="0" collapsed="false">
      <c r="A76" s="6" t="n">
        <f aca="false">A73+1</f>
        <v>26</v>
      </c>
      <c r="B76" s="6" t="n">
        <f aca="false">B73+C73+D73</f>
        <v>88890</v>
      </c>
      <c r="C76" s="6" t="n">
        <f aca="false">$C$7</f>
        <v>3350</v>
      </c>
      <c r="D76" s="6" t="n">
        <v>10</v>
      </c>
      <c r="E76" s="6" t="n">
        <f aca="false">E73</f>
        <v>1</v>
      </c>
      <c r="F76" s="6" t="n">
        <v>74</v>
      </c>
      <c r="G76" s="36" t="n">
        <f aca="false">$G$7</f>
        <v>690</v>
      </c>
      <c r="H76" s="6" t="n">
        <f aca="false">H75+G76</f>
        <v>89185</v>
      </c>
      <c r="I76" s="23" t="n">
        <v>1</v>
      </c>
      <c r="J76" s="29" t="s">
        <v>14</v>
      </c>
      <c r="K76" s="12" t="s">
        <v>36</v>
      </c>
      <c r="L76" s="12" t="s">
        <v>38</v>
      </c>
      <c r="M76" s="12" t="s">
        <v>54</v>
      </c>
      <c r="O76" s="11" t="n">
        <f aca="false">O73+C73+D73</f>
        <v>89160</v>
      </c>
    </row>
    <row r="77" customFormat="false" ht="12.8" hidden="false" customHeight="false" outlineLevel="0" collapsed="false">
      <c r="A77" s="6" t="n">
        <f aca="false">A74+1</f>
        <v>26</v>
      </c>
      <c r="E77" s="6" t="n">
        <f aca="false">E74</f>
        <v>2</v>
      </c>
      <c r="F77" s="6" t="n">
        <v>75</v>
      </c>
      <c r="G77" s="36" t="n">
        <f aca="false">$G$8</f>
        <v>950</v>
      </c>
      <c r="H77" s="6" t="n">
        <f aca="false">H76+G77</f>
        <v>90135</v>
      </c>
      <c r="J77" s="29" t="s">
        <v>22</v>
      </c>
      <c r="K77" s="31" t="s">
        <v>22</v>
      </c>
      <c r="L77" s="12"/>
      <c r="M77" s="12" t="s">
        <v>22</v>
      </c>
      <c r="P77" s="11" t="n">
        <f aca="false">H77-O76+13</f>
        <v>988</v>
      </c>
      <c r="Q77" s="11" t="n">
        <f aca="false">1600-P77</f>
        <v>612</v>
      </c>
    </row>
    <row r="78" customFormat="false" ht="12.8" hidden="false" customHeight="false" outlineLevel="0" collapsed="false">
      <c r="A78" s="6" t="n">
        <f aca="false">A75+1</f>
        <v>26</v>
      </c>
      <c r="E78" s="6" t="n">
        <f aca="false">E75</f>
        <v>3</v>
      </c>
      <c r="F78" s="6" t="n">
        <v>76</v>
      </c>
      <c r="G78" s="36" t="n">
        <f aca="false">$G$9</f>
        <v>1720</v>
      </c>
      <c r="H78" s="6" t="n">
        <f aca="false">H77+G78</f>
        <v>91855</v>
      </c>
      <c r="J78" s="29" t="s">
        <v>18</v>
      </c>
      <c r="K78" s="12" t="s">
        <v>44</v>
      </c>
      <c r="L78" s="12"/>
      <c r="M78" s="12" t="s">
        <v>52</v>
      </c>
    </row>
    <row r="79" customFormat="false" ht="12.8" hidden="false" customHeight="false" outlineLevel="0" collapsed="false">
      <c r="A79" s="6" t="n">
        <f aca="false">A76+1</f>
        <v>27</v>
      </c>
      <c r="B79" s="6" t="n">
        <f aca="false">B76+C76+D76</f>
        <v>92250</v>
      </c>
      <c r="C79" s="6" t="n">
        <f aca="false">$C$7</f>
        <v>3350</v>
      </c>
      <c r="D79" s="6" t="n">
        <v>10</v>
      </c>
      <c r="E79" s="6" t="n">
        <f aca="false">E76</f>
        <v>1</v>
      </c>
      <c r="F79" s="6" t="n">
        <v>77</v>
      </c>
      <c r="G79" s="36" t="n">
        <f aca="false">$G$7</f>
        <v>690</v>
      </c>
      <c r="H79" s="6" t="n">
        <f aca="false">H78+G79</f>
        <v>92545</v>
      </c>
      <c r="I79" s="23" t="n">
        <v>2</v>
      </c>
      <c r="J79" s="35" t="s">
        <v>16</v>
      </c>
      <c r="K79" s="12" t="s">
        <v>40</v>
      </c>
      <c r="L79" s="12" t="s">
        <v>42</v>
      </c>
      <c r="M79" s="12" t="s">
        <v>57</v>
      </c>
      <c r="O79" s="11" t="n">
        <f aca="false">O76+C76+D76</f>
        <v>92520</v>
      </c>
    </row>
    <row r="80" customFormat="false" ht="12.8" hidden="false" customHeight="false" outlineLevel="0" collapsed="false">
      <c r="A80" s="6" t="n">
        <f aca="false">A77+1</f>
        <v>27</v>
      </c>
      <c r="E80" s="6" t="n">
        <f aca="false">E77</f>
        <v>2</v>
      </c>
      <c r="F80" s="6" t="n">
        <v>78</v>
      </c>
      <c r="G80" s="36" t="n">
        <f aca="false">$G$8</f>
        <v>950</v>
      </c>
      <c r="H80" s="6" t="n">
        <f aca="false">H79+G80</f>
        <v>93495</v>
      </c>
      <c r="J80" s="35" t="s">
        <v>22</v>
      </c>
      <c r="K80" s="19" t="s">
        <v>22</v>
      </c>
      <c r="L80" s="12"/>
      <c r="M80" s="12" t="s">
        <v>22</v>
      </c>
      <c r="P80" s="11" t="n">
        <f aca="false">H80-O79+13</f>
        <v>988</v>
      </c>
      <c r="Q80" s="11" t="n">
        <f aca="false">1600-P80</f>
        <v>612</v>
      </c>
    </row>
    <row r="81" customFormat="false" ht="12.8" hidden="false" customHeight="false" outlineLevel="0" collapsed="false">
      <c r="A81" s="6" t="n">
        <f aca="false">A78+1</f>
        <v>27</v>
      </c>
      <c r="E81" s="6" t="n">
        <f aca="false">E78</f>
        <v>3</v>
      </c>
      <c r="F81" s="6" t="n">
        <v>79</v>
      </c>
      <c r="G81" s="36" t="n">
        <f aca="false">$G$9</f>
        <v>1720</v>
      </c>
      <c r="H81" s="6" t="n">
        <f aca="false">H80+G81</f>
        <v>95215</v>
      </c>
      <c r="J81" s="35" t="s">
        <v>18</v>
      </c>
      <c r="K81" s="12" t="s">
        <v>44</v>
      </c>
      <c r="L81" s="12"/>
      <c r="M81" s="12" t="s">
        <v>52</v>
      </c>
    </row>
    <row r="82" customFormat="false" ht="12.8" hidden="false" customHeight="false" outlineLevel="0" collapsed="false">
      <c r="A82" s="6" t="n">
        <f aca="false">A79+1</f>
        <v>28</v>
      </c>
      <c r="B82" s="6" t="n">
        <f aca="false">B79+C79+D79</f>
        <v>95610</v>
      </c>
      <c r="C82" s="6" t="n">
        <f aca="false">$C$7</f>
        <v>3350</v>
      </c>
      <c r="D82" s="6" t="n">
        <v>10</v>
      </c>
      <c r="E82" s="6" t="n">
        <f aca="false">E79</f>
        <v>1</v>
      </c>
      <c r="F82" s="6" t="n">
        <v>80</v>
      </c>
      <c r="G82" s="36" t="n">
        <f aca="false">$G$7</f>
        <v>690</v>
      </c>
      <c r="H82" s="6" t="n">
        <f aca="false">H81+G82</f>
        <v>95905</v>
      </c>
      <c r="I82" s="23" t="n">
        <v>1</v>
      </c>
      <c r="J82" s="29" t="s">
        <v>14</v>
      </c>
      <c r="K82" s="12" t="s">
        <v>36</v>
      </c>
      <c r="L82" s="12" t="s">
        <v>38</v>
      </c>
      <c r="M82" s="12" t="s">
        <v>54</v>
      </c>
      <c r="O82" s="11" t="n">
        <f aca="false">O79+C79+D79</f>
        <v>95880</v>
      </c>
    </row>
    <row r="83" customFormat="false" ht="12.8" hidden="false" customHeight="false" outlineLevel="0" collapsed="false">
      <c r="A83" s="6" t="n">
        <f aca="false">A80+1</f>
        <v>28</v>
      </c>
      <c r="E83" s="6" t="n">
        <f aca="false">E80</f>
        <v>2</v>
      </c>
      <c r="F83" s="6" t="n">
        <v>81</v>
      </c>
      <c r="G83" s="36" t="n">
        <f aca="false">$G$8</f>
        <v>950</v>
      </c>
      <c r="H83" s="6" t="n">
        <f aca="false">H82+G83</f>
        <v>96855</v>
      </c>
      <c r="J83" s="29" t="s">
        <v>22</v>
      </c>
      <c r="K83" s="31" t="s">
        <v>22</v>
      </c>
      <c r="L83" s="12"/>
      <c r="M83" s="12" t="s">
        <v>22</v>
      </c>
      <c r="P83" s="11" t="n">
        <f aca="false">H83-O82+13</f>
        <v>988</v>
      </c>
      <c r="Q83" s="11" t="n">
        <f aca="false">1600-P83</f>
        <v>612</v>
      </c>
    </row>
    <row r="84" customFormat="false" ht="12.8" hidden="false" customHeight="false" outlineLevel="0" collapsed="false">
      <c r="A84" s="6" t="n">
        <f aca="false">A81+1</f>
        <v>28</v>
      </c>
      <c r="E84" s="6" t="n">
        <f aca="false">E81</f>
        <v>3</v>
      </c>
      <c r="F84" s="6" t="n">
        <v>82</v>
      </c>
      <c r="G84" s="36" t="n">
        <f aca="false">$G$9</f>
        <v>1720</v>
      </c>
      <c r="H84" s="6" t="n">
        <f aca="false">H83+G84</f>
        <v>98575</v>
      </c>
      <c r="J84" s="29" t="s">
        <v>18</v>
      </c>
      <c r="K84" s="12" t="s">
        <v>44</v>
      </c>
      <c r="L84" s="12"/>
      <c r="M84" s="12" t="s">
        <v>52</v>
      </c>
    </row>
    <row r="85" customFormat="false" ht="12.8" hidden="false" customHeight="false" outlineLevel="0" collapsed="false">
      <c r="A85" s="6" t="n">
        <f aca="false">A82+1</f>
        <v>29</v>
      </c>
      <c r="B85" s="6" t="n">
        <f aca="false">B82+C82+D82</f>
        <v>98970</v>
      </c>
      <c r="C85" s="6" t="n">
        <f aca="false">$C$7</f>
        <v>3350</v>
      </c>
      <c r="D85" s="6" t="n">
        <v>10</v>
      </c>
      <c r="E85" s="6" t="n">
        <f aca="false">E82</f>
        <v>1</v>
      </c>
      <c r="F85" s="6" t="n">
        <v>83</v>
      </c>
      <c r="G85" s="36" t="n">
        <f aca="false">$G$7</f>
        <v>690</v>
      </c>
      <c r="H85" s="6" t="n">
        <f aca="false">H84+G85</f>
        <v>99265</v>
      </c>
      <c r="I85" s="23" t="n">
        <v>2</v>
      </c>
      <c r="J85" s="35" t="s">
        <v>16</v>
      </c>
      <c r="K85" s="12" t="s">
        <v>40</v>
      </c>
      <c r="L85" s="12" t="s">
        <v>42</v>
      </c>
      <c r="M85" s="12" t="s">
        <v>57</v>
      </c>
      <c r="O85" s="11" t="n">
        <f aca="false">O82+C82+D82</f>
        <v>99240</v>
      </c>
    </row>
    <row r="86" customFormat="false" ht="12.8" hidden="false" customHeight="false" outlineLevel="0" collapsed="false">
      <c r="A86" s="6" t="n">
        <f aca="false">A83+1</f>
        <v>29</v>
      </c>
      <c r="E86" s="6" t="n">
        <f aca="false">E83</f>
        <v>2</v>
      </c>
      <c r="F86" s="6" t="n">
        <v>84</v>
      </c>
      <c r="G86" s="36" t="n">
        <f aca="false">$G$8</f>
        <v>950</v>
      </c>
      <c r="H86" s="6" t="n">
        <f aca="false">H85+G86</f>
        <v>100215</v>
      </c>
      <c r="J86" s="35" t="s">
        <v>22</v>
      </c>
      <c r="K86" s="19" t="s">
        <v>22</v>
      </c>
      <c r="L86" s="12"/>
      <c r="M86" s="12" t="s">
        <v>22</v>
      </c>
      <c r="P86" s="11" t="n">
        <f aca="false">H86-O85+13</f>
        <v>988</v>
      </c>
      <c r="Q86" s="11" t="n">
        <f aca="false">1600-P86</f>
        <v>612</v>
      </c>
    </row>
    <row r="87" customFormat="false" ht="12.8" hidden="false" customHeight="false" outlineLevel="0" collapsed="false">
      <c r="A87" s="6" t="n">
        <f aca="false">A84+1</f>
        <v>29</v>
      </c>
      <c r="E87" s="6" t="n">
        <f aca="false">E84</f>
        <v>3</v>
      </c>
      <c r="F87" s="6" t="n">
        <v>85</v>
      </c>
      <c r="G87" s="36" t="n">
        <f aca="false">$G$9</f>
        <v>1720</v>
      </c>
      <c r="H87" s="6" t="n">
        <f aca="false">H86+G87</f>
        <v>101935</v>
      </c>
      <c r="J87" s="35" t="s">
        <v>18</v>
      </c>
      <c r="K87" s="12" t="s">
        <v>44</v>
      </c>
      <c r="L87" s="12"/>
      <c r="M87" s="12" t="s">
        <v>52</v>
      </c>
    </row>
    <row r="88" customFormat="false" ht="12.8" hidden="false" customHeight="false" outlineLevel="0" collapsed="false">
      <c r="A88" s="6" t="n">
        <f aca="false">A85+1</f>
        <v>30</v>
      </c>
      <c r="B88" s="6" t="n">
        <f aca="false">B85+C85+D85</f>
        <v>102330</v>
      </c>
      <c r="C88" s="6" t="n">
        <f aca="false">$C$7</f>
        <v>3350</v>
      </c>
      <c r="D88" s="6" t="n">
        <v>10</v>
      </c>
      <c r="E88" s="6" t="n">
        <f aca="false">E85</f>
        <v>1</v>
      </c>
      <c r="F88" s="6" t="n">
        <v>86</v>
      </c>
      <c r="G88" s="36" t="n">
        <f aca="false">$G$7</f>
        <v>690</v>
      </c>
      <c r="H88" s="6" t="n">
        <f aca="false">H87+G88</f>
        <v>102625</v>
      </c>
      <c r="I88" s="23" t="n">
        <v>1</v>
      </c>
      <c r="J88" s="29" t="s">
        <v>14</v>
      </c>
      <c r="K88" s="12" t="s">
        <v>36</v>
      </c>
      <c r="L88" s="12" t="s">
        <v>38</v>
      </c>
      <c r="M88" s="12" t="s">
        <v>54</v>
      </c>
      <c r="O88" s="11" t="n">
        <f aca="false">O85+C85+D85</f>
        <v>102600</v>
      </c>
    </row>
    <row r="89" customFormat="false" ht="12.8" hidden="false" customHeight="false" outlineLevel="0" collapsed="false">
      <c r="A89" s="6" t="n">
        <f aca="false">A86+1</f>
        <v>30</v>
      </c>
      <c r="E89" s="6" t="n">
        <f aca="false">E86</f>
        <v>2</v>
      </c>
      <c r="F89" s="6" t="n">
        <v>87</v>
      </c>
      <c r="G89" s="36" t="n">
        <f aca="false">$G$8</f>
        <v>950</v>
      </c>
      <c r="H89" s="6" t="n">
        <f aca="false">H88+G89</f>
        <v>103575</v>
      </c>
      <c r="J89" s="29" t="s">
        <v>22</v>
      </c>
      <c r="K89" s="31" t="s">
        <v>22</v>
      </c>
      <c r="L89" s="12"/>
      <c r="M89" s="12" t="s">
        <v>22</v>
      </c>
      <c r="P89" s="11" t="n">
        <f aca="false">H89-O88+13</f>
        <v>988</v>
      </c>
      <c r="Q89" s="11" t="n">
        <f aca="false">1600-P89</f>
        <v>612</v>
      </c>
    </row>
    <row r="90" customFormat="false" ht="12.8" hidden="false" customHeight="false" outlineLevel="0" collapsed="false">
      <c r="A90" s="6" t="n">
        <f aca="false">A87+1</f>
        <v>30</v>
      </c>
      <c r="E90" s="6" t="n">
        <f aca="false">E87</f>
        <v>3</v>
      </c>
      <c r="F90" s="6" t="n">
        <v>88</v>
      </c>
      <c r="G90" s="36" t="n">
        <f aca="false">$G$9</f>
        <v>1720</v>
      </c>
      <c r="H90" s="6" t="n">
        <f aca="false">H89+G90</f>
        <v>105295</v>
      </c>
      <c r="J90" s="29" t="s">
        <v>18</v>
      </c>
      <c r="K90" s="12" t="s">
        <v>44</v>
      </c>
      <c r="L90" s="12"/>
      <c r="M90" s="12" t="s">
        <v>52</v>
      </c>
    </row>
    <row r="91" customFormat="false" ht="12.8" hidden="false" customHeight="false" outlineLevel="0" collapsed="false">
      <c r="A91" s="6" t="n">
        <f aca="false">A88+1</f>
        <v>31</v>
      </c>
      <c r="B91" s="6" t="n">
        <f aca="false">B88+C88+D88</f>
        <v>105690</v>
      </c>
      <c r="C91" s="6" t="n">
        <f aca="false">$C$7</f>
        <v>3350</v>
      </c>
      <c r="D91" s="6" t="n">
        <v>10</v>
      </c>
      <c r="E91" s="6" t="n">
        <f aca="false">E88</f>
        <v>1</v>
      </c>
      <c r="F91" s="6" t="n">
        <v>89</v>
      </c>
      <c r="G91" s="36" t="n">
        <f aca="false">$G$7</f>
        <v>690</v>
      </c>
      <c r="H91" s="6" t="n">
        <f aca="false">H90+G91</f>
        <v>105985</v>
      </c>
      <c r="I91" s="23" t="n">
        <v>2</v>
      </c>
      <c r="J91" s="35" t="s">
        <v>16</v>
      </c>
      <c r="K91" s="12" t="s">
        <v>40</v>
      </c>
      <c r="L91" s="12" t="s">
        <v>42</v>
      </c>
      <c r="M91" s="12" t="s">
        <v>57</v>
      </c>
      <c r="O91" s="11" t="n">
        <f aca="false">O88+C88+D88</f>
        <v>105960</v>
      </c>
    </row>
    <row r="92" customFormat="false" ht="12.8" hidden="false" customHeight="false" outlineLevel="0" collapsed="false">
      <c r="A92" s="6" t="n">
        <f aca="false">A89+1</f>
        <v>31</v>
      </c>
      <c r="E92" s="6" t="n">
        <f aca="false">E89</f>
        <v>2</v>
      </c>
      <c r="F92" s="6" t="n">
        <v>90</v>
      </c>
      <c r="G92" s="36" t="n">
        <f aca="false">$G$8</f>
        <v>950</v>
      </c>
      <c r="H92" s="6" t="n">
        <f aca="false">H91+G92</f>
        <v>106935</v>
      </c>
      <c r="J92" s="35" t="s">
        <v>22</v>
      </c>
      <c r="K92" s="19" t="s">
        <v>22</v>
      </c>
      <c r="L92" s="12"/>
      <c r="M92" s="12" t="s">
        <v>22</v>
      </c>
      <c r="P92" s="11" t="n">
        <f aca="false">H92-O91+13</f>
        <v>988</v>
      </c>
      <c r="Q92" s="11" t="n">
        <f aca="false">1600-P92</f>
        <v>612</v>
      </c>
    </row>
    <row r="93" customFormat="false" ht="12.8" hidden="false" customHeight="false" outlineLevel="0" collapsed="false">
      <c r="A93" s="6" t="n">
        <f aca="false">A90+1</f>
        <v>31</v>
      </c>
      <c r="E93" s="6" t="n">
        <f aca="false">E90</f>
        <v>3</v>
      </c>
      <c r="F93" s="6" t="n">
        <v>91</v>
      </c>
      <c r="G93" s="36" t="n">
        <f aca="false">$G$9</f>
        <v>1720</v>
      </c>
      <c r="H93" s="6" t="n">
        <f aca="false">H92+G93</f>
        <v>108655</v>
      </c>
      <c r="J93" s="35" t="s">
        <v>18</v>
      </c>
      <c r="K93" s="12" t="s">
        <v>44</v>
      </c>
      <c r="L93" s="12"/>
      <c r="M93" s="12" t="s">
        <v>52</v>
      </c>
    </row>
    <row r="94" customFormat="false" ht="12.8" hidden="false" customHeight="false" outlineLevel="0" collapsed="false">
      <c r="A94" s="6" t="n">
        <f aca="false">A91+1</f>
        <v>32</v>
      </c>
      <c r="B94" s="6" t="n">
        <f aca="false">B91+C91+D91</f>
        <v>109050</v>
      </c>
      <c r="C94" s="6" t="n">
        <f aca="false">$C$7</f>
        <v>3350</v>
      </c>
      <c r="D94" s="6" t="n">
        <v>10</v>
      </c>
      <c r="E94" s="6" t="n">
        <f aca="false">E91</f>
        <v>1</v>
      </c>
      <c r="F94" s="6" t="n">
        <v>92</v>
      </c>
      <c r="G94" s="36" t="n">
        <f aca="false">$G$7</f>
        <v>690</v>
      </c>
      <c r="H94" s="6" t="n">
        <f aca="false">H93+G94</f>
        <v>109345</v>
      </c>
      <c r="I94" s="23" t="n">
        <v>1</v>
      </c>
      <c r="J94" s="29" t="s">
        <v>14</v>
      </c>
      <c r="K94" s="12" t="s">
        <v>36</v>
      </c>
      <c r="L94" s="12" t="s">
        <v>38</v>
      </c>
      <c r="M94" s="12" t="s">
        <v>54</v>
      </c>
      <c r="O94" s="11" t="n">
        <f aca="false">O91+C91+D91</f>
        <v>109320</v>
      </c>
    </row>
    <row r="95" customFormat="false" ht="12.8" hidden="false" customHeight="false" outlineLevel="0" collapsed="false">
      <c r="A95" s="6" t="n">
        <f aca="false">A92+1</f>
        <v>32</v>
      </c>
      <c r="E95" s="6" t="n">
        <f aca="false">E92</f>
        <v>2</v>
      </c>
      <c r="F95" s="6" t="n">
        <v>93</v>
      </c>
      <c r="G95" s="36" t="n">
        <f aca="false">$G$8</f>
        <v>950</v>
      </c>
      <c r="H95" s="6" t="n">
        <f aca="false">H94+G95</f>
        <v>110295</v>
      </c>
      <c r="J95" s="29" t="s">
        <v>22</v>
      </c>
      <c r="K95" s="31" t="s">
        <v>22</v>
      </c>
      <c r="L95" s="12"/>
      <c r="M95" s="12" t="s">
        <v>22</v>
      </c>
      <c r="P95" s="11" t="n">
        <f aca="false">H95-O94+13</f>
        <v>988</v>
      </c>
      <c r="Q95" s="11" t="n">
        <f aca="false">1600-P95</f>
        <v>612</v>
      </c>
    </row>
    <row r="96" customFormat="false" ht="12.8" hidden="false" customHeight="false" outlineLevel="0" collapsed="false">
      <c r="A96" s="6" t="n">
        <f aca="false">A93+1</f>
        <v>32</v>
      </c>
      <c r="E96" s="6" t="n">
        <f aca="false">E93</f>
        <v>3</v>
      </c>
      <c r="F96" s="6" t="n">
        <v>94</v>
      </c>
      <c r="G96" s="36" t="n">
        <f aca="false">$G$9</f>
        <v>1720</v>
      </c>
      <c r="H96" s="6" t="n">
        <f aca="false">H95+G96</f>
        <v>112015</v>
      </c>
      <c r="J96" s="29" t="s">
        <v>18</v>
      </c>
      <c r="K96" s="12" t="s">
        <v>44</v>
      </c>
      <c r="L96" s="12"/>
      <c r="M96" s="12" t="s">
        <v>52</v>
      </c>
    </row>
    <row r="97" customFormat="false" ht="12.8" hidden="false" customHeight="false" outlineLevel="0" collapsed="false">
      <c r="A97" s="6" t="n">
        <f aca="false">A94+1</f>
        <v>33</v>
      </c>
      <c r="B97" s="6" t="n">
        <f aca="false">B94+C94+D94</f>
        <v>112410</v>
      </c>
      <c r="C97" s="6" t="n">
        <f aca="false">$C$7</f>
        <v>3350</v>
      </c>
      <c r="D97" s="6" t="n">
        <v>10</v>
      </c>
      <c r="E97" s="6" t="n">
        <f aca="false">E94</f>
        <v>1</v>
      </c>
      <c r="F97" s="6" t="n">
        <v>95</v>
      </c>
      <c r="G97" s="36" t="n">
        <f aca="false">$G$7</f>
        <v>690</v>
      </c>
      <c r="H97" s="6" t="n">
        <f aca="false">H96+G97</f>
        <v>112705</v>
      </c>
      <c r="I97" s="23" t="n">
        <v>2</v>
      </c>
      <c r="J97" s="35" t="s">
        <v>16</v>
      </c>
      <c r="K97" s="12" t="s">
        <v>40</v>
      </c>
      <c r="L97" s="12" t="s">
        <v>42</v>
      </c>
      <c r="M97" s="12" t="s">
        <v>57</v>
      </c>
      <c r="O97" s="11" t="n">
        <f aca="false">O94+C94+D94</f>
        <v>112680</v>
      </c>
    </row>
    <row r="98" customFormat="false" ht="12.8" hidden="false" customHeight="false" outlineLevel="0" collapsed="false">
      <c r="A98" s="6" t="n">
        <f aca="false">A95+1</f>
        <v>33</v>
      </c>
      <c r="E98" s="6" t="n">
        <f aca="false">E95</f>
        <v>2</v>
      </c>
      <c r="F98" s="6" t="n">
        <v>96</v>
      </c>
      <c r="G98" s="36" t="n">
        <f aca="false">$G$8</f>
        <v>950</v>
      </c>
      <c r="H98" s="6" t="n">
        <f aca="false">H97+G98</f>
        <v>113655</v>
      </c>
      <c r="J98" s="35" t="s">
        <v>22</v>
      </c>
      <c r="K98" s="19" t="s">
        <v>22</v>
      </c>
      <c r="L98" s="12"/>
      <c r="M98" s="12" t="s">
        <v>22</v>
      </c>
      <c r="P98" s="11" t="n">
        <f aca="false">H98-O97+13</f>
        <v>988</v>
      </c>
      <c r="Q98" s="11" t="n">
        <f aca="false">1600-P98</f>
        <v>612</v>
      </c>
    </row>
    <row r="99" customFormat="false" ht="12.8" hidden="false" customHeight="false" outlineLevel="0" collapsed="false">
      <c r="A99" s="6" t="n">
        <f aca="false">A96+1</f>
        <v>33</v>
      </c>
      <c r="E99" s="6" t="n">
        <f aca="false">E96</f>
        <v>3</v>
      </c>
      <c r="F99" s="6" t="n">
        <v>97</v>
      </c>
      <c r="G99" s="36" t="n">
        <f aca="false">$G$9</f>
        <v>1720</v>
      </c>
      <c r="H99" s="6" t="n">
        <f aca="false">H98+G99</f>
        <v>115375</v>
      </c>
      <c r="J99" s="35" t="s">
        <v>18</v>
      </c>
      <c r="K99" s="12" t="s">
        <v>44</v>
      </c>
      <c r="L99" s="12"/>
      <c r="M99" s="12" t="s">
        <v>52</v>
      </c>
    </row>
    <row r="100" customFormat="false" ht="12.8" hidden="false" customHeight="false" outlineLevel="0" collapsed="false">
      <c r="A100" s="6" t="n">
        <f aca="false">A97+1</f>
        <v>34</v>
      </c>
      <c r="B100" s="6" t="n">
        <f aca="false">B97+C97+D97</f>
        <v>115770</v>
      </c>
      <c r="C100" s="6" t="n">
        <f aca="false">$C$7</f>
        <v>3350</v>
      </c>
      <c r="D100" s="6" t="n">
        <v>10</v>
      </c>
      <c r="E100" s="6" t="n">
        <f aca="false">E97</f>
        <v>1</v>
      </c>
      <c r="F100" s="6" t="n">
        <v>98</v>
      </c>
      <c r="G100" s="36" t="n">
        <f aca="false">$G$7</f>
        <v>690</v>
      </c>
      <c r="H100" s="6" t="n">
        <f aca="false">H99+G100</f>
        <v>116065</v>
      </c>
      <c r="I100" s="23" t="n">
        <v>1</v>
      </c>
      <c r="J100" s="29" t="s">
        <v>14</v>
      </c>
      <c r="K100" s="12" t="s">
        <v>36</v>
      </c>
      <c r="L100" s="12" t="s">
        <v>38</v>
      </c>
      <c r="M100" s="12" t="s">
        <v>54</v>
      </c>
      <c r="O100" s="11" t="n">
        <f aca="false">O97+C97+D97</f>
        <v>116040</v>
      </c>
    </row>
    <row r="101" customFormat="false" ht="12.8" hidden="false" customHeight="false" outlineLevel="0" collapsed="false">
      <c r="A101" s="6" t="n">
        <f aca="false">A98+1</f>
        <v>34</v>
      </c>
      <c r="E101" s="6" t="n">
        <f aca="false">E98</f>
        <v>2</v>
      </c>
      <c r="F101" s="6" t="n">
        <v>99</v>
      </c>
      <c r="G101" s="36" t="n">
        <f aca="false">$G$8</f>
        <v>950</v>
      </c>
      <c r="H101" s="6" t="n">
        <f aca="false">H100+G101</f>
        <v>117015</v>
      </c>
      <c r="J101" s="29" t="s">
        <v>22</v>
      </c>
      <c r="K101" s="31" t="s">
        <v>22</v>
      </c>
      <c r="L101" s="12"/>
      <c r="M101" s="12" t="s">
        <v>22</v>
      </c>
      <c r="P101" s="11" t="n">
        <f aca="false">H101-O100+13</f>
        <v>988</v>
      </c>
      <c r="Q101" s="11" t="n">
        <f aca="false">1600-P101</f>
        <v>612</v>
      </c>
    </row>
    <row r="102" customFormat="false" ht="12.8" hidden="false" customHeight="false" outlineLevel="0" collapsed="false">
      <c r="A102" s="6" t="n">
        <f aca="false">A99+1</f>
        <v>34</v>
      </c>
      <c r="E102" s="6" t="n">
        <f aca="false">E99</f>
        <v>3</v>
      </c>
      <c r="F102" s="6" t="n">
        <v>100</v>
      </c>
      <c r="G102" s="36" t="n">
        <f aca="false">$G$9</f>
        <v>1720</v>
      </c>
      <c r="H102" s="6" t="n">
        <f aca="false">H101+G102</f>
        <v>118735</v>
      </c>
      <c r="J102" s="29" t="s">
        <v>18</v>
      </c>
      <c r="K102" s="12" t="s">
        <v>44</v>
      </c>
      <c r="L102" s="12"/>
      <c r="M102" s="12" t="s">
        <v>52</v>
      </c>
    </row>
    <row r="103" customFormat="false" ht="12.8" hidden="false" customHeight="false" outlineLevel="0" collapsed="false">
      <c r="A103" s="6" t="n">
        <f aca="false">A100+1</f>
        <v>35</v>
      </c>
      <c r="B103" s="6" t="n">
        <f aca="false">B100+C100+D100</f>
        <v>119130</v>
      </c>
      <c r="C103" s="6" t="n">
        <f aca="false">$C$7</f>
        <v>3350</v>
      </c>
      <c r="D103" s="6" t="n">
        <v>10</v>
      </c>
      <c r="E103" s="6" t="n">
        <f aca="false">E100</f>
        <v>1</v>
      </c>
      <c r="F103" s="6" t="n">
        <v>101</v>
      </c>
      <c r="G103" s="36" t="n">
        <f aca="false">$G$7</f>
        <v>690</v>
      </c>
      <c r="H103" s="6" t="n">
        <f aca="false">H102+G103</f>
        <v>119425</v>
      </c>
      <c r="I103" s="23" t="n">
        <v>2</v>
      </c>
      <c r="J103" s="35" t="s">
        <v>16</v>
      </c>
      <c r="K103" s="12" t="s">
        <v>40</v>
      </c>
      <c r="L103" s="12" t="s">
        <v>42</v>
      </c>
      <c r="M103" s="12" t="s">
        <v>57</v>
      </c>
      <c r="O103" s="11" t="n">
        <f aca="false">O100+C100+D100</f>
        <v>119400</v>
      </c>
    </row>
    <row r="104" customFormat="false" ht="12.8" hidden="false" customHeight="false" outlineLevel="0" collapsed="false">
      <c r="A104" s="6" t="n">
        <f aca="false">A101+1</f>
        <v>35</v>
      </c>
      <c r="E104" s="6" t="n">
        <f aca="false">E101</f>
        <v>2</v>
      </c>
      <c r="F104" s="6" t="n">
        <v>102</v>
      </c>
      <c r="G104" s="36" t="n">
        <f aca="false">$G$8</f>
        <v>950</v>
      </c>
      <c r="H104" s="6" t="n">
        <f aca="false">H103+G104</f>
        <v>120375</v>
      </c>
      <c r="J104" s="35" t="s">
        <v>22</v>
      </c>
      <c r="K104" s="19" t="s">
        <v>22</v>
      </c>
      <c r="L104" s="12"/>
      <c r="M104" s="12" t="s">
        <v>22</v>
      </c>
      <c r="P104" s="11" t="n">
        <f aca="false">H104-O103+13</f>
        <v>988</v>
      </c>
      <c r="Q104" s="11" t="n">
        <f aca="false">1600-P104</f>
        <v>612</v>
      </c>
    </row>
    <row r="105" customFormat="false" ht="12.8" hidden="false" customHeight="false" outlineLevel="0" collapsed="false">
      <c r="A105" s="6" t="n">
        <f aca="false">A102+1</f>
        <v>35</v>
      </c>
      <c r="E105" s="6" t="n">
        <f aca="false">E102</f>
        <v>3</v>
      </c>
      <c r="F105" s="6" t="n">
        <v>103</v>
      </c>
      <c r="G105" s="36" t="n">
        <f aca="false">$G$9</f>
        <v>1720</v>
      </c>
      <c r="H105" s="6" t="n">
        <f aca="false">H104+G105</f>
        <v>122095</v>
      </c>
      <c r="J105" s="35" t="s">
        <v>18</v>
      </c>
      <c r="K105" s="12" t="s">
        <v>44</v>
      </c>
      <c r="L105" s="12"/>
      <c r="M105" s="12" t="s">
        <v>52</v>
      </c>
    </row>
    <row r="106" customFormat="false" ht="12.8" hidden="false" customHeight="false" outlineLevel="0" collapsed="false">
      <c r="A106" s="6" t="n">
        <f aca="false">A103+1</f>
        <v>36</v>
      </c>
      <c r="B106" s="6" t="n">
        <f aca="false">B103+C103+D103</f>
        <v>122490</v>
      </c>
      <c r="C106" s="6" t="n">
        <f aca="false">$C$7</f>
        <v>3350</v>
      </c>
      <c r="D106" s="6" t="n">
        <v>10</v>
      </c>
      <c r="E106" s="6" t="n">
        <f aca="false">E103</f>
        <v>1</v>
      </c>
      <c r="F106" s="6" t="n">
        <v>104</v>
      </c>
      <c r="G106" s="36" t="n">
        <f aca="false">$G$7</f>
        <v>690</v>
      </c>
      <c r="H106" s="6" t="n">
        <f aca="false">H105+G106</f>
        <v>122785</v>
      </c>
      <c r="I106" s="23" t="n">
        <v>1</v>
      </c>
      <c r="J106" s="29" t="s">
        <v>14</v>
      </c>
      <c r="K106" s="12" t="s">
        <v>36</v>
      </c>
      <c r="L106" s="12" t="s">
        <v>38</v>
      </c>
      <c r="M106" s="12" t="s">
        <v>54</v>
      </c>
      <c r="O106" s="11" t="n">
        <f aca="false">O103+C103+D103</f>
        <v>122760</v>
      </c>
    </row>
    <row r="107" customFormat="false" ht="12.8" hidden="false" customHeight="false" outlineLevel="0" collapsed="false">
      <c r="A107" s="6" t="n">
        <f aca="false">A104+1</f>
        <v>36</v>
      </c>
      <c r="E107" s="6" t="n">
        <f aca="false">E104</f>
        <v>2</v>
      </c>
      <c r="F107" s="6" t="n">
        <v>105</v>
      </c>
      <c r="G107" s="36" t="n">
        <f aca="false">$G$8</f>
        <v>950</v>
      </c>
      <c r="H107" s="6" t="n">
        <f aca="false">H106+G107</f>
        <v>123735</v>
      </c>
      <c r="J107" s="29" t="s">
        <v>22</v>
      </c>
      <c r="K107" s="31" t="s">
        <v>22</v>
      </c>
      <c r="L107" s="12"/>
      <c r="M107" s="12" t="s">
        <v>22</v>
      </c>
      <c r="P107" s="11" t="n">
        <f aca="false">H107-O106+13</f>
        <v>988</v>
      </c>
      <c r="Q107" s="11" t="n">
        <f aca="false">1600-P107</f>
        <v>612</v>
      </c>
    </row>
    <row r="108" customFormat="false" ht="12.8" hidden="false" customHeight="false" outlineLevel="0" collapsed="false">
      <c r="A108" s="6" t="n">
        <f aca="false">A105+1</f>
        <v>36</v>
      </c>
      <c r="E108" s="6" t="n">
        <f aca="false">E105</f>
        <v>3</v>
      </c>
      <c r="F108" s="6" t="n">
        <v>106</v>
      </c>
      <c r="G108" s="36" t="n">
        <f aca="false">$G$9</f>
        <v>1720</v>
      </c>
      <c r="H108" s="6" t="n">
        <f aca="false">H107+G108</f>
        <v>125455</v>
      </c>
      <c r="J108" s="29" t="s">
        <v>18</v>
      </c>
      <c r="K108" s="12" t="s">
        <v>44</v>
      </c>
      <c r="L108" s="12"/>
      <c r="M108" s="12" t="s">
        <v>52</v>
      </c>
    </row>
    <row r="109" customFormat="false" ht="12.8" hidden="false" customHeight="false" outlineLevel="0" collapsed="false">
      <c r="A109" s="6" t="n">
        <f aca="false">A106+1</f>
        <v>37</v>
      </c>
      <c r="B109" s="6" t="n">
        <f aca="false">B106+C106+D106</f>
        <v>125850</v>
      </c>
      <c r="C109" s="6" t="n">
        <f aca="false">$C$7</f>
        <v>3350</v>
      </c>
      <c r="D109" s="6" t="n">
        <v>10</v>
      </c>
      <c r="E109" s="6" t="n">
        <f aca="false">E106</f>
        <v>1</v>
      </c>
      <c r="F109" s="6" t="n">
        <v>107</v>
      </c>
      <c r="G109" s="36" t="n">
        <f aca="false">$G$7</f>
        <v>690</v>
      </c>
      <c r="H109" s="6" t="n">
        <f aca="false">H108+G109</f>
        <v>126145</v>
      </c>
      <c r="I109" s="23" t="n">
        <v>2</v>
      </c>
      <c r="J109" s="35" t="s">
        <v>16</v>
      </c>
      <c r="K109" s="12" t="s">
        <v>40</v>
      </c>
      <c r="L109" s="12" t="s">
        <v>42</v>
      </c>
      <c r="M109" s="12" t="s">
        <v>57</v>
      </c>
      <c r="O109" s="11" t="n">
        <f aca="false">O106+C106+D106</f>
        <v>126120</v>
      </c>
    </row>
    <row r="110" customFormat="false" ht="12.8" hidden="false" customHeight="false" outlineLevel="0" collapsed="false">
      <c r="A110" s="6" t="n">
        <f aca="false">A107+1</f>
        <v>37</v>
      </c>
      <c r="E110" s="6" t="n">
        <f aca="false">E107</f>
        <v>2</v>
      </c>
      <c r="F110" s="6" t="n">
        <v>108</v>
      </c>
      <c r="G110" s="36" t="n">
        <f aca="false">$G$8</f>
        <v>950</v>
      </c>
      <c r="H110" s="6" t="n">
        <f aca="false">H109+G110</f>
        <v>127095</v>
      </c>
      <c r="J110" s="35" t="s">
        <v>22</v>
      </c>
      <c r="K110" s="19" t="s">
        <v>22</v>
      </c>
      <c r="L110" s="12"/>
      <c r="M110" s="12" t="s">
        <v>22</v>
      </c>
      <c r="P110" s="11" t="n">
        <f aca="false">H110-O109+13</f>
        <v>988</v>
      </c>
      <c r="Q110" s="11" t="n">
        <f aca="false">1600-P110</f>
        <v>612</v>
      </c>
    </row>
    <row r="111" customFormat="false" ht="12.8" hidden="false" customHeight="false" outlineLevel="0" collapsed="false">
      <c r="A111" s="6" t="n">
        <f aca="false">A108+1</f>
        <v>37</v>
      </c>
      <c r="E111" s="6" t="n">
        <f aca="false">E108</f>
        <v>3</v>
      </c>
      <c r="F111" s="6" t="n">
        <v>109</v>
      </c>
      <c r="G111" s="36" t="n">
        <f aca="false">$G$9</f>
        <v>1720</v>
      </c>
      <c r="H111" s="6" t="n">
        <f aca="false">H110+G111</f>
        <v>128815</v>
      </c>
      <c r="J111" s="35" t="s">
        <v>18</v>
      </c>
      <c r="K111" s="12" t="s">
        <v>44</v>
      </c>
      <c r="L111" s="12"/>
      <c r="M111" s="12" t="s">
        <v>52</v>
      </c>
    </row>
    <row r="112" customFormat="false" ht="12.8" hidden="false" customHeight="false" outlineLevel="0" collapsed="false">
      <c r="A112" s="6" t="n">
        <f aca="false">A109+1</f>
        <v>38</v>
      </c>
      <c r="B112" s="6" t="n">
        <f aca="false">B109+C109+D109</f>
        <v>129210</v>
      </c>
      <c r="C112" s="6" t="n">
        <f aca="false">$C$7</f>
        <v>3350</v>
      </c>
      <c r="D112" s="6" t="n">
        <v>10</v>
      </c>
      <c r="E112" s="6" t="n">
        <f aca="false">E109</f>
        <v>1</v>
      </c>
      <c r="F112" s="6" t="n">
        <v>110</v>
      </c>
      <c r="G112" s="36" t="n">
        <f aca="false">$G$7</f>
        <v>690</v>
      </c>
      <c r="H112" s="6" t="n">
        <f aca="false">H111+G112</f>
        <v>129505</v>
      </c>
      <c r="I112" s="23" t="n">
        <v>1</v>
      </c>
      <c r="J112" s="29" t="s">
        <v>14</v>
      </c>
      <c r="K112" s="12" t="s">
        <v>36</v>
      </c>
      <c r="L112" s="12" t="s">
        <v>38</v>
      </c>
      <c r="M112" s="12" t="s">
        <v>54</v>
      </c>
      <c r="O112" s="11" t="n">
        <f aca="false">O109+C109+D109</f>
        <v>129480</v>
      </c>
    </row>
    <row r="113" customFormat="false" ht="12.8" hidden="false" customHeight="false" outlineLevel="0" collapsed="false">
      <c r="A113" s="6" t="n">
        <f aca="false">A110+1</f>
        <v>38</v>
      </c>
      <c r="E113" s="6" t="n">
        <f aca="false">E110</f>
        <v>2</v>
      </c>
      <c r="F113" s="6" t="n">
        <v>111</v>
      </c>
      <c r="G113" s="36" t="n">
        <f aca="false">$G$8</f>
        <v>950</v>
      </c>
      <c r="H113" s="6" t="n">
        <f aca="false">H112+G113</f>
        <v>130455</v>
      </c>
      <c r="J113" s="29" t="s">
        <v>22</v>
      </c>
      <c r="K113" s="31" t="s">
        <v>22</v>
      </c>
      <c r="L113" s="12"/>
      <c r="M113" s="12" t="s">
        <v>22</v>
      </c>
      <c r="P113" s="11" t="n">
        <f aca="false">H113-O112+13</f>
        <v>988</v>
      </c>
      <c r="Q113" s="11" t="n">
        <f aca="false">1600-P113</f>
        <v>612</v>
      </c>
    </row>
    <row r="114" customFormat="false" ht="12.8" hidden="false" customHeight="false" outlineLevel="0" collapsed="false">
      <c r="A114" s="6" t="n">
        <f aca="false">A111+1</f>
        <v>38</v>
      </c>
      <c r="E114" s="6" t="n">
        <f aca="false">E111</f>
        <v>3</v>
      </c>
      <c r="F114" s="6" t="n">
        <v>112</v>
      </c>
      <c r="G114" s="36" t="n">
        <f aca="false">$G$9</f>
        <v>1720</v>
      </c>
      <c r="H114" s="6" t="n">
        <f aca="false">H113+G114</f>
        <v>132175</v>
      </c>
      <c r="J114" s="29" t="s">
        <v>18</v>
      </c>
      <c r="K114" s="12" t="s">
        <v>44</v>
      </c>
      <c r="L114" s="12"/>
      <c r="M114" s="12" t="s">
        <v>52</v>
      </c>
    </row>
    <row r="115" customFormat="false" ht="12.8" hidden="false" customHeight="false" outlineLevel="0" collapsed="false">
      <c r="A115" s="6" t="n">
        <f aca="false">A112+1</f>
        <v>39</v>
      </c>
      <c r="B115" s="6" t="n">
        <f aca="false">B112+C112+D112</f>
        <v>132570</v>
      </c>
      <c r="C115" s="37" t="n">
        <v>3510</v>
      </c>
      <c r="D115" s="6" t="n">
        <v>10</v>
      </c>
      <c r="E115" s="6" t="n">
        <f aca="false">E112</f>
        <v>1</v>
      </c>
      <c r="F115" s="6" t="n">
        <v>113</v>
      </c>
      <c r="G115" s="38" t="n">
        <f aca="false">$G$7</f>
        <v>690</v>
      </c>
      <c r="H115" s="6" t="n">
        <f aca="false">H114+G115</f>
        <v>132865</v>
      </c>
      <c r="I115" s="23" t="n">
        <v>2</v>
      </c>
      <c r="J115" s="35" t="s">
        <v>16</v>
      </c>
      <c r="K115" s="12" t="s">
        <v>40</v>
      </c>
      <c r="L115" s="12" t="s">
        <v>42</v>
      </c>
      <c r="M115" s="12" t="s">
        <v>57</v>
      </c>
      <c r="O115" s="11" t="n">
        <f aca="false">O112+C112+D112</f>
        <v>132840</v>
      </c>
    </row>
    <row r="116" customFormat="false" ht="12.8" hidden="false" customHeight="false" outlineLevel="0" collapsed="false">
      <c r="A116" s="6" t="n">
        <f aca="false">A113+1</f>
        <v>39</v>
      </c>
      <c r="E116" s="6" t="n">
        <f aca="false">E113</f>
        <v>2</v>
      </c>
      <c r="F116" s="6" t="n">
        <v>114</v>
      </c>
      <c r="G116" s="38" t="n">
        <f aca="false">$G$8</f>
        <v>950</v>
      </c>
      <c r="H116" s="6" t="n">
        <f aca="false">H115+G116</f>
        <v>133815</v>
      </c>
      <c r="J116" s="35" t="s">
        <v>22</v>
      </c>
      <c r="K116" s="19" t="s">
        <v>22</v>
      </c>
      <c r="L116" s="12"/>
      <c r="M116" s="12" t="s">
        <v>22</v>
      </c>
      <c r="P116" s="11" t="n">
        <f aca="false">H116-O115+13</f>
        <v>988</v>
      </c>
      <c r="Q116" s="11" t="n">
        <f aca="false">1600-P116</f>
        <v>612</v>
      </c>
    </row>
    <row r="117" customFormat="false" ht="12.8" hidden="false" customHeight="false" outlineLevel="0" collapsed="false">
      <c r="A117" s="6" t="n">
        <f aca="false">A114+1</f>
        <v>39</v>
      </c>
      <c r="E117" s="6" t="n">
        <f aca="false">E114</f>
        <v>3</v>
      </c>
      <c r="F117" s="6" t="n">
        <v>115</v>
      </c>
      <c r="G117" s="38" t="n">
        <f aca="false">$G$9</f>
        <v>1720</v>
      </c>
      <c r="H117" s="6" t="n">
        <f aca="false">H116+G117</f>
        <v>135535</v>
      </c>
      <c r="J117" s="35" t="s">
        <v>18</v>
      </c>
      <c r="K117" s="21" t="s">
        <v>45</v>
      </c>
      <c r="L117" s="12"/>
      <c r="M117" s="17" t="s">
        <v>53</v>
      </c>
    </row>
    <row r="118" customFormat="false" ht="12.8" hidden="false" customHeight="false" outlineLevel="0" collapsed="false">
      <c r="A118" s="6" t="n">
        <f aca="false">A115+1</f>
        <v>40</v>
      </c>
      <c r="B118" s="6" t="n">
        <f aca="false">B115+C115+D115</f>
        <v>136090</v>
      </c>
      <c r="C118" s="6" t="n">
        <f aca="false">$C$7</f>
        <v>3350</v>
      </c>
      <c r="D118" s="6" t="n">
        <v>10</v>
      </c>
      <c r="E118" s="6" t="n">
        <f aca="false">E115</f>
        <v>1</v>
      </c>
      <c r="F118" s="6" t="n">
        <v>116</v>
      </c>
      <c r="G118" s="38" t="n">
        <v>1390</v>
      </c>
      <c r="H118" s="6" t="n">
        <f aca="false">H117+G118</f>
        <v>136925</v>
      </c>
      <c r="I118" s="23" t="n">
        <v>1</v>
      </c>
      <c r="J118" s="29" t="s">
        <v>15</v>
      </c>
      <c r="K118" s="20" t="s">
        <v>37</v>
      </c>
      <c r="L118" s="12" t="s">
        <v>39</v>
      </c>
      <c r="M118" s="20" t="s">
        <v>56</v>
      </c>
      <c r="O118" s="11" t="n">
        <f aca="false">O115+C115+D115</f>
        <v>136360</v>
      </c>
    </row>
    <row r="119" customFormat="false" ht="12.8" hidden="false" customHeight="false" outlineLevel="0" collapsed="false">
      <c r="A119" s="6" t="n">
        <f aca="false">A116+1</f>
        <v>40</v>
      </c>
      <c r="E119" s="6" t="n">
        <f aca="false">E116</f>
        <v>2</v>
      </c>
      <c r="F119" s="6" t="n">
        <v>117</v>
      </c>
      <c r="G119" s="38" t="n">
        <v>410</v>
      </c>
      <c r="H119" s="6" t="n">
        <f aca="false">H118+G119</f>
        <v>137335</v>
      </c>
      <c r="J119" s="29" t="s">
        <v>22</v>
      </c>
      <c r="K119" s="31" t="s">
        <v>22</v>
      </c>
      <c r="L119" s="12"/>
      <c r="M119" s="12" t="s">
        <v>22</v>
      </c>
      <c r="P119" s="11" t="n">
        <f aca="false">H119-O118+13</f>
        <v>988</v>
      </c>
      <c r="Q119" s="11" t="n">
        <f aca="false">1600-P119</f>
        <v>612</v>
      </c>
    </row>
    <row r="120" customFormat="false" ht="12.8" hidden="false" customHeight="false" outlineLevel="0" collapsed="false">
      <c r="A120" s="6" t="n">
        <f aca="false">A117+1</f>
        <v>40</v>
      </c>
      <c r="E120" s="6" t="n">
        <f aca="false">E117</f>
        <v>3</v>
      </c>
      <c r="F120" s="6" t="n">
        <v>118</v>
      </c>
      <c r="G120" s="38" t="n">
        <v>1720</v>
      </c>
      <c r="H120" s="6" t="n">
        <f aca="false">H119+G120</f>
        <v>139055</v>
      </c>
      <c r="J120" s="29" t="s">
        <v>18</v>
      </c>
      <c r="K120" s="12" t="s">
        <v>44</v>
      </c>
      <c r="L120" s="12"/>
      <c r="M120" s="12" t="s">
        <v>52</v>
      </c>
    </row>
    <row r="121" customFormat="false" ht="12.8" hidden="false" customHeight="false" outlineLevel="0" collapsed="false">
      <c r="A121" s="6" t="n">
        <f aca="false">A118+1</f>
        <v>41</v>
      </c>
      <c r="B121" s="6" t="n">
        <f aca="false">B118+C118+D118</f>
        <v>139450</v>
      </c>
      <c r="C121" s="6" t="n">
        <f aca="false">$C$7</f>
        <v>3350</v>
      </c>
      <c r="D121" s="6" t="n">
        <v>10</v>
      </c>
      <c r="E121" s="6" t="n">
        <f aca="false">E118</f>
        <v>1</v>
      </c>
      <c r="F121" s="6" t="n">
        <v>119</v>
      </c>
      <c r="G121" s="36" t="n">
        <f aca="false">$G$7</f>
        <v>690</v>
      </c>
      <c r="H121" s="6" t="n">
        <f aca="false">H120+G121</f>
        <v>139745</v>
      </c>
      <c r="I121" s="23" t="n">
        <v>2</v>
      </c>
      <c r="J121" s="35" t="s">
        <v>16</v>
      </c>
      <c r="K121" s="12" t="s">
        <v>40</v>
      </c>
      <c r="L121" s="12" t="s">
        <v>42</v>
      </c>
      <c r="M121" s="12" t="s">
        <v>57</v>
      </c>
      <c r="O121" s="11" t="n">
        <f aca="false">O118+C118+D118</f>
        <v>139720</v>
      </c>
    </row>
    <row r="122" customFormat="false" ht="12.8" hidden="false" customHeight="false" outlineLevel="0" collapsed="false">
      <c r="A122" s="6" t="n">
        <f aca="false">A119+1</f>
        <v>41</v>
      </c>
      <c r="E122" s="6" t="n">
        <f aca="false">E119</f>
        <v>2</v>
      </c>
      <c r="F122" s="6" t="n">
        <v>120</v>
      </c>
      <c r="G122" s="36" t="n">
        <f aca="false">$G$8</f>
        <v>950</v>
      </c>
      <c r="H122" s="6" t="n">
        <f aca="false">H121+G122</f>
        <v>140695</v>
      </c>
      <c r="J122" s="35" t="s">
        <v>22</v>
      </c>
      <c r="K122" s="19" t="s">
        <v>22</v>
      </c>
      <c r="L122" s="12"/>
      <c r="M122" s="12" t="s">
        <v>22</v>
      </c>
      <c r="P122" s="11" t="n">
        <f aca="false">H122-O121+13</f>
        <v>988</v>
      </c>
      <c r="Q122" s="11" t="n">
        <f aca="false">1600-P122</f>
        <v>612</v>
      </c>
    </row>
    <row r="123" customFormat="false" ht="12.8" hidden="false" customHeight="false" outlineLevel="0" collapsed="false">
      <c r="A123" s="6" t="n">
        <f aca="false">A120+1</f>
        <v>41</v>
      </c>
      <c r="E123" s="6" t="n">
        <f aca="false">E120</f>
        <v>3</v>
      </c>
      <c r="F123" s="6" t="n">
        <v>121</v>
      </c>
      <c r="G123" s="36" t="n">
        <f aca="false">$G$9</f>
        <v>1720</v>
      </c>
      <c r="H123" s="6" t="n">
        <f aca="false">H122+G123</f>
        <v>142415</v>
      </c>
      <c r="J123" s="35" t="s">
        <v>18</v>
      </c>
      <c r="K123" s="12" t="s">
        <v>44</v>
      </c>
      <c r="L123" s="12"/>
      <c r="M123" s="12" t="s">
        <v>52</v>
      </c>
    </row>
    <row r="124" customFormat="false" ht="12.8" hidden="false" customHeight="false" outlineLevel="0" collapsed="false">
      <c r="A124" s="6" t="n">
        <f aca="false">A121+1</f>
        <v>42</v>
      </c>
      <c r="B124" s="6" t="n">
        <f aca="false">B121+C121+D121</f>
        <v>142810</v>
      </c>
      <c r="C124" s="6" t="n">
        <f aca="false">$C$7</f>
        <v>3350</v>
      </c>
      <c r="D124" s="6" t="n">
        <v>10</v>
      </c>
      <c r="E124" s="6" t="n">
        <f aca="false">E121</f>
        <v>1</v>
      </c>
      <c r="F124" s="6" t="n">
        <v>122</v>
      </c>
      <c r="G124" s="36" t="n">
        <f aca="false">$G$7</f>
        <v>690</v>
      </c>
      <c r="H124" s="6" t="n">
        <f aca="false">H123+G124</f>
        <v>143105</v>
      </c>
      <c r="I124" s="23" t="n">
        <v>1</v>
      </c>
      <c r="J124" s="29" t="s">
        <v>14</v>
      </c>
      <c r="K124" s="12" t="s">
        <v>36</v>
      </c>
      <c r="L124" s="12" t="s">
        <v>38</v>
      </c>
      <c r="M124" s="12" t="s">
        <v>54</v>
      </c>
      <c r="O124" s="11" t="n">
        <f aca="false">O121+C121+D121</f>
        <v>143080</v>
      </c>
    </row>
    <row r="125" customFormat="false" ht="12.8" hidden="false" customHeight="false" outlineLevel="0" collapsed="false">
      <c r="A125" s="6" t="n">
        <f aca="false">A122+1</f>
        <v>42</v>
      </c>
      <c r="E125" s="6" t="n">
        <f aca="false">E122</f>
        <v>2</v>
      </c>
      <c r="F125" s="6" t="n">
        <v>123</v>
      </c>
      <c r="G125" s="36" t="n">
        <f aca="false">$G$8</f>
        <v>950</v>
      </c>
      <c r="H125" s="6" t="n">
        <f aca="false">H124+G125</f>
        <v>144055</v>
      </c>
      <c r="J125" s="29" t="s">
        <v>22</v>
      </c>
      <c r="K125" s="31" t="s">
        <v>22</v>
      </c>
      <c r="L125" s="12"/>
      <c r="M125" s="12" t="s">
        <v>22</v>
      </c>
      <c r="P125" s="11" t="n">
        <f aca="false">H125-O124+13</f>
        <v>988</v>
      </c>
      <c r="Q125" s="11" t="n">
        <f aca="false">1600-P125</f>
        <v>612</v>
      </c>
    </row>
    <row r="126" customFormat="false" ht="12.8" hidden="false" customHeight="false" outlineLevel="0" collapsed="false">
      <c r="A126" s="6" t="n">
        <f aca="false">A123+1</f>
        <v>42</v>
      </c>
      <c r="E126" s="6" t="n">
        <f aca="false">E123</f>
        <v>3</v>
      </c>
      <c r="F126" s="6" t="n">
        <v>124</v>
      </c>
      <c r="G126" s="36" t="n">
        <f aca="false">$G$9</f>
        <v>1720</v>
      </c>
      <c r="H126" s="6" t="n">
        <f aca="false">H125+G126</f>
        <v>145775</v>
      </c>
      <c r="J126" s="29" t="s">
        <v>18</v>
      </c>
      <c r="K126" s="12" t="s">
        <v>44</v>
      </c>
      <c r="L126" s="12"/>
      <c r="M126" s="12" t="s">
        <v>52</v>
      </c>
    </row>
    <row r="127" customFormat="false" ht="12.8" hidden="false" customHeight="false" outlineLevel="0" collapsed="false">
      <c r="A127" s="6" t="n">
        <f aca="false">A124+1</f>
        <v>43</v>
      </c>
      <c r="B127" s="6" t="n">
        <f aca="false">B124+C124+D124</f>
        <v>146170</v>
      </c>
      <c r="C127" s="6" t="n">
        <f aca="false">$C$7</f>
        <v>3350</v>
      </c>
      <c r="D127" s="6" t="n">
        <v>10</v>
      </c>
      <c r="E127" s="6" t="n">
        <f aca="false">E124</f>
        <v>1</v>
      </c>
      <c r="F127" s="6" t="n">
        <v>125</v>
      </c>
      <c r="G127" s="36" t="n">
        <f aca="false">$G$7</f>
        <v>690</v>
      </c>
      <c r="H127" s="6" t="n">
        <f aca="false">H126+G127</f>
        <v>146465</v>
      </c>
      <c r="I127" s="23" t="n">
        <v>2</v>
      </c>
      <c r="J127" s="35" t="s">
        <v>16</v>
      </c>
      <c r="K127" s="12" t="s">
        <v>40</v>
      </c>
      <c r="L127" s="12" t="s">
        <v>42</v>
      </c>
      <c r="M127" s="12" t="s">
        <v>57</v>
      </c>
      <c r="O127" s="11" t="n">
        <f aca="false">O124+C124+D124</f>
        <v>146440</v>
      </c>
    </row>
    <row r="128" customFormat="false" ht="12.8" hidden="false" customHeight="false" outlineLevel="0" collapsed="false">
      <c r="A128" s="6" t="n">
        <f aca="false">A125+1</f>
        <v>43</v>
      </c>
      <c r="E128" s="6" t="n">
        <f aca="false">E125</f>
        <v>2</v>
      </c>
      <c r="F128" s="6" t="n">
        <v>126</v>
      </c>
      <c r="G128" s="36" t="n">
        <f aca="false">$G$8</f>
        <v>950</v>
      </c>
      <c r="H128" s="6" t="n">
        <f aca="false">H127+G128</f>
        <v>147415</v>
      </c>
      <c r="J128" s="35" t="s">
        <v>22</v>
      </c>
      <c r="K128" s="19" t="s">
        <v>22</v>
      </c>
      <c r="L128" s="12"/>
      <c r="M128" s="12" t="s">
        <v>22</v>
      </c>
      <c r="P128" s="11" t="n">
        <f aca="false">H128-O127+13</f>
        <v>988</v>
      </c>
      <c r="Q128" s="11" t="n">
        <f aca="false">1600-P128</f>
        <v>612</v>
      </c>
    </row>
    <row r="129" customFormat="false" ht="12.8" hidden="false" customHeight="false" outlineLevel="0" collapsed="false">
      <c r="A129" s="6" t="n">
        <f aca="false">A126+1</f>
        <v>43</v>
      </c>
      <c r="E129" s="6" t="n">
        <f aca="false">E126</f>
        <v>3</v>
      </c>
      <c r="F129" s="6" t="n">
        <v>127</v>
      </c>
      <c r="G129" s="36" t="n">
        <f aca="false">$G$9</f>
        <v>1720</v>
      </c>
      <c r="H129" s="6" t="n">
        <f aca="false">H128+G129</f>
        <v>149135</v>
      </c>
      <c r="J129" s="35" t="s">
        <v>18</v>
      </c>
      <c r="K129" s="12" t="s">
        <v>44</v>
      </c>
      <c r="L129" s="12"/>
      <c r="M129" s="12" t="s">
        <v>52</v>
      </c>
    </row>
    <row r="130" customFormat="false" ht="12.8" hidden="false" customHeight="false" outlineLevel="0" collapsed="false">
      <c r="A130" s="6" t="n">
        <f aca="false">A127+1</f>
        <v>44</v>
      </c>
      <c r="B130" s="6" t="n">
        <f aca="false">B127+C127+D127</f>
        <v>149530</v>
      </c>
      <c r="C130" s="6" t="n">
        <f aca="false">$C$7</f>
        <v>3350</v>
      </c>
      <c r="D130" s="6" t="n">
        <v>10</v>
      </c>
      <c r="E130" s="6" t="n">
        <f aca="false">E127</f>
        <v>1</v>
      </c>
      <c r="F130" s="6" t="n">
        <v>128</v>
      </c>
      <c r="G130" s="36" t="n">
        <f aca="false">$G$7</f>
        <v>690</v>
      </c>
      <c r="H130" s="6" t="n">
        <f aca="false">H129+G130</f>
        <v>149825</v>
      </c>
      <c r="I130" s="23" t="n">
        <v>1</v>
      </c>
      <c r="J130" s="29" t="s">
        <v>14</v>
      </c>
      <c r="K130" s="12" t="s">
        <v>36</v>
      </c>
      <c r="L130" s="12" t="s">
        <v>38</v>
      </c>
      <c r="M130" s="12" t="s">
        <v>54</v>
      </c>
      <c r="O130" s="11" t="n">
        <f aca="false">O127+C127+D127</f>
        <v>149800</v>
      </c>
    </row>
    <row r="131" customFormat="false" ht="12.8" hidden="false" customHeight="false" outlineLevel="0" collapsed="false">
      <c r="A131" s="6" t="n">
        <f aca="false">A128+1</f>
        <v>44</v>
      </c>
      <c r="E131" s="6" t="n">
        <f aca="false">E128</f>
        <v>2</v>
      </c>
      <c r="F131" s="6" t="n">
        <v>129</v>
      </c>
      <c r="G131" s="36" t="n">
        <f aca="false">$G$8</f>
        <v>950</v>
      </c>
      <c r="H131" s="6" t="n">
        <f aca="false">H130+G131</f>
        <v>150775</v>
      </c>
      <c r="J131" s="29" t="s">
        <v>22</v>
      </c>
      <c r="K131" s="31" t="s">
        <v>22</v>
      </c>
      <c r="L131" s="12"/>
      <c r="M131" s="12" t="s">
        <v>22</v>
      </c>
      <c r="P131" s="11" t="n">
        <f aca="false">H131-O130+13</f>
        <v>988</v>
      </c>
      <c r="Q131" s="11" t="n">
        <f aca="false">1600-P131</f>
        <v>612</v>
      </c>
    </row>
    <row r="132" customFormat="false" ht="12.8" hidden="false" customHeight="false" outlineLevel="0" collapsed="false">
      <c r="A132" s="6" t="n">
        <f aca="false">A129+1</f>
        <v>44</v>
      </c>
      <c r="E132" s="6" t="n">
        <f aca="false">E129</f>
        <v>3</v>
      </c>
      <c r="F132" s="6" t="n">
        <v>130</v>
      </c>
      <c r="G132" s="36" t="n">
        <f aca="false">$G$9</f>
        <v>1720</v>
      </c>
      <c r="H132" s="6" t="n">
        <f aca="false">H131+G132</f>
        <v>152495</v>
      </c>
      <c r="J132" s="29" t="s">
        <v>18</v>
      </c>
      <c r="K132" s="12" t="s">
        <v>44</v>
      </c>
      <c r="L132" s="12"/>
      <c r="M132" s="12" t="s">
        <v>52</v>
      </c>
    </row>
    <row r="133" customFormat="false" ht="12.8" hidden="false" customHeight="false" outlineLevel="0" collapsed="false">
      <c r="A133" s="6" t="n">
        <f aca="false">A130+1</f>
        <v>45</v>
      </c>
      <c r="B133" s="6" t="n">
        <f aca="false">B130+C130+D130</f>
        <v>152890</v>
      </c>
      <c r="C133" s="6" t="n">
        <f aca="false">$C$7</f>
        <v>3350</v>
      </c>
      <c r="D133" s="6" t="n">
        <v>10</v>
      </c>
      <c r="E133" s="6" t="n">
        <f aca="false">E130</f>
        <v>1</v>
      </c>
      <c r="F133" s="6" t="n">
        <v>131</v>
      </c>
      <c r="G133" s="36" t="n">
        <f aca="false">$G$7</f>
        <v>690</v>
      </c>
      <c r="H133" s="6" t="n">
        <f aca="false">H132+G133</f>
        <v>153185</v>
      </c>
      <c r="I133" s="23" t="n">
        <v>2</v>
      </c>
      <c r="J133" s="35" t="s">
        <v>16</v>
      </c>
      <c r="K133" s="12" t="s">
        <v>40</v>
      </c>
      <c r="L133" s="12" t="s">
        <v>42</v>
      </c>
      <c r="M133" s="12" t="s">
        <v>57</v>
      </c>
      <c r="O133" s="11" t="n">
        <f aca="false">O130+C130+D130</f>
        <v>153160</v>
      </c>
    </row>
    <row r="134" customFormat="false" ht="12.8" hidden="false" customHeight="false" outlineLevel="0" collapsed="false">
      <c r="A134" s="6" t="n">
        <f aca="false">A131+1</f>
        <v>45</v>
      </c>
      <c r="E134" s="6" t="n">
        <f aca="false">E131</f>
        <v>2</v>
      </c>
      <c r="F134" s="6" t="n">
        <v>132</v>
      </c>
      <c r="G134" s="36" t="n">
        <f aca="false">$G$8</f>
        <v>950</v>
      </c>
      <c r="H134" s="6" t="n">
        <f aca="false">H133+G134</f>
        <v>154135</v>
      </c>
      <c r="J134" s="35" t="s">
        <v>22</v>
      </c>
      <c r="K134" s="19" t="s">
        <v>22</v>
      </c>
      <c r="L134" s="12"/>
      <c r="M134" s="12" t="s">
        <v>22</v>
      </c>
      <c r="P134" s="11" t="n">
        <f aca="false">H134-O133+13</f>
        <v>988</v>
      </c>
      <c r="Q134" s="11" t="n">
        <f aca="false">1600-P134</f>
        <v>612</v>
      </c>
    </row>
    <row r="135" customFormat="false" ht="12.8" hidden="false" customHeight="false" outlineLevel="0" collapsed="false">
      <c r="A135" s="6" t="n">
        <f aca="false">A132+1</f>
        <v>45</v>
      </c>
      <c r="E135" s="6" t="n">
        <f aca="false">E132</f>
        <v>3</v>
      </c>
      <c r="F135" s="6" t="n">
        <v>133</v>
      </c>
      <c r="G135" s="36" t="n">
        <f aca="false">$G$9</f>
        <v>1720</v>
      </c>
      <c r="H135" s="6" t="n">
        <f aca="false">H134+G135</f>
        <v>155855</v>
      </c>
      <c r="J135" s="35" t="s">
        <v>18</v>
      </c>
      <c r="K135" s="12" t="s">
        <v>44</v>
      </c>
      <c r="L135" s="12"/>
      <c r="M135" s="12" t="s">
        <v>52</v>
      </c>
    </row>
    <row r="136" customFormat="false" ht="12.8" hidden="false" customHeight="false" outlineLevel="0" collapsed="false">
      <c r="A136" s="6" t="n">
        <f aca="false">A133+1</f>
        <v>46</v>
      </c>
      <c r="B136" s="6" t="n">
        <f aca="false">B133+C133+D133</f>
        <v>156250</v>
      </c>
      <c r="C136" s="6" t="n">
        <f aca="false">$C$7</f>
        <v>3350</v>
      </c>
      <c r="D136" s="6" t="n">
        <v>10</v>
      </c>
      <c r="E136" s="6" t="n">
        <f aca="false">E133</f>
        <v>1</v>
      </c>
      <c r="F136" s="6" t="n">
        <v>134</v>
      </c>
      <c r="G136" s="36" t="n">
        <f aca="false">$G$7</f>
        <v>690</v>
      </c>
      <c r="H136" s="6" t="n">
        <f aca="false">H135+G136</f>
        <v>156545</v>
      </c>
      <c r="I136" s="23" t="n">
        <v>1</v>
      </c>
      <c r="J136" s="29" t="s">
        <v>14</v>
      </c>
      <c r="K136" s="12" t="s">
        <v>36</v>
      </c>
      <c r="L136" s="12" t="s">
        <v>38</v>
      </c>
      <c r="M136" s="12" t="s">
        <v>54</v>
      </c>
      <c r="O136" s="11" t="n">
        <f aca="false">O133+C133+D133</f>
        <v>156520</v>
      </c>
    </row>
    <row r="137" customFormat="false" ht="12.8" hidden="false" customHeight="false" outlineLevel="0" collapsed="false">
      <c r="A137" s="6" t="n">
        <f aca="false">A134+1</f>
        <v>46</v>
      </c>
      <c r="E137" s="6" t="n">
        <f aca="false">E134</f>
        <v>2</v>
      </c>
      <c r="F137" s="6" t="n">
        <v>135</v>
      </c>
      <c r="G137" s="36" t="n">
        <f aca="false">$G$8</f>
        <v>950</v>
      </c>
      <c r="H137" s="6" t="n">
        <f aca="false">H136+G137</f>
        <v>157495</v>
      </c>
      <c r="J137" s="29" t="s">
        <v>22</v>
      </c>
      <c r="K137" s="31" t="s">
        <v>22</v>
      </c>
      <c r="L137" s="12"/>
      <c r="M137" s="12" t="s">
        <v>22</v>
      </c>
      <c r="P137" s="11" t="n">
        <f aca="false">H137-O136+13</f>
        <v>988</v>
      </c>
      <c r="Q137" s="11" t="n">
        <f aca="false">1600-P137</f>
        <v>612</v>
      </c>
    </row>
    <row r="138" customFormat="false" ht="12.8" hidden="false" customHeight="false" outlineLevel="0" collapsed="false">
      <c r="A138" s="6" t="n">
        <f aca="false">A135+1</f>
        <v>46</v>
      </c>
      <c r="E138" s="6" t="n">
        <f aca="false">E135</f>
        <v>3</v>
      </c>
      <c r="F138" s="6" t="n">
        <v>136</v>
      </c>
      <c r="G138" s="36" t="n">
        <f aca="false">$G$9</f>
        <v>1720</v>
      </c>
      <c r="H138" s="6" t="n">
        <f aca="false">H137+G138</f>
        <v>159215</v>
      </c>
      <c r="J138" s="29" t="s">
        <v>18</v>
      </c>
      <c r="K138" s="12" t="s">
        <v>44</v>
      </c>
      <c r="L138" s="12"/>
      <c r="M138" s="12" t="s">
        <v>52</v>
      </c>
    </row>
    <row r="139" customFormat="false" ht="12.8" hidden="false" customHeight="false" outlineLevel="0" collapsed="false">
      <c r="A139" s="6" t="n">
        <f aca="false">A136+1</f>
        <v>47</v>
      </c>
      <c r="B139" s="6" t="n">
        <f aca="false">B136+C136+D136</f>
        <v>159610</v>
      </c>
      <c r="C139" s="6" t="n">
        <f aca="false">$C$7</f>
        <v>3350</v>
      </c>
      <c r="D139" s="6" t="n">
        <v>10</v>
      </c>
      <c r="E139" s="6" t="n">
        <f aca="false">E136</f>
        <v>1</v>
      </c>
      <c r="F139" s="6" t="n">
        <v>137</v>
      </c>
      <c r="G139" s="36" t="n">
        <f aca="false">$G$7</f>
        <v>690</v>
      </c>
      <c r="H139" s="6" t="n">
        <f aca="false">H138+G139</f>
        <v>159905</v>
      </c>
      <c r="I139" s="23" t="n">
        <v>2</v>
      </c>
      <c r="J139" s="35" t="s">
        <v>16</v>
      </c>
      <c r="K139" s="12" t="s">
        <v>40</v>
      </c>
      <c r="L139" s="12" t="s">
        <v>42</v>
      </c>
      <c r="M139" s="12" t="s">
        <v>57</v>
      </c>
      <c r="O139" s="11" t="n">
        <f aca="false">O136+C136+D136</f>
        <v>159880</v>
      </c>
    </row>
    <row r="140" customFormat="false" ht="12.8" hidden="false" customHeight="false" outlineLevel="0" collapsed="false">
      <c r="A140" s="6" t="n">
        <f aca="false">A137+1</f>
        <v>47</v>
      </c>
      <c r="E140" s="6" t="n">
        <f aca="false">E137</f>
        <v>2</v>
      </c>
      <c r="F140" s="6" t="n">
        <v>138</v>
      </c>
      <c r="G140" s="36" t="n">
        <f aca="false">$G$8</f>
        <v>950</v>
      </c>
      <c r="H140" s="6" t="n">
        <f aca="false">H139+G140</f>
        <v>160855</v>
      </c>
      <c r="J140" s="35" t="s">
        <v>22</v>
      </c>
      <c r="K140" s="19" t="s">
        <v>22</v>
      </c>
      <c r="L140" s="12"/>
      <c r="M140" s="12" t="s">
        <v>22</v>
      </c>
      <c r="P140" s="11" t="n">
        <f aca="false">H140-O139+13</f>
        <v>988</v>
      </c>
      <c r="Q140" s="11" t="n">
        <f aca="false">1600-P140</f>
        <v>612</v>
      </c>
    </row>
    <row r="141" customFormat="false" ht="12.8" hidden="false" customHeight="false" outlineLevel="0" collapsed="false">
      <c r="A141" s="6" t="n">
        <f aca="false">A138+1</f>
        <v>47</v>
      </c>
      <c r="E141" s="6" t="n">
        <f aca="false">E138</f>
        <v>3</v>
      </c>
      <c r="F141" s="6" t="n">
        <v>139</v>
      </c>
      <c r="G141" s="36" t="n">
        <f aca="false">$G$9</f>
        <v>1720</v>
      </c>
      <c r="H141" s="6" t="n">
        <f aca="false">H140+G141</f>
        <v>162575</v>
      </c>
      <c r="J141" s="35" t="s">
        <v>18</v>
      </c>
      <c r="K141" s="12" t="s">
        <v>44</v>
      </c>
      <c r="L141" s="12"/>
      <c r="M141" s="12" t="s">
        <v>52</v>
      </c>
    </row>
    <row r="142" customFormat="false" ht="12.8" hidden="false" customHeight="false" outlineLevel="0" collapsed="false">
      <c r="A142" s="6" t="n">
        <f aca="false">A139+1</f>
        <v>48</v>
      </c>
      <c r="B142" s="6" t="n">
        <f aca="false">B139+C139+D139</f>
        <v>162970</v>
      </c>
      <c r="C142" s="6" t="n">
        <f aca="false">$C$7</f>
        <v>3350</v>
      </c>
      <c r="D142" s="6" t="n">
        <v>10</v>
      </c>
      <c r="E142" s="6" t="n">
        <f aca="false">E139</f>
        <v>1</v>
      </c>
      <c r="F142" s="6" t="n">
        <v>140</v>
      </c>
      <c r="G142" s="36" t="n">
        <f aca="false">$G$7</f>
        <v>690</v>
      </c>
      <c r="H142" s="6" t="n">
        <f aca="false">H141+G142</f>
        <v>163265</v>
      </c>
      <c r="I142" s="23" t="n">
        <v>1</v>
      </c>
      <c r="J142" s="29" t="s">
        <v>14</v>
      </c>
      <c r="K142" s="12" t="s">
        <v>36</v>
      </c>
      <c r="L142" s="12" t="s">
        <v>38</v>
      </c>
      <c r="M142" s="12" t="s">
        <v>54</v>
      </c>
      <c r="O142" s="11" t="n">
        <f aca="false">O139+C139+D139</f>
        <v>163240</v>
      </c>
    </row>
    <row r="143" customFormat="false" ht="12.8" hidden="false" customHeight="false" outlineLevel="0" collapsed="false">
      <c r="A143" s="6" t="n">
        <f aca="false">A140+1</f>
        <v>48</v>
      </c>
      <c r="E143" s="6" t="n">
        <f aca="false">E140</f>
        <v>2</v>
      </c>
      <c r="F143" s="6" t="n">
        <v>141</v>
      </c>
      <c r="G143" s="36" t="n">
        <f aca="false">$G$8</f>
        <v>950</v>
      </c>
      <c r="H143" s="6" t="n">
        <f aca="false">H142+G143</f>
        <v>164215</v>
      </c>
      <c r="J143" s="29" t="s">
        <v>22</v>
      </c>
      <c r="K143" s="31" t="s">
        <v>22</v>
      </c>
      <c r="L143" s="12"/>
      <c r="M143" s="12" t="s">
        <v>22</v>
      </c>
      <c r="P143" s="11" t="n">
        <f aca="false">H143-O142+13</f>
        <v>988</v>
      </c>
      <c r="Q143" s="11" t="n">
        <f aca="false">1600-P143</f>
        <v>612</v>
      </c>
    </row>
    <row r="144" customFormat="false" ht="12.8" hidden="false" customHeight="false" outlineLevel="0" collapsed="false">
      <c r="A144" s="6" t="n">
        <f aca="false">A141+1</f>
        <v>48</v>
      </c>
      <c r="E144" s="6" t="n">
        <f aca="false">E141</f>
        <v>3</v>
      </c>
      <c r="F144" s="6" t="n">
        <v>142</v>
      </c>
      <c r="G144" s="36" t="n">
        <f aca="false">$G$9</f>
        <v>1720</v>
      </c>
      <c r="H144" s="6" t="n">
        <f aca="false">H143+G144</f>
        <v>165935</v>
      </c>
      <c r="J144" s="29" t="s">
        <v>18</v>
      </c>
      <c r="K144" s="12" t="s">
        <v>44</v>
      </c>
      <c r="L144" s="12"/>
      <c r="M144" s="12" t="s">
        <v>52</v>
      </c>
    </row>
    <row r="145" customFormat="false" ht="12.8" hidden="false" customHeight="false" outlineLevel="0" collapsed="false">
      <c r="A145" s="6" t="n">
        <f aca="false">A142+1</f>
        <v>49</v>
      </c>
      <c r="B145" s="6" t="n">
        <f aca="false">B142+C142+D142</f>
        <v>166330</v>
      </c>
      <c r="C145" s="6" t="n">
        <f aca="false">$C$7</f>
        <v>3350</v>
      </c>
      <c r="D145" s="6" t="n">
        <v>10</v>
      </c>
      <c r="E145" s="6" t="n">
        <f aca="false">E142</f>
        <v>1</v>
      </c>
      <c r="F145" s="6" t="n">
        <v>143</v>
      </c>
      <c r="G145" s="36" t="n">
        <f aca="false">$G$7</f>
        <v>690</v>
      </c>
      <c r="H145" s="6" t="n">
        <f aca="false">H144+G145</f>
        <v>166625</v>
      </c>
      <c r="I145" s="23" t="n">
        <v>2</v>
      </c>
      <c r="J145" s="35" t="s">
        <v>16</v>
      </c>
      <c r="K145" s="12" t="s">
        <v>40</v>
      </c>
      <c r="L145" s="12" t="s">
        <v>42</v>
      </c>
      <c r="M145" s="12" t="s">
        <v>57</v>
      </c>
      <c r="O145" s="11" t="n">
        <f aca="false">O142+C142+D142</f>
        <v>166600</v>
      </c>
    </row>
    <row r="146" customFormat="false" ht="12.8" hidden="false" customHeight="false" outlineLevel="0" collapsed="false">
      <c r="A146" s="6" t="n">
        <f aca="false">A143+1</f>
        <v>49</v>
      </c>
      <c r="E146" s="6" t="n">
        <f aca="false">E143</f>
        <v>2</v>
      </c>
      <c r="F146" s="6" t="n">
        <v>144</v>
      </c>
      <c r="G146" s="36" t="n">
        <f aca="false">$G$8</f>
        <v>950</v>
      </c>
      <c r="H146" s="6" t="n">
        <f aca="false">H145+G146</f>
        <v>167575</v>
      </c>
      <c r="J146" s="35" t="s">
        <v>22</v>
      </c>
      <c r="K146" s="19" t="s">
        <v>22</v>
      </c>
      <c r="L146" s="12"/>
      <c r="M146" s="12" t="s">
        <v>22</v>
      </c>
      <c r="P146" s="11" t="n">
        <f aca="false">H146-O145+13</f>
        <v>988</v>
      </c>
      <c r="Q146" s="11" t="n">
        <f aca="false">1600-P146</f>
        <v>612</v>
      </c>
    </row>
    <row r="147" customFormat="false" ht="12.8" hidden="false" customHeight="false" outlineLevel="0" collapsed="false">
      <c r="A147" s="6" t="n">
        <f aca="false">A144+1</f>
        <v>49</v>
      </c>
      <c r="E147" s="6" t="n">
        <f aca="false">E144</f>
        <v>3</v>
      </c>
      <c r="F147" s="6" t="n">
        <v>145</v>
      </c>
      <c r="G147" s="36" t="n">
        <f aca="false">$G$9</f>
        <v>1720</v>
      </c>
      <c r="H147" s="6" t="n">
        <f aca="false">H146+G147</f>
        <v>169295</v>
      </c>
      <c r="J147" s="35" t="s">
        <v>18</v>
      </c>
      <c r="K147" s="12" t="s">
        <v>44</v>
      </c>
      <c r="L147" s="12"/>
      <c r="M147" s="12" t="s">
        <v>52</v>
      </c>
    </row>
    <row r="148" customFormat="false" ht="12.8" hidden="false" customHeight="false" outlineLevel="0" collapsed="false">
      <c r="A148" s="6" t="n">
        <f aca="false">A145+1</f>
        <v>50</v>
      </c>
      <c r="B148" s="6" t="n">
        <f aca="false">B145+C145+D145</f>
        <v>169690</v>
      </c>
      <c r="C148" s="6" t="n">
        <f aca="false">$C$7</f>
        <v>3350</v>
      </c>
      <c r="D148" s="6" t="n">
        <v>10</v>
      </c>
      <c r="E148" s="6" t="n">
        <f aca="false">E145</f>
        <v>1</v>
      </c>
      <c r="F148" s="6" t="n">
        <v>146</v>
      </c>
      <c r="G148" s="36" t="n">
        <f aca="false">$G$7</f>
        <v>690</v>
      </c>
      <c r="H148" s="6" t="n">
        <f aca="false">H147+G148</f>
        <v>169985</v>
      </c>
      <c r="I148" s="23" t="n">
        <v>1</v>
      </c>
      <c r="J148" s="29" t="s">
        <v>14</v>
      </c>
      <c r="K148" s="12" t="s">
        <v>36</v>
      </c>
      <c r="L148" s="12" t="s">
        <v>38</v>
      </c>
      <c r="M148" s="12" t="s">
        <v>54</v>
      </c>
      <c r="O148" s="11" t="n">
        <f aca="false">O145+C145+D145</f>
        <v>169960</v>
      </c>
    </row>
    <row r="149" customFormat="false" ht="12.8" hidden="false" customHeight="false" outlineLevel="0" collapsed="false">
      <c r="A149" s="6" t="n">
        <f aca="false">A146+1</f>
        <v>50</v>
      </c>
      <c r="E149" s="6" t="n">
        <f aca="false">E146</f>
        <v>2</v>
      </c>
      <c r="F149" s="6" t="n">
        <v>147</v>
      </c>
      <c r="G149" s="36" t="n">
        <f aca="false">$G$8</f>
        <v>950</v>
      </c>
      <c r="H149" s="6" t="n">
        <f aca="false">H148+G149</f>
        <v>170935</v>
      </c>
      <c r="J149" s="29" t="s">
        <v>22</v>
      </c>
      <c r="K149" s="31" t="s">
        <v>22</v>
      </c>
      <c r="L149" s="12"/>
      <c r="M149" s="12" t="s">
        <v>22</v>
      </c>
      <c r="P149" s="11" t="n">
        <f aca="false">H149-O148+13</f>
        <v>988</v>
      </c>
      <c r="Q149" s="11" t="n">
        <f aca="false">1600-P149</f>
        <v>612</v>
      </c>
    </row>
    <row r="150" customFormat="false" ht="12.8" hidden="false" customHeight="false" outlineLevel="0" collapsed="false">
      <c r="A150" s="6" t="n">
        <f aca="false">A147+1</f>
        <v>50</v>
      </c>
      <c r="E150" s="6" t="n">
        <f aca="false">E147</f>
        <v>3</v>
      </c>
      <c r="F150" s="6" t="n">
        <v>148</v>
      </c>
      <c r="G150" s="36" t="n">
        <f aca="false">$G$9</f>
        <v>1720</v>
      </c>
      <c r="H150" s="6" t="n">
        <f aca="false">H149+G150</f>
        <v>172655</v>
      </c>
      <c r="J150" s="29" t="s">
        <v>18</v>
      </c>
      <c r="K150" s="12" t="s">
        <v>44</v>
      </c>
      <c r="L150" s="12"/>
      <c r="M150" s="12" t="s">
        <v>52</v>
      </c>
    </row>
    <row r="151" customFormat="false" ht="12.8" hidden="false" customHeight="false" outlineLevel="0" collapsed="false">
      <c r="A151" s="6" t="n">
        <f aca="false">A148+1</f>
        <v>51</v>
      </c>
      <c r="B151" s="6" t="n">
        <f aca="false">B148+C148+D148</f>
        <v>173050</v>
      </c>
      <c r="C151" s="6" t="n">
        <f aca="false">$C$7</f>
        <v>3350</v>
      </c>
      <c r="D151" s="6" t="n">
        <v>10</v>
      </c>
      <c r="E151" s="6" t="n">
        <f aca="false">E148</f>
        <v>1</v>
      </c>
      <c r="F151" s="6" t="n">
        <v>149</v>
      </c>
      <c r="G151" s="36" t="n">
        <f aca="false">$G$7</f>
        <v>690</v>
      </c>
      <c r="H151" s="6" t="n">
        <f aca="false">H150+G151</f>
        <v>173345</v>
      </c>
      <c r="I151" s="23" t="n">
        <v>2</v>
      </c>
      <c r="J151" s="35" t="s">
        <v>16</v>
      </c>
      <c r="K151" s="12" t="s">
        <v>40</v>
      </c>
      <c r="L151" s="12" t="s">
        <v>42</v>
      </c>
      <c r="M151" s="12" t="s">
        <v>57</v>
      </c>
      <c r="O151" s="11" t="n">
        <f aca="false">O148+C148+D148</f>
        <v>173320</v>
      </c>
    </row>
    <row r="152" customFormat="false" ht="12.8" hidden="false" customHeight="false" outlineLevel="0" collapsed="false">
      <c r="A152" s="6" t="n">
        <f aca="false">A149+1</f>
        <v>51</v>
      </c>
      <c r="E152" s="6" t="n">
        <f aca="false">E149</f>
        <v>2</v>
      </c>
      <c r="F152" s="6" t="n">
        <v>150</v>
      </c>
      <c r="G152" s="36" t="n">
        <f aca="false">$G$8</f>
        <v>950</v>
      </c>
      <c r="H152" s="6" t="n">
        <f aca="false">H151+G152</f>
        <v>174295</v>
      </c>
      <c r="J152" s="35" t="s">
        <v>22</v>
      </c>
      <c r="K152" s="19" t="s">
        <v>22</v>
      </c>
      <c r="L152" s="12"/>
      <c r="M152" s="12" t="s">
        <v>22</v>
      </c>
      <c r="P152" s="11" t="n">
        <f aca="false">H152-O151+13</f>
        <v>988</v>
      </c>
      <c r="Q152" s="11" t="n">
        <f aca="false">1600-P152</f>
        <v>612</v>
      </c>
    </row>
    <row r="153" customFormat="false" ht="12.8" hidden="false" customHeight="false" outlineLevel="0" collapsed="false">
      <c r="A153" s="6" t="n">
        <f aca="false">A150+1</f>
        <v>51</v>
      </c>
      <c r="E153" s="6" t="n">
        <f aca="false">E150</f>
        <v>3</v>
      </c>
      <c r="F153" s="6" t="n">
        <v>151</v>
      </c>
      <c r="G153" s="36" t="n">
        <f aca="false">$G$9</f>
        <v>1720</v>
      </c>
      <c r="H153" s="6" t="n">
        <f aca="false">H152+G153</f>
        <v>176015</v>
      </c>
      <c r="J153" s="35" t="s">
        <v>18</v>
      </c>
      <c r="K153" s="12" t="s">
        <v>44</v>
      </c>
      <c r="L153" s="12"/>
      <c r="M153" s="12" t="s">
        <v>52</v>
      </c>
    </row>
    <row r="154" customFormat="false" ht="12.8" hidden="false" customHeight="false" outlineLevel="0" collapsed="false">
      <c r="A154" s="6" t="n">
        <f aca="false">A151+1</f>
        <v>52</v>
      </c>
      <c r="B154" s="6" t="n">
        <f aca="false">B151+C151+D151</f>
        <v>176410</v>
      </c>
      <c r="C154" s="6" t="n">
        <f aca="false">$C$7</f>
        <v>3350</v>
      </c>
      <c r="D154" s="6" t="n">
        <v>10</v>
      </c>
      <c r="E154" s="6" t="n">
        <f aca="false">E151</f>
        <v>1</v>
      </c>
      <c r="F154" s="6" t="n">
        <v>152</v>
      </c>
      <c r="G154" s="36" t="n">
        <f aca="false">$G$7</f>
        <v>690</v>
      </c>
      <c r="H154" s="6" t="n">
        <f aca="false">H153+G154</f>
        <v>176705</v>
      </c>
      <c r="I154" s="23" t="n">
        <v>1</v>
      </c>
      <c r="J154" s="29" t="s">
        <v>14</v>
      </c>
      <c r="K154" s="12" t="s">
        <v>36</v>
      </c>
      <c r="L154" s="12" t="s">
        <v>38</v>
      </c>
      <c r="M154" s="12" t="s">
        <v>54</v>
      </c>
      <c r="O154" s="11" t="n">
        <f aca="false">O151+C151+D151</f>
        <v>176680</v>
      </c>
    </row>
    <row r="155" customFormat="false" ht="12.8" hidden="false" customHeight="false" outlineLevel="0" collapsed="false">
      <c r="A155" s="6" t="n">
        <f aca="false">A152+1</f>
        <v>52</v>
      </c>
      <c r="E155" s="6" t="n">
        <f aca="false">E152</f>
        <v>2</v>
      </c>
      <c r="F155" s="6" t="n">
        <v>153</v>
      </c>
      <c r="G155" s="36" t="n">
        <f aca="false">$G$8</f>
        <v>950</v>
      </c>
      <c r="H155" s="6" t="n">
        <f aca="false">H154+G155</f>
        <v>177655</v>
      </c>
      <c r="J155" s="29" t="s">
        <v>22</v>
      </c>
      <c r="K155" s="31" t="s">
        <v>22</v>
      </c>
      <c r="L155" s="12"/>
      <c r="M155" s="12" t="s">
        <v>22</v>
      </c>
      <c r="P155" s="11" t="n">
        <f aca="false">H155-O154+13</f>
        <v>988</v>
      </c>
      <c r="Q155" s="11" t="n">
        <f aca="false">1600-P155</f>
        <v>612</v>
      </c>
    </row>
    <row r="156" customFormat="false" ht="12.8" hidden="false" customHeight="false" outlineLevel="0" collapsed="false">
      <c r="A156" s="6" t="n">
        <f aca="false">A153+1</f>
        <v>52</v>
      </c>
      <c r="E156" s="6" t="n">
        <f aca="false">E153</f>
        <v>3</v>
      </c>
      <c r="F156" s="6" t="n">
        <v>154</v>
      </c>
      <c r="G156" s="36" t="n">
        <f aca="false">$G$9</f>
        <v>1720</v>
      </c>
      <c r="H156" s="6" t="n">
        <f aca="false">H155+G156</f>
        <v>179375</v>
      </c>
      <c r="J156" s="29" t="s">
        <v>18</v>
      </c>
      <c r="K156" s="12" t="s">
        <v>44</v>
      </c>
      <c r="L156" s="12"/>
      <c r="M156" s="12" t="s">
        <v>52</v>
      </c>
    </row>
    <row r="157" customFormat="false" ht="12.8" hidden="false" customHeight="false" outlineLevel="0" collapsed="false">
      <c r="A157" s="6" t="n">
        <f aca="false">A154+1</f>
        <v>53</v>
      </c>
      <c r="B157" s="6" t="n">
        <f aca="false">B154+C154+D154</f>
        <v>179770</v>
      </c>
      <c r="C157" s="6" t="n">
        <f aca="false">$C$7</f>
        <v>3350</v>
      </c>
      <c r="D157" s="6" t="n">
        <v>10</v>
      </c>
      <c r="E157" s="6" t="n">
        <f aca="false">E154</f>
        <v>1</v>
      </c>
      <c r="F157" s="6" t="n">
        <v>155</v>
      </c>
      <c r="G157" s="36" t="n">
        <f aca="false">$G$7</f>
        <v>690</v>
      </c>
      <c r="H157" s="6" t="n">
        <f aca="false">H156+G157</f>
        <v>180065</v>
      </c>
      <c r="I157" s="23" t="n">
        <v>2</v>
      </c>
      <c r="J157" s="35" t="s">
        <v>16</v>
      </c>
      <c r="K157" s="12" t="s">
        <v>40</v>
      </c>
      <c r="L157" s="12" t="s">
        <v>42</v>
      </c>
      <c r="M157" s="12" t="s">
        <v>57</v>
      </c>
      <c r="O157" s="11" t="n">
        <f aca="false">O154+C154+D154</f>
        <v>180040</v>
      </c>
    </row>
    <row r="158" customFormat="false" ht="12.8" hidden="false" customHeight="false" outlineLevel="0" collapsed="false">
      <c r="A158" s="6" t="n">
        <f aca="false">A155+1</f>
        <v>53</v>
      </c>
      <c r="E158" s="6" t="n">
        <f aca="false">E155</f>
        <v>2</v>
      </c>
      <c r="F158" s="6" t="n">
        <v>156</v>
      </c>
      <c r="G158" s="36" t="n">
        <f aca="false">$G$8</f>
        <v>950</v>
      </c>
      <c r="H158" s="6" t="n">
        <f aca="false">H157+G158</f>
        <v>181015</v>
      </c>
      <c r="J158" s="35" t="s">
        <v>22</v>
      </c>
      <c r="K158" s="19" t="s">
        <v>22</v>
      </c>
      <c r="L158" s="12"/>
      <c r="M158" s="12" t="s">
        <v>22</v>
      </c>
      <c r="P158" s="11" t="n">
        <f aca="false">H158-O157+13</f>
        <v>988</v>
      </c>
      <c r="Q158" s="11" t="n">
        <f aca="false">1600-P158</f>
        <v>612</v>
      </c>
    </row>
    <row r="159" customFormat="false" ht="12.8" hidden="false" customHeight="false" outlineLevel="0" collapsed="false">
      <c r="A159" s="6" t="n">
        <f aca="false">A156+1</f>
        <v>53</v>
      </c>
      <c r="E159" s="6" t="n">
        <f aca="false">E156</f>
        <v>3</v>
      </c>
      <c r="F159" s="6" t="n">
        <v>157</v>
      </c>
      <c r="G159" s="36" t="n">
        <f aca="false">$G$9</f>
        <v>1720</v>
      </c>
      <c r="H159" s="6" t="n">
        <f aca="false">H158+G159</f>
        <v>182735</v>
      </c>
      <c r="J159" s="35" t="s">
        <v>18</v>
      </c>
      <c r="K159" s="12" t="s">
        <v>44</v>
      </c>
      <c r="L159" s="12"/>
      <c r="M159" s="12" t="s">
        <v>52</v>
      </c>
    </row>
    <row r="160" customFormat="false" ht="12.8" hidden="false" customHeight="false" outlineLevel="0" collapsed="false">
      <c r="A160" s="6" t="n">
        <f aca="false">A157+1</f>
        <v>54</v>
      </c>
      <c r="B160" s="6" t="n">
        <f aca="false">B157+C157+D157</f>
        <v>183130</v>
      </c>
      <c r="C160" s="6" t="n">
        <f aca="false">$C$7</f>
        <v>3350</v>
      </c>
      <c r="D160" s="6" t="n">
        <v>10</v>
      </c>
      <c r="E160" s="6" t="n">
        <f aca="false">E157</f>
        <v>1</v>
      </c>
      <c r="F160" s="6" t="n">
        <v>158</v>
      </c>
      <c r="G160" s="36" t="n">
        <f aca="false">$G$7</f>
        <v>690</v>
      </c>
      <c r="H160" s="6" t="n">
        <f aca="false">H159+G160</f>
        <v>183425</v>
      </c>
      <c r="I160" s="23" t="n">
        <v>1</v>
      </c>
      <c r="J160" s="29" t="s">
        <v>14</v>
      </c>
      <c r="K160" s="12" t="s">
        <v>36</v>
      </c>
      <c r="L160" s="12" t="s">
        <v>38</v>
      </c>
      <c r="M160" s="12" t="s">
        <v>54</v>
      </c>
      <c r="O160" s="11" t="n">
        <f aca="false">O157+C157+D157</f>
        <v>183400</v>
      </c>
    </row>
    <row r="161" customFormat="false" ht="12.8" hidden="false" customHeight="false" outlineLevel="0" collapsed="false">
      <c r="A161" s="6" t="n">
        <f aca="false">A158+1</f>
        <v>54</v>
      </c>
      <c r="E161" s="6" t="n">
        <f aca="false">E158</f>
        <v>2</v>
      </c>
      <c r="F161" s="6" t="n">
        <v>159</v>
      </c>
      <c r="G161" s="36" t="n">
        <f aca="false">$G$8</f>
        <v>950</v>
      </c>
      <c r="H161" s="6" t="n">
        <f aca="false">H160+G161</f>
        <v>184375</v>
      </c>
      <c r="J161" s="29" t="s">
        <v>22</v>
      </c>
      <c r="K161" s="31" t="s">
        <v>22</v>
      </c>
      <c r="L161" s="12"/>
      <c r="M161" s="12" t="s">
        <v>22</v>
      </c>
      <c r="P161" s="11" t="n">
        <f aca="false">H161-O160+13</f>
        <v>988</v>
      </c>
      <c r="Q161" s="11" t="n">
        <f aca="false">1600-P161</f>
        <v>612</v>
      </c>
    </row>
    <row r="162" customFormat="false" ht="12.8" hidden="false" customHeight="false" outlineLevel="0" collapsed="false">
      <c r="A162" s="6" t="n">
        <f aca="false">A159+1</f>
        <v>54</v>
      </c>
      <c r="E162" s="6" t="n">
        <f aca="false">E159</f>
        <v>3</v>
      </c>
      <c r="F162" s="6" t="n">
        <v>160</v>
      </c>
      <c r="G162" s="36" t="n">
        <f aca="false">$G$9</f>
        <v>1720</v>
      </c>
      <c r="H162" s="6" t="n">
        <f aca="false">H161+G162</f>
        <v>186095</v>
      </c>
      <c r="J162" s="29" t="s">
        <v>18</v>
      </c>
      <c r="K162" s="12" t="s">
        <v>44</v>
      </c>
      <c r="L162" s="12"/>
      <c r="M162" s="12" t="s">
        <v>52</v>
      </c>
    </row>
    <row r="163" customFormat="false" ht="12.8" hidden="false" customHeight="false" outlineLevel="0" collapsed="false">
      <c r="A163" s="6" t="n">
        <f aca="false">A160+1</f>
        <v>55</v>
      </c>
      <c r="B163" s="6" t="n">
        <f aca="false">B160+C160+D160</f>
        <v>186490</v>
      </c>
      <c r="C163" s="6" t="n">
        <f aca="false">$C$7</f>
        <v>3350</v>
      </c>
      <c r="D163" s="6" t="n">
        <v>10</v>
      </c>
      <c r="E163" s="6" t="n">
        <f aca="false">E160</f>
        <v>1</v>
      </c>
      <c r="F163" s="6" t="n">
        <v>161</v>
      </c>
      <c r="G163" s="36" t="n">
        <f aca="false">$G$7</f>
        <v>690</v>
      </c>
      <c r="H163" s="6" t="n">
        <f aca="false">H162+G163</f>
        <v>186785</v>
      </c>
      <c r="I163" s="23" t="n">
        <v>2</v>
      </c>
      <c r="J163" s="35" t="s">
        <v>16</v>
      </c>
      <c r="K163" s="12" t="s">
        <v>40</v>
      </c>
      <c r="L163" s="12" t="s">
        <v>42</v>
      </c>
      <c r="M163" s="12" t="s">
        <v>57</v>
      </c>
      <c r="O163" s="11" t="n">
        <f aca="false">O160+C160+D160</f>
        <v>186760</v>
      </c>
    </row>
    <row r="164" customFormat="false" ht="12.8" hidden="false" customHeight="false" outlineLevel="0" collapsed="false">
      <c r="A164" s="6" t="n">
        <f aca="false">A161+1</f>
        <v>55</v>
      </c>
      <c r="E164" s="6" t="n">
        <f aca="false">E161</f>
        <v>2</v>
      </c>
      <c r="F164" s="6" t="n">
        <v>162</v>
      </c>
      <c r="G164" s="36" t="n">
        <f aca="false">$G$8</f>
        <v>950</v>
      </c>
      <c r="H164" s="6" t="n">
        <f aca="false">H163+G164</f>
        <v>187735</v>
      </c>
      <c r="J164" s="35" t="s">
        <v>22</v>
      </c>
      <c r="K164" s="19" t="s">
        <v>22</v>
      </c>
      <c r="L164" s="12"/>
      <c r="M164" s="12" t="s">
        <v>22</v>
      </c>
      <c r="P164" s="11" t="n">
        <f aca="false">H164-O163+13</f>
        <v>988</v>
      </c>
      <c r="Q164" s="11" t="n">
        <f aca="false">1600-P164</f>
        <v>612</v>
      </c>
    </row>
    <row r="165" customFormat="false" ht="12.8" hidden="false" customHeight="false" outlineLevel="0" collapsed="false">
      <c r="A165" s="6" t="n">
        <f aca="false">A162+1</f>
        <v>55</v>
      </c>
      <c r="E165" s="6" t="n">
        <f aca="false">E162</f>
        <v>3</v>
      </c>
      <c r="F165" s="6" t="n">
        <v>163</v>
      </c>
      <c r="G165" s="36" t="n">
        <f aca="false">$G$9</f>
        <v>1720</v>
      </c>
      <c r="H165" s="6" t="n">
        <f aca="false">H164+G165</f>
        <v>189455</v>
      </c>
      <c r="J165" s="35" t="s">
        <v>18</v>
      </c>
      <c r="K165" s="12" t="s">
        <v>44</v>
      </c>
      <c r="L165" s="12"/>
      <c r="M165" s="12" t="s">
        <v>52</v>
      </c>
    </row>
    <row r="166" customFormat="false" ht="12.8" hidden="false" customHeight="false" outlineLevel="0" collapsed="false">
      <c r="A166" s="6" t="n">
        <f aca="false">A163+1</f>
        <v>56</v>
      </c>
      <c r="B166" s="6" t="n">
        <f aca="false">B163+C163+D163</f>
        <v>189850</v>
      </c>
      <c r="C166" s="6" t="n">
        <f aca="false">$C$7</f>
        <v>3350</v>
      </c>
      <c r="D166" s="6" t="n">
        <v>10</v>
      </c>
      <c r="E166" s="6" t="n">
        <f aca="false">E163</f>
        <v>1</v>
      </c>
      <c r="F166" s="6" t="n">
        <v>164</v>
      </c>
      <c r="G166" s="36" t="n">
        <f aca="false">$G$7</f>
        <v>690</v>
      </c>
      <c r="H166" s="6" t="n">
        <f aca="false">H165+G166</f>
        <v>190145</v>
      </c>
      <c r="I166" s="23" t="n">
        <v>1</v>
      </c>
      <c r="J166" s="29" t="s">
        <v>14</v>
      </c>
      <c r="K166" s="12" t="s">
        <v>36</v>
      </c>
      <c r="L166" s="12" t="s">
        <v>38</v>
      </c>
      <c r="M166" s="12" t="s">
        <v>54</v>
      </c>
      <c r="O166" s="11" t="n">
        <f aca="false">O163+C163+D163</f>
        <v>190120</v>
      </c>
    </row>
    <row r="167" customFormat="false" ht="12.8" hidden="false" customHeight="false" outlineLevel="0" collapsed="false">
      <c r="A167" s="6" t="n">
        <f aca="false">A164+1</f>
        <v>56</v>
      </c>
      <c r="E167" s="6" t="n">
        <f aca="false">E164</f>
        <v>2</v>
      </c>
      <c r="F167" s="6" t="n">
        <v>165</v>
      </c>
      <c r="G167" s="36" t="n">
        <f aca="false">$G$8</f>
        <v>950</v>
      </c>
      <c r="H167" s="6" t="n">
        <f aca="false">H166+G167</f>
        <v>191095</v>
      </c>
      <c r="J167" s="29" t="s">
        <v>22</v>
      </c>
      <c r="K167" s="31" t="s">
        <v>22</v>
      </c>
      <c r="L167" s="12"/>
      <c r="M167" s="12" t="s">
        <v>22</v>
      </c>
      <c r="P167" s="11" t="n">
        <f aca="false">H167-O166+13</f>
        <v>988</v>
      </c>
      <c r="Q167" s="11" t="n">
        <f aca="false">1600-P167</f>
        <v>612</v>
      </c>
    </row>
    <row r="168" customFormat="false" ht="12.8" hidden="false" customHeight="false" outlineLevel="0" collapsed="false">
      <c r="A168" s="6" t="n">
        <f aca="false">A165+1</f>
        <v>56</v>
      </c>
      <c r="E168" s="6" t="n">
        <f aca="false">E165</f>
        <v>3</v>
      </c>
      <c r="F168" s="6" t="n">
        <v>166</v>
      </c>
      <c r="G168" s="36" t="n">
        <f aca="false">$G$9</f>
        <v>1720</v>
      </c>
      <c r="H168" s="6" t="n">
        <f aca="false">H167+G168</f>
        <v>192815</v>
      </c>
      <c r="J168" s="29" t="s">
        <v>18</v>
      </c>
      <c r="K168" s="12" t="s">
        <v>44</v>
      </c>
      <c r="L168" s="12"/>
      <c r="M168" s="12" t="s">
        <v>52</v>
      </c>
    </row>
    <row r="169" customFormat="false" ht="12.8" hidden="false" customHeight="false" outlineLevel="0" collapsed="false">
      <c r="A169" s="6" t="n">
        <f aca="false">A166+1</f>
        <v>57</v>
      </c>
      <c r="B169" s="6" t="n">
        <f aca="false">B166+C166+D166</f>
        <v>193210</v>
      </c>
      <c r="C169" s="28" t="n">
        <v>5360</v>
      </c>
      <c r="D169" s="6" t="n">
        <v>10</v>
      </c>
      <c r="E169" s="6" t="n">
        <f aca="false">E166</f>
        <v>1</v>
      </c>
      <c r="F169" s="6" t="n">
        <v>167</v>
      </c>
      <c r="G169" s="38" t="n">
        <v>690</v>
      </c>
      <c r="H169" s="6" t="n">
        <f aca="false">H168+G169</f>
        <v>193505</v>
      </c>
      <c r="I169" s="23" t="n">
        <v>2</v>
      </c>
      <c r="J169" s="39" t="s">
        <v>17</v>
      </c>
      <c r="K169" s="21" t="s">
        <v>41</v>
      </c>
      <c r="L169" s="21" t="s">
        <v>43</v>
      </c>
      <c r="M169" s="17" t="s">
        <v>58</v>
      </c>
      <c r="O169" s="11" t="n">
        <f aca="false">O166+C166+D166</f>
        <v>193480</v>
      </c>
    </row>
    <row r="170" customFormat="false" ht="12.8" hidden="false" customHeight="false" outlineLevel="0" collapsed="false">
      <c r="A170" s="6" t="n">
        <f aca="false">A167+1</f>
        <v>57</v>
      </c>
      <c r="E170" s="6" t="n">
        <f aca="false">E167</f>
        <v>2</v>
      </c>
      <c r="F170" s="6" t="n">
        <v>168</v>
      </c>
      <c r="G170" s="38" t="n">
        <v>950</v>
      </c>
      <c r="H170" s="6" t="n">
        <f aca="false">H169+G170</f>
        <v>194455</v>
      </c>
      <c r="J170" s="39" t="s">
        <v>22</v>
      </c>
      <c r="K170" s="40" t="s">
        <v>22</v>
      </c>
      <c r="L170" s="12"/>
      <c r="M170" s="12" t="s">
        <v>22</v>
      </c>
      <c r="P170" s="11" t="n">
        <f aca="false">H170-O169+13</f>
        <v>988</v>
      </c>
      <c r="Q170" s="11" t="n">
        <f aca="false">1600-P170</f>
        <v>612</v>
      </c>
    </row>
    <row r="171" customFormat="false" ht="12.8" hidden="false" customHeight="false" outlineLevel="0" collapsed="false">
      <c r="A171" s="6" t="n">
        <f aca="false">A168+1</f>
        <v>57</v>
      </c>
      <c r="E171" s="6" t="n">
        <f aca="false">E168</f>
        <v>3</v>
      </c>
      <c r="F171" s="6" t="n">
        <v>169</v>
      </c>
      <c r="G171" s="38" t="n">
        <v>2240</v>
      </c>
      <c r="H171" s="6" t="n">
        <f aca="false">H170+G171</f>
        <v>196695</v>
      </c>
      <c r="J171" s="39" t="s">
        <v>18</v>
      </c>
      <c r="K171" s="21" t="s">
        <v>45</v>
      </c>
      <c r="L171" s="12"/>
      <c r="M171" s="17" t="s">
        <v>53</v>
      </c>
    </row>
    <row r="172" customFormat="false" ht="12.8" hidden="false" customHeight="false" outlineLevel="0" collapsed="false">
      <c r="A172" s="6" t="n">
        <v>57</v>
      </c>
      <c r="E172" s="37" t="n">
        <v>4</v>
      </c>
      <c r="F172" s="6" t="n">
        <v>170</v>
      </c>
      <c r="G172" s="38" t="n">
        <v>1850</v>
      </c>
      <c r="H172" s="6" t="n">
        <f aca="false">H171+G172</f>
        <v>198545</v>
      </c>
      <c r="I172" s="23" t="n">
        <v>2</v>
      </c>
      <c r="J172" s="27" t="s">
        <v>20</v>
      </c>
      <c r="K172" s="12" t="s">
        <v>44</v>
      </c>
      <c r="L172" s="12"/>
      <c r="M172" s="3"/>
    </row>
    <row r="173" customFormat="false" ht="12.8" hidden="false" customHeight="true" outlineLevel="0" collapsed="false">
      <c r="J173" s="6"/>
      <c r="K173" s="12"/>
      <c r="L173" s="12"/>
      <c r="M173" s="12"/>
    </row>
  </sheetData>
  <sheetProtection sheet="true" objects="true" scenarios="true" autoFilter="false"/>
  <autoFilter ref="A1:Q172"/>
  <dataValidations count="5">
    <dataValidation allowBlank="true" errorStyle="stop" operator="equal" showDropDown="false" showErrorMessage="true" showInputMessage="false" sqref="M172 J173:M173" type="list">
      <formula1>#ref!</formula1>
      <formula2>0</formula2>
    </dataValidation>
    <dataValidation allowBlank="true" errorStyle="stop" operator="equal" showDropDown="false" showErrorMessage="true" showInputMessage="false" sqref="K2:K172" type="list">
      <formula1>Data!$F$2:$F$25</formula1>
      <formula2>0</formula2>
    </dataValidation>
    <dataValidation allowBlank="true" errorStyle="stop" operator="equal" showDropDown="false" showErrorMessage="true" showInputMessage="false" sqref="L2:L172" type="list">
      <formula1>Data!$H$2:$H$25</formula1>
      <formula2>0</formula2>
    </dataValidation>
    <dataValidation allowBlank="true" errorStyle="stop" operator="equal" showDropDown="false" showErrorMessage="true" showInputMessage="false" sqref="J2:J172" type="list">
      <formula1>Data!$D$2:$D$25</formula1>
      <formula2>0</formula2>
    </dataValidation>
    <dataValidation allowBlank="true" errorStyle="stop" operator="equal" showDropDown="false" showErrorMessage="true" showInputMessage="false" sqref="M2:M171" type="list">
      <formula1>Data!$T$2:$T$26</formula1>
      <formula2>0</formula2>
    </dataValidation>
  </dataValidations>
  <printOptions headings="false" gridLines="false" gridLinesSet="true" horizontalCentered="false" verticalCentered="false"/>
  <pageMargins left="0.7875" right="0.7875" top="1.05277777777778" bottom="1.05277777777778" header="0.7875" footer="0.7875"/>
  <pageSetup paperSize="9" scale="100" fitToWidth="1" fitToHeight="1" pageOrder="downThenOver" orientation="portrait" blackAndWhite="false" draft="false" cellComments="none" horizontalDpi="300" verticalDpi="300" copies="1"/>
  <headerFooter differentFirst="false" differentOddEven="false">
    <oddHeader>&amp;C&amp;"Times New Roman,Обычный"&amp;12&amp;A</oddHeader>
    <oddFooter>&amp;C&amp;"Times New Roman,Обычный"&amp;12Страница &amp;P</oddFooter>
  </headerFooter>
  <drawing r:id="rId1"/>
</worksheet>
</file>

<file path=xl/worksheets/sheet6.xml><?xml version="1.0" encoding="utf-8"?>
<worksheet xmlns="http://schemas.openxmlformats.org/spreadsheetml/2006/main" xmlns:r="http://schemas.openxmlformats.org/officeDocument/2006/relationships" xmlns:xdr="http://schemas.openxmlformats.org/drawingml/2006/spreadsheetDrawing" xmlns:x14="http://schemas.microsoft.com/office/spreadsheetml/2009/9/main" xmlns:xr2="http://schemas.microsoft.com/office/spreadsheetml/2015/revision2" xmlns:mc="http://schemas.openxmlformats.org/markup-compatibility/2006">
  <sheetPr filterMode="false">
    <pageSetUpPr fitToPage="false"/>
  </sheetPr>
  <dimension ref="A1:D30"/>
  <sheetViews>
    <sheetView showFormulas="false" showGridLines="true" showRowColHeaders="true" showZeros="true" rightToLeft="false" tabSelected="false" showOutlineSymbols="true" defaultGridColor="true" view="normal" topLeftCell="A1" colorId="64" zoomScale="100" zoomScaleNormal="100" zoomScalePageLayoutView="100" workbookViewId="0">
      <selection pane="topLeft" activeCell="J38" activeCellId="1" sqref="A2:K31 J38"/>
    </sheetView>
  </sheetViews>
  <sheetFormatPr defaultColWidth="11.53515625" defaultRowHeight="12.8" customHeight="true" zeroHeight="false" outlineLevelRow="0" outlineLevelCol="0"/>
  <cols>
    <col collapsed="false" customWidth="true" hidden="false" outlineLevel="0" max="2" min="2" style="11" width="15.99"/>
    <col collapsed="false" customWidth="true" hidden="false" outlineLevel="0" max="3" min="3" style="11" width="15.3"/>
    <col collapsed="false" customWidth="true" hidden="false" outlineLevel="0" max="4" min="4" style="11" width="18.22"/>
  </cols>
  <sheetData>
    <row r="1" customFormat="false" ht="12.8" hidden="false" customHeight="false" outlineLevel="0" collapsed="false">
      <c r="A1" s="2" t="s">
        <v>13</v>
      </c>
      <c r="B1" s="2" t="s">
        <v>88</v>
      </c>
      <c r="C1" s="2" t="s">
        <v>89</v>
      </c>
      <c r="D1" s="2" t="s">
        <v>90</v>
      </c>
    </row>
    <row r="2" customFormat="false" ht="12.8" hidden="false" customHeight="false" outlineLevel="0" collapsed="false">
      <c r="A2" s="41" t="n">
        <v>1</v>
      </c>
      <c r="B2" s="41" t="n">
        <v>1</v>
      </c>
      <c r="C2" s="41" t="n">
        <v>4</v>
      </c>
      <c r="D2" s="41" t="n">
        <v>1</v>
      </c>
    </row>
    <row r="3" customFormat="false" ht="12.8" hidden="false" customHeight="false" outlineLevel="0" collapsed="false">
      <c r="A3" s="11" t="n">
        <v>2</v>
      </c>
      <c r="B3" s="11" t="n">
        <v>1</v>
      </c>
      <c r="C3" s="11" t="n">
        <v>4</v>
      </c>
      <c r="D3" s="11" t="n">
        <v>1</v>
      </c>
    </row>
    <row r="4" customFormat="false" ht="12.8" hidden="false" customHeight="false" outlineLevel="0" collapsed="false">
      <c r="A4" s="11" t="n">
        <v>3</v>
      </c>
      <c r="B4" s="11" t="n">
        <v>1</v>
      </c>
      <c r="C4" s="11" t="n">
        <v>4</v>
      </c>
      <c r="D4" s="11" t="n">
        <v>1</v>
      </c>
    </row>
    <row r="5" customFormat="false" ht="12.8" hidden="false" customHeight="false" outlineLevel="0" collapsed="false">
      <c r="A5" s="11" t="n">
        <v>4</v>
      </c>
      <c r="B5" s="11" t="n">
        <v>1</v>
      </c>
      <c r="C5" s="11" t="n">
        <v>4</v>
      </c>
      <c r="D5" s="11" t="n">
        <v>1</v>
      </c>
    </row>
    <row r="6" customFormat="false" ht="12.8" hidden="false" customHeight="false" outlineLevel="0" collapsed="false">
      <c r="A6" s="41" t="n">
        <v>5</v>
      </c>
      <c r="B6" s="41" t="n">
        <v>5</v>
      </c>
      <c r="C6" s="41" t="n">
        <v>8</v>
      </c>
      <c r="D6" s="41" t="n">
        <v>2</v>
      </c>
    </row>
    <row r="7" customFormat="false" ht="12.8" hidden="false" customHeight="false" outlineLevel="0" collapsed="false">
      <c r="A7" s="11" t="n">
        <v>6</v>
      </c>
      <c r="B7" s="11" t="n">
        <v>5</v>
      </c>
      <c r="C7" s="11" t="n">
        <v>8</v>
      </c>
      <c r="D7" s="11" t="n">
        <v>2</v>
      </c>
    </row>
    <row r="8" customFormat="false" ht="12.8" hidden="false" customHeight="false" outlineLevel="0" collapsed="false">
      <c r="A8" s="11" t="n">
        <v>7</v>
      </c>
      <c r="B8" s="11" t="n">
        <v>5</v>
      </c>
      <c r="C8" s="11" t="n">
        <v>8</v>
      </c>
      <c r="D8" s="11" t="n">
        <v>2</v>
      </c>
    </row>
    <row r="9" customFormat="false" ht="12.8" hidden="false" customHeight="false" outlineLevel="0" collapsed="false">
      <c r="A9" s="11" t="n">
        <v>8</v>
      </c>
      <c r="B9" s="11" t="n">
        <v>5</v>
      </c>
      <c r="C9" s="11" t="n">
        <v>8</v>
      </c>
      <c r="D9" s="11" t="n">
        <v>2</v>
      </c>
    </row>
    <row r="10" customFormat="false" ht="12.8" hidden="false" customHeight="false" outlineLevel="0" collapsed="false">
      <c r="A10" s="41" t="n">
        <v>9</v>
      </c>
      <c r="B10" s="41" t="n">
        <v>9</v>
      </c>
      <c r="C10" s="41" t="n">
        <v>13</v>
      </c>
      <c r="D10" s="41" t="n">
        <v>3</v>
      </c>
    </row>
    <row r="11" customFormat="false" ht="12.8" hidden="false" customHeight="false" outlineLevel="0" collapsed="false">
      <c r="A11" s="11" t="n">
        <v>10</v>
      </c>
      <c r="B11" s="11" t="n">
        <v>9</v>
      </c>
      <c r="C11" s="11" t="n">
        <v>13</v>
      </c>
      <c r="D11" s="11" t="n">
        <v>3</v>
      </c>
    </row>
    <row r="12" customFormat="false" ht="12.8" hidden="false" customHeight="false" outlineLevel="0" collapsed="false">
      <c r="A12" s="11" t="n">
        <v>11</v>
      </c>
      <c r="B12" s="11" t="n">
        <v>9</v>
      </c>
      <c r="C12" s="11" t="n">
        <v>13</v>
      </c>
      <c r="D12" s="11" t="n">
        <v>3</v>
      </c>
    </row>
    <row r="13" customFormat="false" ht="12.8" hidden="false" customHeight="false" outlineLevel="0" collapsed="false">
      <c r="A13" s="11" t="n">
        <v>12</v>
      </c>
      <c r="B13" s="11" t="n">
        <v>9</v>
      </c>
      <c r="C13" s="11" t="n">
        <v>13</v>
      </c>
      <c r="D13" s="11" t="n">
        <v>3</v>
      </c>
    </row>
    <row r="14" customFormat="false" ht="12.8" hidden="false" customHeight="false" outlineLevel="0" collapsed="false">
      <c r="A14" s="11" t="n">
        <v>13</v>
      </c>
      <c r="B14" s="11" t="n">
        <v>9</v>
      </c>
      <c r="C14" s="11" t="n">
        <v>13</v>
      </c>
      <c r="D14" s="11" t="n">
        <v>3</v>
      </c>
    </row>
    <row r="15" customFormat="false" ht="12.8" hidden="false" customHeight="false" outlineLevel="0" collapsed="false">
      <c r="A15" s="41" t="n">
        <v>14</v>
      </c>
      <c r="B15" s="41" t="n">
        <v>14</v>
      </c>
      <c r="C15" s="41" t="n">
        <v>16</v>
      </c>
      <c r="D15" s="41" t="n">
        <v>4</v>
      </c>
    </row>
    <row r="16" customFormat="false" ht="12.8" hidden="false" customHeight="false" outlineLevel="0" collapsed="false">
      <c r="A16" s="11" t="n">
        <v>15</v>
      </c>
      <c r="B16" s="11" t="n">
        <v>14</v>
      </c>
      <c r="C16" s="11" t="n">
        <v>16</v>
      </c>
      <c r="D16" s="11" t="n">
        <v>4</v>
      </c>
    </row>
    <row r="17" customFormat="false" ht="12.8" hidden="false" customHeight="false" outlineLevel="0" collapsed="false">
      <c r="A17" s="11" t="n">
        <v>16</v>
      </c>
      <c r="B17" s="11" t="n">
        <v>14</v>
      </c>
      <c r="C17" s="11" t="n">
        <v>16</v>
      </c>
      <c r="D17" s="11" t="n">
        <v>4</v>
      </c>
    </row>
    <row r="18" customFormat="false" ht="12.8" hidden="false" customHeight="false" outlineLevel="0" collapsed="false">
      <c r="A18" s="41" t="n">
        <v>17</v>
      </c>
      <c r="B18" s="41" t="n">
        <v>17</v>
      </c>
      <c r="C18" s="41" t="n">
        <v>21</v>
      </c>
      <c r="D18" s="41" t="n">
        <v>5</v>
      </c>
    </row>
    <row r="19" customFormat="false" ht="12.8" hidden="false" customHeight="false" outlineLevel="0" collapsed="false">
      <c r="A19" s="11" t="n">
        <v>18</v>
      </c>
      <c r="B19" s="11" t="n">
        <v>17</v>
      </c>
      <c r="C19" s="11" t="n">
        <v>21</v>
      </c>
      <c r="D19" s="11" t="n">
        <v>5</v>
      </c>
    </row>
    <row r="20" customFormat="false" ht="12.8" hidden="false" customHeight="false" outlineLevel="0" collapsed="false">
      <c r="A20" s="11" t="n">
        <v>19</v>
      </c>
      <c r="B20" s="11" t="n">
        <v>17</v>
      </c>
      <c r="C20" s="11" t="n">
        <v>21</v>
      </c>
      <c r="D20" s="11" t="n">
        <v>5</v>
      </c>
    </row>
    <row r="21" customFormat="false" ht="12.8" hidden="false" customHeight="false" outlineLevel="0" collapsed="false">
      <c r="A21" s="11" t="n">
        <v>20</v>
      </c>
      <c r="B21" s="11" t="n">
        <v>17</v>
      </c>
      <c r="C21" s="11" t="n">
        <v>21</v>
      </c>
      <c r="D21" s="11" t="n">
        <v>5</v>
      </c>
    </row>
    <row r="22" customFormat="false" ht="12.8" hidden="false" customHeight="false" outlineLevel="0" collapsed="false">
      <c r="A22" s="11" t="n">
        <v>21</v>
      </c>
      <c r="B22" s="11" t="n">
        <v>17</v>
      </c>
      <c r="C22" s="11" t="n">
        <v>21</v>
      </c>
      <c r="D22" s="11" t="n">
        <v>5</v>
      </c>
    </row>
    <row r="23" customFormat="false" ht="12.8" hidden="false" customHeight="false" outlineLevel="0" collapsed="false">
      <c r="A23" s="41" t="n">
        <v>22</v>
      </c>
      <c r="B23" s="41" t="n">
        <v>22</v>
      </c>
      <c r="C23" s="41" t="n">
        <v>25</v>
      </c>
      <c r="D23" s="41" t="n">
        <v>6</v>
      </c>
    </row>
    <row r="24" customFormat="false" ht="12.8" hidden="false" customHeight="false" outlineLevel="0" collapsed="false">
      <c r="A24" s="11" t="n">
        <v>23</v>
      </c>
      <c r="B24" s="11" t="n">
        <v>22</v>
      </c>
      <c r="C24" s="11" t="n">
        <v>25</v>
      </c>
      <c r="D24" s="11" t="n">
        <v>6</v>
      </c>
    </row>
    <row r="25" customFormat="false" ht="12.8" hidden="false" customHeight="false" outlineLevel="0" collapsed="false">
      <c r="A25" s="11" t="n">
        <v>24</v>
      </c>
      <c r="B25" s="11" t="n">
        <v>22</v>
      </c>
      <c r="C25" s="11" t="n">
        <v>25</v>
      </c>
      <c r="D25" s="11" t="n">
        <v>6</v>
      </c>
    </row>
    <row r="26" customFormat="false" ht="12.8" hidden="false" customHeight="false" outlineLevel="0" collapsed="false">
      <c r="A26" s="11" t="n">
        <v>25</v>
      </c>
      <c r="B26" s="11" t="n">
        <v>22</v>
      </c>
      <c r="C26" s="11" t="n">
        <v>25</v>
      </c>
      <c r="D26" s="11" t="n">
        <v>6</v>
      </c>
    </row>
    <row r="27" customFormat="false" ht="12.8" hidden="false" customHeight="false" outlineLevel="0" collapsed="false">
      <c r="A27" s="41" t="n">
        <v>26</v>
      </c>
      <c r="B27" s="41" t="n">
        <v>26</v>
      </c>
      <c r="C27" s="41" t="n">
        <v>29</v>
      </c>
      <c r="D27" s="41" t="n">
        <v>7</v>
      </c>
    </row>
    <row r="28" customFormat="false" ht="12.8" hidden="false" customHeight="false" outlineLevel="0" collapsed="false">
      <c r="A28" s="11" t="n">
        <v>27</v>
      </c>
      <c r="B28" s="11" t="n">
        <v>26</v>
      </c>
      <c r="C28" s="11" t="n">
        <v>29</v>
      </c>
      <c r="D28" s="11" t="n">
        <v>7</v>
      </c>
    </row>
    <row r="29" customFormat="false" ht="12.8" hidden="false" customHeight="false" outlineLevel="0" collapsed="false">
      <c r="A29" s="11" t="n">
        <v>28</v>
      </c>
      <c r="B29" s="11" t="n">
        <v>26</v>
      </c>
      <c r="C29" s="11" t="n">
        <v>29</v>
      </c>
      <c r="D29" s="11" t="n">
        <v>7</v>
      </c>
    </row>
    <row r="30" customFormat="false" ht="12.8" hidden="false" customHeight="false" outlineLevel="0" collapsed="false">
      <c r="A30" s="11" t="n">
        <v>29</v>
      </c>
      <c r="B30" s="11" t="n">
        <v>26</v>
      </c>
      <c r="C30" s="11" t="n">
        <v>29</v>
      </c>
      <c r="D30" s="11" t="n">
        <v>7</v>
      </c>
    </row>
  </sheetData>
  <sheetProtection sheet="true" objects="true" scenarios="true"/>
  <autoFilter ref="A1:C30"/>
  <printOptions headings="false" gridLines="false" gridLinesSet="true" horizontalCentered="false" verticalCentered="false"/>
  <pageMargins left="0.7875" right="0.7875" top="1.05277777777778" bottom="1.05277777777778" header="0.7875" footer="0.7875"/>
  <pageSetup paperSize="9" scale="100" fitToWidth="1" fitToHeight="1" pageOrder="downThenOver" orientation="portrait" blackAndWhite="false" draft="false" cellComments="none" horizontalDpi="300" verticalDpi="300" copies="1"/>
  <headerFooter differentFirst="false" differentOddEven="false">
    <oddHeader>&amp;C&amp;"Times New Roman,Обычный"&amp;12&amp;A</oddHeader>
    <oddFooter>&amp;C&amp;"Times New Roman,Обычный"&amp;12Страница &amp;P</oddFooter>
  </headerFooter>
  <drawing r:id="rId1"/>
</worksheet>
</file>

<file path=xl/worksheets/sheet7.xml><?xml version="1.0" encoding="utf-8"?>
<worksheet xmlns="http://schemas.openxmlformats.org/spreadsheetml/2006/main" xmlns:r="http://schemas.openxmlformats.org/officeDocument/2006/relationships" xmlns:xdr="http://schemas.openxmlformats.org/drawingml/2006/spreadsheetDrawing" xmlns:x14="http://schemas.microsoft.com/office/spreadsheetml/2009/9/main" xmlns:xr2="http://schemas.microsoft.com/office/spreadsheetml/2015/revision2" xmlns:mc="http://schemas.openxmlformats.org/markup-compatibility/2006">
  <sheetPr filterMode="false">
    <pageSetUpPr fitToPage="false"/>
  </sheetPr>
  <dimension ref="A1:J57"/>
  <sheetViews>
    <sheetView showFormulas="false" showGridLines="true" showRowColHeaders="true" showZeros="true" rightToLeft="false" tabSelected="false" showOutlineSymbols="true" defaultGridColor="true" view="normal" topLeftCell="A1" colorId="64" zoomScale="100" zoomScaleNormal="100" zoomScalePageLayoutView="100" workbookViewId="0">
      <selection pane="topLeft" activeCell="J1" activeCellId="1" sqref="A2:K31 J1"/>
    </sheetView>
  </sheetViews>
  <sheetFormatPr defaultColWidth="11.53515625" defaultRowHeight="12.8" customHeight="true" zeroHeight="false" outlineLevelRow="0" outlineLevelCol="0"/>
  <cols>
    <col collapsed="false" customWidth="false" hidden="false" outlineLevel="0" max="1" min="1" style="1" width="11.53"/>
    <col collapsed="false" customWidth="true" hidden="false" outlineLevel="0" max="8" min="2" style="11" width="20.43"/>
    <col collapsed="false" customWidth="true" hidden="false" outlineLevel="0" max="10" min="10" style="11" width="80.41"/>
  </cols>
  <sheetData>
    <row r="1" customFormat="false" ht="12.8" hidden="false" customHeight="false" outlineLevel="0" collapsed="false">
      <c r="A1" s="3" t="s">
        <v>69</v>
      </c>
      <c r="B1" s="2" t="s">
        <v>49</v>
      </c>
      <c r="C1" s="2" t="s">
        <v>91</v>
      </c>
      <c r="D1" s="2" t="s">
        <v>92</v>
      </c>
      <c r="E1" s="2" t="s">
        <v>93</v>
      </c>
      <c r="F1" s="2" t="s">
        <v>94</v>
      </c>
      <c r="G1" s="2" t="s">
        <v>95</v>
      </c>
      <c r="H1" s="2" t="s">
        <v>96</v>
      </c>
      <c r="J1" s="3" t="s">
        <v>97</v>
      </c>
    </row>
    <row r="2" customFormat="false" ht="12.8" hidden="false" customHeight="false" outlineLevel="0" collapsed="false">
      <c r="A2" s="42" t="n">
        <v>57</v>
      </c>
      <c r="B2" s="43" t="s">
        <v>98</v>
      </c>
      <c r="C2" s="43" t="s">
        <v>99</v>
      </c>
      <c r="D2" s="43" t="s">
        <v>100</v>
      </c>
      <c r="E2" s="43" t="s">
        <v>101</v>
      </c>
      <c r="F2" s="43" t="s">
        <v>100</v>
      </c>
      <c r="G2" s="43" t="s">
        <v>102</v>
      </c>
      <c r="H2" s="43" t="s">
        <v>103</v>
      </c>
      <c r="J2" s="11" t="str">
        <f aca="false">_xlfn.CONCAT(B2,", ",C2,", ",D2,", ",E2,", ", F2,", ",G2,", ",H2)</f>
        <v>ВН-53-К5(а), ВН-54-К5(а), ВН-55-К5(а), ВН-56-К5(а), ВН-55-К5(а), ВН-57-К5(а), ВН-58-К5(а)</v>
      </c>
    </row>
    <row r="3" customFormat="false" ht="12.8" hidden="false" customHeight="false" outlineLevel="0" collapsed="false">
      <c r="A3" s="1" t="n">
        <v>56</v>
      </c>
      <c r="B3" s="44" t="s">
        <v>104</v>
      </c>
      <c r="C3" s="44" t="s">
        <v>105</v>
      </c>
      <c r="D3" s="44" t="s">
        <v>106</v>
      </c>
      <c r="E3" s="44" t="s">
        <v>107</v>
      </c>
      <c r="F3" s="44" t="s">
        <v>106</v>
      </c>
      <c r="G3" s="44" t="s">
        <v>108</v>
      </c>
      <c r="H3" s="44" t="s">
        <v>109</v>
      </c>
    </row>
    <row r="4" customFormat="false" ht="12.8" hidden="false" customHeight="false" outlineLevel="0" collapsed="false">
      <c r="A4" s="1" t="n">
        <v>55</v>
      </c>
      <c r="B4" s="44" t="s">
        <v>110</v>
      </c>
      <c r="C4" s="44" t="s">
        <v>111</v>
      </c>
      <c r="D4" s="44" t="s">
        <v>112</v>
      </c>
      <c r="E4" s="44" t="s">
        <v>113</v>
      </c>
      <c r="F4" s="44" t="s">
        <v>112</v>
      </c>
      <c r="G4" s="44" t="s">
        <v>114</v>
      </c>
      <c r="H4" s="44" t="s">
        <v>115</v>
      </c>
    </row>
    <row r="5" customFormat="false" ht="12.8" hidden="false" customHeight="false" outlineLevel="0" collapsed="false">
      <c r="A5" s="1" t="n">
        <v>54</v>
      </c>
      <c r="B5" s="44" t="s">
        <v>104</v>
      </c>
      <c r="C5" s="44" t="s">
        <v>105</v>
      </c>
      <c r="D5" s="44" t="s">
        <v>106</v>
      </c>
      <c r="E5" s="44" t="s">
        <v>107</v>
      </c>
      <c r="F5" s="44" t="s">
        <v>106</v>
      </c>
      <c r="G5" s="44" t="s">
        <v>108</v>
      </c>
      <c r="H5" s="44" t="s">
        <v>109</v>
      </c>
    </row>
    <row r="6" customFormat="false" ht="12.8" hidden="false" customHeight="false" outlineLevel="0" collapsed="false">
      <c r="A6" s="1" t="n">
        <v>53</v>
      </c>
      <c r="B6" s="44" t="s">
        <v>110</v>
      </c>
      <c r="C6" s="44" t="s">
        <v>111</v>
      </c>
      <c r="D6" s="44" t="s">
        <v>112</v>
      </c>
      <c r="E6" s="44" t="s">
        <v>113</v>
      </c>
      <c r="F6" s="44" t="s">
        <v>112</v>
      </c>
      <c r="G6" s="44" t="s">
        <v>114</v>
      </c>
      <c r="H6" s="44" t="s">
        <v>115</v>
      </c>
    </row>
    <row r="7" customFormat="false" ht="12.8" hidden="false" customHeight="false" outlineLevel="0" collapsed="false">
      <c r="A7" s="1" t="n">
        <v>52</v>
      </c>
      <c r="B7" s="44" t="s">
        <v>104</v>
      </c>
      <c r="C7" s="44" t="s">
        <v>105</v>
      </c>
      <c r="D7" s="44" t="s">
        <v>106</v>
      </c>
      <c r="E7" s="44" t="s">
        <v>107</v>
      </c>
      <c r="F7" s="44" t="s">
        <v>106</v>
      </c>
      <c r="G7" s="44" t="s">
        <v>108</v>
      </c>
      <c r="H7" s="44" t="s">
        <v>109</v>
      </c>
    </row>
    <row r="8" customFormat="false" ht="12.8" hidden="false" customHeight="false" outlineLevel="0" collapsed="false">
      <c r="A8" s="1" t="n">
        <v>51</v>
      </c>
      <c r="B8" s="44" t="s">
        <v>110</v>
      </c>
      <c r="C8" s="44" t="s">
        <v>111</v>
      </c>
      <c r="D8" s="44" t="s">
        <v>112</v>
      </c>
      <c r="E8" s="44" t="s">
        <v>113</v>
      </c>
      <c r="F8" s="44" t="s">
        <v>112</v>
      </c>
      <c r="G8" s="44" t="s">
        <v>114</v>
      </c>
      <c r="H8" s="44" t="s">
        <v>115</v>
      </c>
    </row>
    <row r="9" customFormat="false" ht="12.8" hidden="false" customHeight="false" outlineLevel="0" collapsed="false">
      <c r="A9" s="1" t="n">
        <v>50</v>
      </c>
      <c r="B9" s="44" t="s">
        <v>104</v>
      </c>
      <c r="C9" s="44" t="s">
        <v>105</v>
      </c>
      <c r="D9" s="44" t="s">
        <v>106</v>
      </c>
      <c r="E9" s="44" t="s">
        <v>107</v>
      </c>
      <c r="F9" s="44" t="s">
        <v>106</v>
      </c>
      <c r="G9" s="44" t="s">
        <v>108</v>
      </c>
      <c r="H9" s="44" t="s">
        <v>109</v>
      </c>
    </row>
    <row r="10" customFormat="false" ht="12.8" hidden="false" customHeight="false" outlineLevel="0" collapsed="false">
      <c r="A10" s="1" t="n">
        <v>49</v>
      </c>
      <c r="B10" s="44" t="s">
        <v>110</v>
      </c>
      <c r="C10" s="44" t="s">
        <v>111</v>
      </c>
      <c r="D10" s="44" t="s">
        <v>112</v>
      </c>
      <c r="E10" s="44" t="s">
        <v>113</v>
      </c>
      <c r="F10" s="44" t="s">
        <v>112</v>
      </c>
      <c r="G10" s="44" t="s">
        <v>114</v>
      </c>
      <c r="H10" s="44" t="s">
        <v>115</v>
      </c>
    </row>
    <row r="11" customFormat="false" ht="12.8" hidden="false" customHeight="false" outlineLevel="0" collapsed="false">
      <c r="A11" s="1" t="n">
        <v>48</v>
      </c>
      <c r="B11" s="44" t="s">
        <v>104</v>
      </c>
      <c r="C11" s="44" t="s">
        <v>105</v>
      </c>
      <c r="D11" s="44" t="s">
        <v>106</v>
      </c>
      <c r="E11" s="44" t="s">
        <v>107</v>
      </c>
      <c r="F11" s="44" t="s">
        <v>106</v>
      </c>
      <c r="G11" s="44" t="s">
        <v>108</v>
      </c>
      <c r="H11" s="44" t="s">
        <v>109</v>
      </c>
    </row>
    <row r="12" customFormat="false" ht="12.8" hidden="false" customHeight="false" outlineLevel="0" collapsed="false">
      <c r="A12" s="1" t="n">
        <v>47</v>
      </c>
      <c r="B12" s="44" t="s">
        <v>110</v>
      </c>
      <c r="C12" s="44" t="s">
        <v>111</v>
      </c>
      <c r="D12" s="44" t="s">
        <v>112</v>
      </c>
      <c r="E12" s="44" t="s">
        <v>113</v>
      </c>
      <c r="F12" s="44" t="s">
        <v>112</v>
      </c>
      <c r="G12" s="44" t="s">
        <v>114</v>
      </c>
      <c r="H12" s="44" t="s">
        <v>115</v>
      </c>
    </row>
    <row r="13" customFormat="false" ht="12.8" hidden="false" customHeight="false" outlineLevel="0" collapsed="false">
      <c r="A13" s="1" t="n">
        <v>46</v>
      </c>
      <c r="B13" s="44" t="s">
        <v>104</v>
      </c>
      <c r="C13" s="44" t="s">
        <v>105</v>
      </c>
      <c r="D13" s="44" t="s">
        <v>106</v>
      </c>
      <c r="E13" s="44" t="s">
        <v>107</v>
      </c>
      <c r="F13" s="44" t="s">
        <v>106</v>
      </c>
      <c r="G13" s="44" t="s">
        <v>108</v>
      </c>
      <c r="H13" s="44" t="s">
        <v>109</v>
      </c>
    </row>
    <row r="14" customFormat="false" ht="12.8" hidden="false" customHeight="false" outlineLevel="0" collapsed="false">
      <c r="A14" s="1" t="n">
        <v>45</v>
      </c>
      <c r="B14" s="44" t="s">
        <v>110</v>
      </c>
      <c r="C14" s="44" t="s">
        <v>111</v>
      </c>
      <c r="D14" s="44" t="s">
        <v>112</v>
      </c>
      <c r="E14" s="44" t="s">
        <v>113</v>
      </c>
      <c r="F14" s="44" t="s">
        <v>112</v>
      </c>
      <c r="G14" s="44" t="s">
        <v>114</v>
      </c>
      <c r="H14" s="44" t="s">
        <v>115</v>
      </c>
    </row>
    <row r="15" customFormat="false" ht="12.8" hidden="false" customHeight="false" outlineLevel="0" collapsed="false">
      <c r="A15" s="1" t="n">
        <v>44</v>
      </c>
      <c r="B15" s="44" t="s">
        <v>104</v>
      </c>
      <c r="C15" s="44" t="s">
        <v>105</v>
      </c>
      <c r="D15" s="44" t="s">
        <v>106</v>
      </c>
      <c r="E15" s="44" t="s">
        <v>107</v>
      </c>
      <c r="F15" s="44" t="s">
        <v>106</v>
      </c>
      <c r="G15" s="44" t="s">
        <v>108</v>
      </c>
      <c r="H15" s="44" t="s">
        <v>109</v>
      </c>
    </row>
    <row r="16" customFormat="false" ht="12.8" hidden="false" customHeight="false" outlineLevel="0" collapsed="false">
      <c r="A16" s="1" t="n">
        <v>43</v>
      </c>
      <c r="B16" s="44" t="s">
        <v>110</v>
      </c>
      <c r="C16" s="44" t="s">
        <v>111</v>
      </c>
      <c r="D16" s="44" t="s">
        <v>112</v>
      </c>
      <c r="E16" s="44" t="s">
        <v>113</v>
      </c>
      <c r="F16" s="44" t="s">
        <v>112</v>
      </c>
      <c r="G16" s="44" t="s">
        <v>114</v>
      </c>
      <c r="H16" s="44" t="s">
        <v>115</v>
      </c>
    </row>
    <row r="17" customFormat="false" ht="12.8" hidden="false" customHeight="false" outlineLevel="0" collapsed="false">
      <c r="A17" s="1" t="n">
        <v>42</v>
      </c>
      <c r="B17" s="44" t="s">
        <v>104</v>
      </c>
      <c r="C17" s="44" t="s">
        <v>105</v>
      </c>
      <c r="D17" s="44" t="s">
        <v>106</v>
      </c>
      <c r="E17" s="44" t="s">
        <v>107</v>
      </c>
      <c r="F17" s="44" t="s">
        <v>106</v>
      </c>
      <c r="G17" s="44" t="s">
        <v>108</v>
      </c>
      <c r="H17" s="44" t="s">
        <v>109</v>
      </c>
    </row>
    <row r="18" customFormat="false" ht="12.8" hidden="false" customHeight="false" outlineLevel="0" collapsed="false">
      <c r="A18" s="1" t="n">
        <v>41</v>
      </c>
      <c r="B18" s="44" t="s">
        <v>110</v>
      </c>
      <c r="C18" s="44" t="s">
        <v>111</v>
      </c>
      <c r="D18" s="44" t="s">
        <v>112</v>
      </c>
      <c r="E18" s="44" t="s">
        <v>113</v>
      </c>
      <c r="F18" s="44" t="s">
        <v>112</v>
      </c>
      <c r="G18" s="44" t="s">
        <v>114</v>
      </c>
      <c r="H18" s="44" t="s">
        <v>115</v>
      </c>
    </row>
    <row r="19" customFormat="false" ht="12.8" hidden="false" customHeight="false" outlineLevel="0" collapsed="false">
      <c r="A19" s="45" t="n">
        <v>40</v>
      </c>
      <c r="B19" s="46" t="s">
        <v>116</v>
      </c>
      <c r="C19" s="46" t="s">
        <v>117</v>
      </c>
      <c r="D19" s="46" t="s">
        <v>118</v>
      </c>
      <c r="E19" s="47" t="s">
        <v>119</v>
      </c>
      <c r="F19" s="46" t="s">
        <v>118</v>
      </c>
      <c r="G19" s="46" t="s">
        <v>120</v>
      </c>
      <c r="H19" s="46" t="s">
        <v>121</v>
      </c>
      <c r="J19" s="11" t="str">
        <f aca="false">_xlfn.CONCAT(B19,", ",C19,", ",D19,", ",E19,", ", F19,", ",G19,", ",H19)</f>
        <v>ВН-47-К5(а), ВН-48-К5(а), ВН-49-К5(а), ВН-50-К5(а) -к1, ВН-49-К5(а), ВН-51-К5(а), ВН-52-К5(а)</v>
      </c>
    </row>
    <row r="20" customFormat="false" ht="12.8" hidden="false" customHeight="false" outlineLevel="0" collapsed="false">
      <c r="A20" s="48" t="n">
        <v>39</v>
      </c>
      <c r="B20" s="49" t="s">
        <v>122</v>
      </c>
      <c r="C20" s="49" t="s">
        <v>123</v>
      </c>
      <c r="D20" s="49" t="s">
        <v>124</v>
      </c>
      <c r="E20" s="49" t="s">
        <v>125</v>
      </c>
      <c r="F20" s="49" t="s">
        <v>124</v>
      </c>
      <c r="G20" s="49" t="s">
        <v>126</v>
      </c>
      <c r="H20" s="49" t="s">
        <v>127</v>
      </c>
    </row>
    <row r="21" customFormat="false" ht="12.8" hidden="false" customHeight="false" outlineLevel="0" collapsed="false">
      <c r="A21" s="1" t="n">
        <v>38</v>
      </c>
      <c r="B21" s="44" t="s">
        <v>104</v>
      </c>
      <c r="C21" s="44" t="s">
        <v>105</v>
      </c>
      <c r="D21" s="44" t="s">
        <v>106</v>
      </c>
      <c r="E21" s="44" t="s">
        <v>107</v>
      </c>
      <c r="F21" s="44" t="s">
        <v>106</v>
      </c>
      <c r="G21" s="44" t="s">
        <v>108</v>
      </c>
      <c r="H21" s="44" t="s">
        <v>109</v>
      </c>
    </row>
    <row r="22" customFormat="false" ht="12.8" hidden="false" customHeight="false" outlineLevel="0" collapsed="false">
      <c r="A22" s="1" t="n">
        <v>37</v>
      </c>
      <c r="B22" s="44" t="s">
        <v>110</v>
      </c>
      <c r="C22" s="44" t="s">
        <v>111</v>
      </c>
      <c r="D22" s="44" t="s">
        <v>112</v>
      </c>
      <c r="E22" s="44" t="s">
        <v>113</v>
      </c>
      <c r="F22" s="44" t="s">
        <v>112</v>
      </c>
      <c r="G22" s="44" t="s">
        <v>114</v>
      </c>
      <c r="H22" s="44" t="s">
        <v>115</v>
      </c>
    </row>
    <row r="23" customFormat="false" ht="12.8" hidden="false" customHeight="false" outlineLevel="0" collapsed="false">
      <c r="A23" s="1" t="n">
        <v>36</v>
      </c>
      <c r="B23" s="44" t="s">
        <v>104</v>
      </c>
      <c r="C23" s="44" t="s">
        <v>105</v>
      </c>
      <c r="D23" s="44" t="s">
        <v>106</v>
      </c>
      <c r="E23" s="44" t="s">
        <v>107</v>
      </c>
      <c r="F23" s="44" t="s">
        <v>106</v>
      </c>
      <c r="G23" s="44" t="s">
        <v>108</v>
      </c>
      <c r="H23" s="44" t="s">
        <v>109</v>
      </c>
    </row>
    <row r="24" customFormat="false" ht="12.8" hidden="false" customHeight="false" outlineLevel="0" collapsed="false">
      <c r="A24" s="1" t="n">
        <v>35</v>
      </c>
      <c r="B24" s="44" t="s">
        <v>110</v>
      </c>
      <c r="C24" s="44" t="s">
        <v>111</v>
      </c>
      <c r="D24" s="44" t="s">
        <v>112</v>
      </c>
      <c r="E24" s="44" t="s">
        <v>113</v>
      </c>
      <c r="F24" s="44" t="s">
        <v>112</v>
      </c>
      <c r="G24" s="44" t="s">
        <v>114</v>
      </c>
      <c r="H24" s="44" t="s">
        <v>115</v>
      </c>
    </row>
    <row r="25" customFormat="false" ht="12.8" hidden="false" customHeight="false" outlineLevel="0" collapsed="false">
      <c r="A25" s="1" t="n">
        <v>34</v>
      </c>
      <c r="B25" s="44" t="s">
        <v>104</v>
      </c>
      <c r="C25" s="44" t="s">
        <v>105</v>
      </c>
      <c r="D25" s="44" t="s">
        <v>106</v>
      </c>
      <c r="E25" s="44" t="s">
        <v>107</v>
      </c>
      <c r="F25" s="44" t="s">
        <v>106</v>
      </c>
      <c r="G25" s="44" t="s">
        <v>108</v>
      </c>
      <c r="H25" s="44" t="s">
        <v>109</v>
      </c>
    </row>
    <row r="26" customFormat="false" ht="12.8" hidden="false" customHeight="false" outlineLevel="0" collapsed="false">
      <c r="A26" s="1" t="n">
        <v>33</v>
      </c>
      <c r="B26" s="44" t="s">
        <v>110</v>
      </c>
      <c r="C26" s="44" t="s">
        <v>111</v>
      </c>
      <c r="D26" s="44" t="s">
        <v>112</v>
      </c>
      <c r="E26" s="44" t="s">
        <v>113</v>
      </c>
      <c r="F26" s="44" t="s">
        <v>112</v>
      </c>
      <c r="G26" s="44" t="s">
        <v>114</v>
      </c>
      <c r="H26" s="44" t="s">
        <v>115</v>
      </c>
    </row>
    <row r="27" customFormat="false" ht="12.8" hidden="false" customHeight="false" outlineLevel="0" collapsed="false">
      <c r="A27" s="1" t="n">
        <v>32</v>
      </c>
      <c r="B27" s="44" t="s">
        <v>104</v>
      </c>
      <c r="C27" s="44" t="s">
        <v>105</v>
      </c>
      <c r="D27" s="44" t="s">
        <v>106</v>
      </c>
      <c r="E27" s="44" t="s">
        <v>107</v>
      </c>
      <c r="F27" s="44" t="s">
        <v>106</v>
      </c>
      <c r="G27" s="44" t="s">
        <v>108</v>
      </c>
      <c r="H27" s="44" t="s">
        <v>109</v>
      </c>
    </row>
    <row r="28" customFormat="false" ht="12.8" hidden="false" customHeight="false" outlineLevel="0" collapsed="false">
      <c r="A28" s="1" t="n">
        <v>31</v>
      </c>
      <c r="B28" s="44" t="s">
        <v>110</v>
      </c>
      <c r="C28" s="44" t="s">
        <v>111</v>
      </c>
      <c r="D28" s="44" t="s">
        <v>112</v>
      </c>
      <c r="E28" s="44" t="s">
        <v>113</v>
      </c>
      <c r="F28" s="44" t="s">
        <v>112</v>
      </c>
      <c r="G28" s="44" t="s">
        <v>114</v>
      </c>
      <c r="H28" s="44" t="s">
        <v>115</v>
      </c>
    </row>
    <row r="29" customFormat="false" ht="12.8" hidden="false" customHeight="false" outlineLevel="0" collapsed="false">
      <c r="A29" s="1" t="n">
        <v>30</v>
      </c>
      <c r="B29" s="44" t="s">
        <v>104</v>
      </c>
      <c r="C29" s="44" t="s">
        <v>105</v>
      </c>
      <c r="D29" s="44" t="s">
        <v>106</v>
      </c>
      <c r="E29" s="44" t="s">
        <v>107</v>
      </c>
      <c r="F29" s="44" t="s">
        <v>106</v>
      </c>
      <c r="G29" s="44" t="s">
        <v>108</v>
      </c>
      <c r="H29" s="44" t="s">
        <v>109</v>
      </c>
    </row>
    <row r="30" customFormat="false" ht="12.8" hidden="false" customHeight="false" outlineLevel="0" collapsed="false">
      <c r="A30" s="1" t="n">
        <v>29</v>
      </c>
      <c r="B30" s="44" t="s">
        <v>110</v>
      </c>
      <c r="C30" s="44" t="s">
        <v>111</v>
      </c>
      <c r="D30" s="44" t="s">
        <v>112</v>
      </c>
      <c r="E30" s="44" t="s">
        <v>113</v>
      </c>
      <c r="F30" s="44" t="s">
        <v>112</v>
      </c>
      <c r="G30" s="44" t="s">
        <v>114</v>
      </c>
      <c r="H30" s="44" t="s">
        <v>115</v>
      </c>
    </row>
    <row r="31" customFormat="false" ht="12.8" hidden="false" customHeight="false" outlineLevel="0" collapsed="false">
      <c r="A31" s="1" t="n">
        <v>28</v>
      </c>
      <c r="B31" s="44" t="s">
        <v>104</v>
      </c>
      <c r="C31" s="44" t="s">
        <v>105</v>
      </c>
      <c r="D31" s="44" t="s">
        <v>106</v>
      </c>
      <c r="E31" s="44" t="s">
        <v>107</v>
      </c>
      <c r="F31" s="44" t="s">
        <v>106</v>
      </c>
      <c r="G31" s="44" t="s">
        <v>108</v>
      </c>
      <c r="H31" s="44" t="s">
        <v>109</v>
      </c>
    </row>
    <row r="32" customFormat="false" ht="12.8" hidden="false" customHeight="false" outlineLevel="0" collapsed="false">
      <c r="A32" s="1" t="n">
        <v>27</v>
      </c>
      <c r="B32" s="44" t="s">
        <v>110</v>
      </c>
      <c r="C32" s="44" t="s">
        <v>111</v>
      </c>
      <c r="D32" s="44" t="s">
        <v>112</v>
      </c>
      <c r="E32" s="44" t="s">
        <v>113</v>
      </c>
      <c r="F32" s="44" t="s">
        <v>112</v>
      </c>
      <c r="G32" s="44" t="s">
        <v>114</v>
      </c>
      <c r="H32" s="44" t="s">
        <v>115</v>
      </c>
    </row>
    <row r="33" customFormat="false" ht="12.8" hidden="false" customHeight="false" outlineLevel="0" collapsed="false">
      <c r="A33" s="1" t="n">
        <v>26</v>
      </c>
      <c r="B33" s="44" t="s">
        <v>104</v>
      </c>
      <c r="C33" s="44" t="s">
        <v>105</v>
      </c>
      <c r="D33" s="44" t="s">
        <v>106</v>
      </c>
      <c r="E33" s="44" t="s">
        <v>107</v>
      </c>
      <c r="F33" s="44" t="s">
        <v>106</v>
      </c>
      <c r="G33" s="44" t="s">
        <v>108</v>
      </c>
      <c r="H33" s="44" t="s">
        <v>109</v>
      </c>
    </row>
    <row r="34" customFormat="false" ht="12.8" hidden="false" customHeight="false" outlineLevel="0" collapsed="false">
      <c r="A34" s="1" t="n">
        <v>25</v>
      </c>
      <c r="B34" s="44" t="s">
        <v>110</v>
      </c>
      <c r="C34" s="44" t="s">
        <v>111</v>
      </c>
      <c r="D34" s="44" t="s">
        <v>112</v>
      </c>
      <c r="E34" s="44" t="s">
        <v>113</v>
      </c>
      <c r="F34" s="44" t="s">
        <v>112</v>
      </c>
      <c r="G34" s="44" t="s">
        <v>114</v>
      </c>
      <c r="H34" s="44" t="s">
        <v>115</v>
      </c>
    </row>
    <row r="35" customFormat="false" ht="12.8" hidden="false" customHeight="false" outlineLevel="0" collapsed="false">
      <c r="A35" s="1" t="n">
        <v>24</v>
      </c>
      <c r="B35" s="44" t="s">
        <v>104</v>
      </c>
      <c r="C35" s="44" t="s">
        <v>105</v>
      </c>
      <c r="D35" s="44" t="s">
        <v>106</v>
      </c>
      <c r="E35" s="44" t="s">
        <v>107</v>
      </c>
      <c r="F35" s="44" t="s">
        <v>106</v>
      </c>
      <c r="G35" s="44" t="s">
        <v>108</v>
      </c>
      <c r="H35" s="44" t="s">
        <v>109</v>
      </c>
    </row>
    <row r="36" customFormat="false" ht="12.8" hidden="false" customHeight="false" outlineLevel="0" collapsed="false">
      <c r="A36" s="1" t="n">
        <v>23</v>
      </c>
      <c r="B36" s="44" t="s">
        <v>110</v>
      </c>
      <c r="C36" s="44" t="s">
        <v>111</v>
      </c>
      <c r="D36" s="44" t="s">
        <v>112</v>
      </c>
      <c r="E36" s="44" t="s">
        <v>113</v>
      </c>
      <c r="F36" s="44" t="s">
        <v>112</v>
      </c>
      <c r="G36" s="44" t="s">
        <v>114</v>
      </c>
      <c r="H36" s="44" t="s">
        <v>115</v>
      </c>
    </row>
    <row r="37" customFormat="false" ht="12.8" hidden="false" customHeight="false" outlineLevel="0" collapsed="false">
      <c r="A37" s="1" t="n">
        <v>22</v>
      </c>
      <c r="B37" s="44" t="s">
        <v>104</v>
      </c>
      <c r="C37" s="44" t="s">
        <v>105</v>
      </c>
      <c r="D37" s="44" t="s">
        <v>106</v>
      </c>
      <c r="E37" s="44" t="s">
        <v>107</v>
      </c>
      <c r="F37" s="44" t="s">
        <v>106</v>
      </c>
      <c r="G37" s="44" t="s">
        <v>108</v>
      </c>
      <c r="H37" s="44" t="s">
        <v>109</v>
      </c>
    </row>
    <row r="38" customFormat="false" ht="12.8" hidden="false" customHeight="false" outlineLevel="0" collapsed="false">
      <c r="A38" s="1" t="n">
        <v>21</v>
      </c>
      <c r="B38" s="44" t="s">
        <v>110</v>
      </c>
      <c r="C38" s="44" t="s">
        <v>111</v>
      </c>
      <c r="D38" s="44" t="s">
        <v>112</v>
      </c>
      <c r="E38" s="44" t="s">
        <v>113</v>
      </c>
      <c r="F38" s="44" t="s">
        <v>112</v>
      </c>
      <c r="G38" s="44" t="s">
        <v>114</v>
      </c>
      <c r="H38" s="44" t="s">
        <v>115</v>
      </c>
    </row>
    <row r="39" customFormat="false" ht="12.8" hidden="false" customHeight="false" outlineLevel="0" collapsed="false">
      <c r="A39" s="45" t="n">
        <v>20</v>
      </c>
      <c r="B39" s="46" t="s">
        <v>116</v>
      </c>
      <c r="C39" s="46" t="s">
        <v>117</v>
      </c>
      <c r="D39" s="46" t="s">
        <v>118</v>
      </c>
      <c r="E39" s="50" t="s">
        <v>128</v>
      </c>
      <c r="F39" s="46" t="s">
        <v>118</v>
      </c>
      <c r="G39" s="46" t="s">
        <v>120</v>
      </c>
      <c r="H39" s="46" t="s">
        <v>121</v>
      </c>
      <c r="J39" s="11" t="str">
        <f aca="false">_xlfn.CONCAT(B39,", ",C39,", ",D39,", ",E39,", ", F39,", ",G39,", ",H39)</f>
        <v>ВН-47-К5(а), ВН-48-К5(а), ВН-49-К5(а), ВН-50-К5(а), ВН-49-К5(а), ВН-51-К5(а), ВН-52-К5(а)</v>
      </c>
    </row>
    <row r="40" customFormat="false" ht="12.8" hidden="false" customHeight="false" outlineLevel="0" collapsed="false">
      <c r="A40" s="48" t="n">
        <v>19</v>
      </c>
      <c r="B40" s="49" t="s">
        <v>122</v>
      </c>
      <c r="C40" s="49" t="s">
        <v>123</v>
      </c>
      <c r="D40" s="49" t="s">
        <v>124</v>
      </c>
      <c r="E40" s="49" t="s">
        <v>125</v>
      </c>
      <c r="F40" s="49" t="s">
        <v>124</v>
      </c>
      <c r="G40" s="49" t="s">
        <v>126</v>
      </c>
      <c r="H40" s="49" t="s">
        <v>127</v>
      </c>
      <c r="J40" s="11" t="str">
        <f aca="false">_xlfn.CONCAT(B40,", ",C40,", ",D40,", ",E40,", ", F40,", ",G40,", ",H40)</f>
        <v>ВН-41-К5(а), ВН-42-К5(а), ВН-43-К5(а), ВН-44-К5(а), ВН-43-К5(а), ВН-45-К5(а), ВН-46-К5(а)</v>
      </c>
    </row>
    <row r="41" customFormat="false" ht="12.8" hidden="false" customHeight="false" outlineLevel="0" collapsed="false">
      <c r="A41" s="1" t="n">
        <v>18</v>
      </c>
      <c r="B41" s="44" t="s">
        <v>104</v>
      </c>
      <c r="C41" s="44" t="s">
        <v>105</v>
      </c>
      <c r="D41" s="44" t="s">
        <v>106</v>
      </c>
      <c r="E41" s="44" t="s">
        <v>107</v>
      </c>
      <c r="F41" s="44" t="s">
        <v>106</v>
      </c>
      <c r="G41" s="44" t="s">
        <v>108</v>
      </c>
      <c r="H41" s="44" t="s">
        <v>109</v>
      </c>
    </row>
    <row r="42" customFormat="false" ht="12.8" hidden="false" customHeight="false" outlineLevel="0" collapsed="false">
      <c r="A42" s="1" t="n">
        <v>17</v>
      </c>
      <c r="B42" s="44" t="s">
        <v>110</v>
      </c>
      <c r="C42" s="44" t="s">
        <v>111</v>
      </c>
      <c r="D42" s="44" t="s">
        <v>112</v>
      </c>
      <c r="E42" s="44" t="s">
        <v>113</v>
      </c>
      <c r="F42" s="44" t="s">
        <v>112</v>
      </c>
      <c r="G42" s="44" t="s">
        <v>114</v>
      </c>
      <c r="H42" s="44" t="s">
        <v>115</v>
      </c>
    </row>
    <row r="43" customFormat="false" ht="12.8" hidden="false" customHeight="false" outlineLevel="0" collapsed="false">
      <c r="A43" s="1" t="n">
        <v>16</v>
      </c>
      <c r="B43" s="44" t="s">
        <v>104</v>
      </c>
      <c r="C43" s="44" t="s">
        <v>105</v>
      </c>
      <c r="D43" s="44" t="s">
        <v>106</v>
      </c>
      <c r="E43" s="44" t="s">
        <v>107</v>
      </c>
      <c r="F43" s="44" t="s">
        <v>106</v>
      </c>
      <c r="G43" s="44" t="s">
        <v>108</v>
      </c>
      <c r="H43" s="44" t="s">
        <v>109</v>
      </c>
    </row>
    <row r="44" customFormat="false" ht="12.8" hidden="false" customHeight="false" outlineLevel="0" collapsed="false">
      <c r="A44" s="1" t="n">
        <v>15</v>
      </c>
      <c r="B44" s="44" t="s">
        <v>110</v>
      </c>
      <c r="C44" s="44" t="s">
        <v>111</v>
      </c>
      <c r="D44" s="44" t="s">
        <v>112</v>
      </c>
      <c r="E44" s="44" t="s">
        <v>113</v>
      </c>
      <c r="F44" s="44" t="s">
        <v>112</v>
      </c>
      <c r="G44" s="44" t="s">
        <v>114</v>
      </c>
      <c r="H44" s="44" t="s">
        <v>115</v>
      </c>
    </row>
    <row r="45" customFormat="false" ht="12.8" hidden="false" customHeight="false" outlineLevel="0" collapsed="false">
      <c r="A45" s="1" t="n">
        <v>14</v>
      </c>
      <c r="B45" s="44" t="s">
        <v>104</v>
      </c>
      <c r="C45" s="44" t="s">
        <v>105</v>
      </c>
      <c r="D45" s="44" t="s">
        <v>106</v>
      </c>
      <c r="E45" s="44" t="s">
        <v>107</v>
      </c>
      <c r="F45" s="44" t="s">
        <v>106</v>
      </c>
      <c r="G45" s="44" t="s">
        <v>108</v>
      </c>
      <c r="H45" s="44" t="s">
        <v>109</v>
      </c>
    </row>
    <row r="46" customFormat="false" ht="12.8" hidden="false" customHeight="false" outlineLevel="0" collapsed="false">
      <c r="A46" s="1" t="n">
        <v>13</v>
      </c>
      <c r="B46" s="44" t="s">
        <v>110</v>
      </c>
      <c r="C46" s="44" t="s">
        <v>111</v>
      </c>
      <c r="D46" s="44" t="s">
        <v>112</v>
      </c>
      <c r="E46" s="44" t="s">
        <v>113</v>
      </c>
      <c r="F46" s="44" t="s">
        <v>112</v>
      </c>
      <c r="G46" s="44" t="s">
        <v>114</v>
      </c>
      <c r="H46" s="44" t="s">
        <v>115</v>
      </c>
    </row>
    <row r="47" customFormat="false" ht="12.8" hidden="false" customHeight="false" outlineLevel="0" collapsed="false">
      <c r="A47" s="1" t="n">
        <v>12</v>
      </c>
      <c r="B47" s="44" t="s">
        <v>104</v>
      </c>
      <c r="C47" s="44" t="s">
        <v>105</v>
      </c>
      <c r="D47" s="44" t="s">
        <v>106</v>
      </c>
      <c r="E47" s="44" t="s">
        <v>107</v>
      </c>
      <c r="F47" s="44" t="s">
        <v>106</v>
      </c>
      <c r="G47" s="44" t="s">
        <v>108</v>
      </c>
      <c r="H47" s="44" t="s">
        <v>109</v>
      </c>
    </row>
    <row r="48" customFormat="false" ht="12.8" hidden="false" customHeight="false" outlineLevel="0" collapsed="false">
      <c r="A48" s="1" t="n">
        <v>11</v>
      </c>
      <c r="B48" s="44" t="s">
        <v>110</v>
      </c>
      <c r="C48" s="44" t="s">
        <v>111</v>
      </c>
      <c r="D48" s="44" t="s">
        <v>112</v>
      </c>
      <c r="E48" s="44" t="s">
        <v>113</v>
      </c>
      <c r="F48" s="44" t="s">
        <v>112</v>
      </c>
      <c r="G48" s="44" t="s">
        <v>114</v>
      </c>
      <c r="H48" s="44" t="s">
        <v>115</v>
      </c>
    </row>
    <row r="49" customFormat="false" ht="12.8" hidden="false" customHeight="false" outlineLevel="0" collapsed="false">
      <c r="A49" s="1" t="n">
        <v>10</v>
      </c>
      <c r="B49" s="44" t="s">
        <v>104</v>
      </c>
      <c r="C49" s="44" t="s">
        <v>105</v>
      </c>
      <c r="D49" s="44" t="s">
        <v>106</v>
      </c>
      <c r="E49" s="44" t="s">
        <v>107</v>
      </c>
      <c r="F49" s="44" t="s">
        <v>106</v>
      </c>
      <c r="G49" s="44" t="s">
        <v>108</v>
      </c>
      <c r="H49" s="44" t="s">
        <v>109</v>
      </c>
    </row>
    <row r="50" customFormat="false" ht="12.8" hidden="false" customHeight="false" outlineLevel="0" collapsed="false">
      <c r="A50" s="1" t="n">
        <v>9</v>
      </c>
      <c r="B50" s="44" t="s">
        <v>110</v>
      </c>
      <c r="C50" s="44" t="s">
        <v>111</v>
      </c>
      <c r="D50" s="44" t="s">
        <v>112</v>
      </c>
      <c r="E50" s="44" t="s">
        <v>113</v>
      </c>
      <c r="F50" s="44" t="s">
        <v>112</v>
      </c>
      <c r="G50" s="44" t="s">
        <v>114</v>
      </c>
      <c r="H50" s="44" t="s">
        <v>115</v>
      </c>
    </row>
    <row r="51" customFormat="false" ht="12.8" hidden="false" customHeight="false" outlineLevel="0" collapsed="false">
      <c r="A51" s="1" t="n">
        <v>8</v>
      </c>
      <c r="B51" s="44" t="s">
        <v>104</v>
      </c>
      <c r="C51" s="44" t="s">
        <v>105</v>
      </c>
      <c r="D51" s="44" t="s">
        <v>106</v>
      </c>
      <c r="E51" s="44" t="s">
        <v>107</v>
      </c>
      <c r="F51" s="44" t="s">
        <v>106</v>
      </c>
      <c r="G51" s="44" t="s">
        <v>108</v>
      </c>
      <c r="H51" s="44" t="s">
        <v>109</v>
      </c>
    </row>
    <row r="52" customFormat="false" ht="12.8" hidden="false" customHeight="false" outlineLevel="0" collapsed="false">
      <c r="A52" s="1" t="n">
        <v>7</v>
      </c>
      <c r="B52" s="44" t="s">
        <v>110</v>
      </c>
      <c r="C52" s="44" t="s">
        <v>111</v>
      </c>
      <c r="D52" s="44" t="s">
        <v>112</v>
      </c>
      <c r="E52" s="44" t="s">
        <v>113</v>
      </c>
      <c r="F52" s="44" t="s">
        <v>112</v>
      </c>
      <c r="G52" s="44" t="s">
        <v>114</v>
      </c>
      <c r="H52" s="44" t="s">
        <v>115</v>
      </c>
    </row>
    <row r="53" customFormat="false" ht="12.8" hidden="false" customHeight="false" outlineLevel="0" collapsed="false">
      <c r="A53" s="1" t="n">
        <v>6</v>
      </c>
      <c r="B53" s="44" t="s">
        <v>104</v>
      </c>
      <c r="C53" s="44" t="s">
        <v>105</v>
      </c>
      <c r="D53" s="44" t="s">
        <v>106</v>
      </c>
      <c r="E53" s="44" t="s">
        <v>107</v>
      </c>
      <c r="F53" s="44" t="s">
        <v>106</v>
      </c>
      <c r="G53" s="44" t="s">
        <v>108</v>
      </c>
      <c r="H53" s="44" t="s">
        <v>109</v>
      </c>
    </row>
    <row r="54" customFormat="false" ht="12.8" hidden="false" customHeight="false" outlineLevel="0" collapsed="false">
      <c r="A54" s="1" t="n">
        <v>5</v>
      </c>
      <c r="B54" s="44" t="s">
        <v>110</v>
      </c>
      <c r="C54" s="44" t="s">
        <v>111</v>
      </c>
      <c r="D54" s="44" t="s">
        <v>112</v>
      </c>
      <c r="E54" s="44" t="s">
        <v>113</v>
      </c>
      <c r="F54" s="44" t="s">
        <v>112</v>
      </c>
      <c r="G54" s="44" t="s">
        <v>114</v>
      </c>
      <c r="H54" s="44" t="s">
        <v>115</v>
      </c>
    </row>
    <row r="55" customFormat="false" ht="12.8" hidden="false" customHeight="false" outlineLevel="0" collapsed="false">
      <c r="A55" s="1" t="n">
        <v>4</v>
      </c>
      <c r="B55" s="44" t="s">
        <v>104</v>
      </c>
      <c r="C55" s="44" t="s">
        <v>105</v>
      </c>
      <c r="D55" s="44" t="s">
        <v>106</v>
      </c>
      <c r="E55" s="44" t="s">
        <v>107</v>
      </c>
      <c r="F55" s="44" t="s">
        <v>106</v>
      </c>
      <c r="G55" s="44" t="s">
        <v>108</v>
      </c>
      <c r="H55" s="44" t="s">
        <v>109</v>
      </c>
      <c r="J55" s="11" t="str">
        <f aca="false">_xlfn.CONCAT(B55,", ",C55,", ",D55,", ",E55,", ", F55,", ",G55,", ",H55)</f>
        <v>ВН-29-К5(а), ВН-30-К5(а), ВН-31-К5(а), ВН-32-К5(а), ВН-31-К5(а), ВН-33-К5(а), ВН-34-К5(а)</v>
      </c>
    </row>
    <row r="56" customFormat="false" ht="12.8" hidden="false" customHeight="false" outlineLevel="0" collapsed="false">
      <c r="A56" s="1" t="n">
        <v>3</v>
      </c>
      <c r="B56" s="44" t="s">
        <v>110</v>
      </c>
      <c r="C56" s="44" t="s">
        <v>111</v>
      </c>
      <c r="D56" s="44" t="s">
        <v>112</v>
      </c>
      <c r="E56" s="44" t="s">
        <v>113</v>
      </c>
      <c r="F56" s="44" t="s">
        <v>112</v>
      </c>
      <c r="G56" s="44" t="s">
        <v>114</v>
      </c>
      <c r="H56" s="44" t="s">
        <v>115</v>
      </c>
      <c r="J56" s="11" t="str">
        <f aca="false">_xlfn.CONCAT(B56,", ",C56,", ",D56,", ",E56,", ", F56,", ",G56,", ",H56)</f>
        <v>ВН-35-К5(а), ВН-36-К5(а), ВН-37-К5(а), ВН-38-К5(а), ВН-37-К5(а), ВН-39-К5(а), ВН-40-К5(а)</v>
      </c>
    </row>
    <row r="57" customFormat="false" ht="12.8" hidden="false" customHeight="false" outlineLevel="0" collapsed="false">
      <c r="A57" s="51" t="n">
        <v>2</v>
      </c>
      <c r="B57" s="52" t="s">
        <v>129</v>
      </c>
      <c r="C57" s="52" t="s">
        <v>130</v>
      </c>
      <c r="D57" s="52" t="s">
        <v>131</v>
      </c>
      <c r="E57" s="52" t="s">
        <v>132</v>
      </c>
      <c r="F57" s="52" t="s">
        <v>131</v>
      </c>
      <c r="G57" s="52" t="s">
        <v>133</v>
      </c>
      <c r="H57" s="52" t="s">
        <v>134</v>
      </c>
      <c r="J57" s="11" t="str">
        <f aca="false">_xlfn.CONCAT(B57,", ",C57,", ",D57,", ",E57,", ", F57,", ",G57,", ",H57)</f>
        <v>ВН-25-К5(а)-1, ВН-26-К5(а)-1, ВН-27-К5(а), ВН-28-К5(а), ВН-27-К5(а), ВН-26-К5(а)-2, ВН-25-К5(а)-2</v>
      </c>
    </row>
  </sheetData>
  <printOptions headings="false" gridLines="false" gridLinesSet="true" horizontalCentered="false" verticalCentered="false"/>
  <pageMargins left="0.7875" right="0.7875" top="1.05277777777778" bottom="1.05277777777778" header="0.7875" footer="0.7875"/>
  <pageSetup paperSize="9" scale="100" fitToWidth="1" fitToHeight="1" pageOrder="downThenOver" orientation="portrait" blackAndWhite="false" draft="false" cellComments="none" horizontalDpi="300" verticalDpi="300" copies="1"/>
  <headerFooter differentFirst="false" differentOddEven="false">
    <oddHeader>&amp;C&amp;"Times New Roman,Обычный"&amp;12&amp;A</oddHeader>
    <oddFooter>&amp;C&amp;"Times New Roman,Обычный"&amp;12Страница &amp;P</oddFooter>
  </headerFooter>
</worksheet>
</file>

<file path=xl/worksheets/sheet8.xml><?xml version="1.0" encoding="utf-8"?>
<worksheet xmlns="http://schemas.openxmlformats.org/spreadsheetml/2006/main" xmlns:r="http://schemas.openxmlformats.org/officeDocument/2006/relationships" xmlns:xdr="http://schemas.openxmlformats.org/drawingml/2006/spreadsheetDrawing" xmlns:x14="http://schemas.microsoft.com/office/spreadsheetml/2009/9/main" xmlns:xr2="http://schemas.microsoft.com/office/spreadsheetml/2015/revision2" xmlns:mc="http://schemas.openxmlformats.org/markup-compatibility/2006">
  <sheetPr filterMode="false">
    <pageSetUpPr fitToPage="false"/>
  </sheetPr>
  <dimension ref="A1:D8"/>
  <sheetViews>
    <sheetView showFormulas="false" showGridLines="true" showRowColHeaders="true" showZeros="true" rightToLeft="false" tabSelected="false" showOutlineSymbols="true" defaultGridColor="true" view="normal" topLeftCell="A1" colorId="64" zoomScale="100" zoomScaleNormal="100" zoomScalePageLayoutView="100" workbookViewId="0">
      <selection pane="topLeft" activeCell="C23" activeCellId="0" sqref="A2:K31"/>
    </sheetView>
  </sheetViews>
  <sheetFormatPr defaultColWidth="11.53515625" defaultRowHeight="12.8" customHeight="true" zeroHeight="false" outlineLevelRow="0" outlineLevelCol="0"/>
  <cols>
    <col collapsed="false" customWidth="true" hidden="false" outlineLevel="0" max="2" min="2" style="11" width="66.22"/>
    <col collapsed="false" customWidth="true" hidden="false" outlineLevel="0" max="3" min="3" style="11" width="85.42"/>
    <col collapsed="false" customWidth="true" hidden="false" outlineLevel="0" max="4" min="4" style="11" width="14.06"/>
  </cols>
  <sheetData>
    <row r="1" customFormat="false" ht="12.8" hidden="false" customHeight="false" outlineLevel="0" collapsed="false">
      <c r="A1" s="53" t="s">
        <v>69</v>
      </c>
      <c r="B1" s="53" t="s">
        <v>135</v>
      </c>
      <c r="C1" s="53" t="s">
        <v>136</v>
      </c>
      <c r="D1" s="53" t="s">
        <v>137</v>
      </c>
    </row>
    <row r="2" customFormat="false" ht="12.8" hidden="false" customHeight="false" outlineLevel="0" collapsed="false">
      <c r="A2" s="11" t="n">
        <v>2</v>
      </c>
      <c r="B2" s="1" t="n">
        <v>2</v>
      </c>
      <c r="C2" s="11" t="str">
        <f aca="false">Изделия1!J57</f>
        <v>ВН-25-К5(а)-1, ВН-26-К5(а)-1, ВН-27-К5(а), ВН-28-К5(а), ВН-27-К5(а), ВН-26-К5(а)-2, ВН-25-К5(а)-2</v>
      </c>
      <c r="D2" s="11" t="n">
        <v>1</v>
      </c>
    </row>
    <row r="3" customFormat="false" ht="12.8" hidden="false" customHeight="false" outlineLevel="0" collapsed="false">
      <c r="A3" s="11" t="n">
        <v>3</v>
      </c>
      <c r="B3" s="1" t="s">
        <v>138</v>
      </c>
      <c r="C3" s="11" t="str">
        <f aca="false">Изделия1!J56</f>
        <v>ВН-35-К5(а), ВН-36-К5(а), ВН-37-К5(а), ВН-38-К5(а), ВН-37-К5(а), ВН-39-К5(а), ВН-40-К5(а)</v>
      </c>
      <c r="D3" s="11" t="n">
        <v>25</v>
      </c>
    </row>
    <row r="4" customFormat="false" ht="12.8" hidden="false" customHeight="false" outlineLevel="0" collapsed="false">
      <c r="A4" s="11" t="n">
        <v>4</v>
      </c>
      <c r="B4" s="1" t="s">
        <v>139</v>
      </c>
      <c r="C4" s="11" t="str">
        <f aca="false">Изделия1!J55</f>
        <v>ВН-29-К5(а), ВН-30-К5(а), ВН-31-К5(а), ВН-32-К5(а), ВН-31-К5(а), ВН-33-К5(а), ВН-34-К5(а)</v>
      </c>
      <c r="D4" s="11" t="n">
        <v>25</v>
      </c>
    </row>
    <row r="5" customFormat="false" ht="12.8" hidden="false" customHeight="false" outlineLevel="0" collapsed="false">
      <c r="A5" s="11" t="n">
        <v>19</v>
      </c>
      <c r="B5" s="1" t="s">
        <v>140</v>
      </c>
      <c r="C5" s="11" t="str">
        <f aca="false">Изделия1!J40</f>
        <v>ВН-41-К5(а), ВН-42-К5(а), ВН-43-К5(а), ВН-44-К5(а), ВН-43-К5(а), ВН-45-К5(а), ВН-46-К5(а)</v>
      </c>
      <c r="D5" s="11" t="n">
        <v>2</v>
      </c>
    </row>
    <row r="6" customFormat="false" ht="12.8" hidden="false" customHeight="false" outlineLevel="0" collapsed="false">
      <c r="A6" s="11" t="n">
        <v>20</v>
      </c>
      <c r="B6" s="1" t="n">
        <v>20</v>
      </c>
      <c r="C6" s="11" t="str">
        <f aca="false">Изделия1!J39</f>
        <v>ВН-47-К5(а), ВН-48-К5(а), ВН-49-К5(а), ВН-50-К5(а), ВН-49-К5(а), ВН-51-К5(а), ВН-52-К5(а)</v>
      </c>
      <c r="D6" s="11" t="n">
        <v>1</v>
      </c>
    </row>
    <row r="7" customFormat="false" ht="12.8" hidden="false" customHeight="false" outlineLevel="0" collapsed="false">
      <c r="A7" s="11" t="n">
        <v>40</v>
      </c>
      <c r="B7" s="1" t="n">
        <v>40</v>
      </c>
      <c r="C7" s="11" t="str">
        <f aca="false">Изделия1!J19</f>
        <v>ВН-47-К5(а), ВН-48-К5(а), ВН-49-К5(а), ВН-50-К5(а) -к1, ВН-49-К5(а), ВН-51-К5(а), ВН-52-К5(а)</v>
      </c>
      <c r="D7" s="11" t="n">
        <v>1</v>
      </c>
    </row>
    <row r="8" customFormat="false" ht="12.8" hidden="false" customHeight="false" outlineLevel="0" collapsed="false">
      <c r="A8" s="11" t="n">
        <v>57</v>
      </c>
      <c r="B8" s="1" t="n">
        <v>57</v>
      </c>
      <c r="C8" s="11" t="str">
        <f aca="false">Изделия1!J2</f>
        <v>ВН-53-К5(а), ВН-54-К5(а), ВН-55-К5(а), ВН-56-К5(а), ВН-55-К5(а), ВН-57-К5(а), ВН-58-К5(а)</v>
      </c>
      <c r="D8" s="11" t="n">
        <v>1</v>
      </c>
    </row>
  </sheetData>
  <sheetProtection sheet="true" objects="true" scenarios="true"/>
  <printOptions headings="false" gridLines="false" gridLinesSet="true" horizontalCentered="false" verticalCentered="false"/>
  <pageMargins left="0.7875" right="0.7875" top="1.05277777777778" bottom="1.05277777777778" header="0.7875" footer="0.7875"/>
  <pageSetup paperSize="9" scale="100" fitToWidth="1" fitToHeight="1" pageOrder="downThenOver" orientation="portrait" blackAndWhite="false" draft="false" cellComments="none" horizontalDpi="300" verticalDpi="300" copies="1"/>
  <headerFooter differentFirst="false" differentOddEven="false">
    <oddHeader>&amp;C&amp;"Times New Roman,Обычный"&amp;12&amp;A</oddHeader>
    <oddFooter>&amp;C&amp;"Times New Roman,Обычный"&amp;12Страница &amp;P</oddFooter>
  </headerFooter>
</worksheet>
</file>

<file path=xl/worksheets/sheet9.xml><?xml version="1.0" encoding="utf-8"?>
<worksheet xmlns="http://schemas.openxmlformats.org/spreadsheetml/2006/main" xmlns:r="http://schemas.openxmlformats.org/officeDocument/2006/relationships" xmlns:xdr="http://schemas.openxmlformats.org/drawingml/2006/spreadsheetDrawing" xmlns:x14="http://schemas.microsoft.com/office/spreadsheetml/2009/9/main" xmlns:xr2="http://schemas.microsoft.com/office/spreadsheetml/2015/revision2" xmlns:mc="http://schemas.openxmlformats.org/markup-compatibility/2006">
  <sheetPr filterMode="false">
    <pageSetUpPr fitToPage="false"/>
  </sheetPr>
  <dimension ref="A1:D393"/>
  <sheetViews>
    <sheetView showFormulas="false" showGridLines="true" showRowColHeaders="true" showZeros="true" rightToLeft="false" tabSelected="false" showOutlineSymbols="true" defaultGridColor="true" view="normal" topLeftCell="A13" colorId="64" zoomScale="100" zoomScaleNormal="100" zoomScalePageLayoutView="100" workbookViewId="0">
      <selection pane="topLeft" activeCell="G31" activeCellId="0" sqref="A2:K31"/>
    </sheetView>
  </sheetViews>
  <sheetFormatPr defaultColWidth="11.53515625" defaultRowHeight="12.8" customHeight="true" zeroHeight="false" outlineLevelRow="0" outlineLevelCol="0"/>
  <cols>
    <col collapsed="false" customWidth="true" hidden="false" outlineLevel="0" max="1" min="1" style="11" width="18.92"/>
    <col collapsed="false" customWidth="true" hidden="false" outlineLevel="0" max="2" min="2" style="1" width="18.92"/>
    <col collapsed="false" customWidth="true" hidden="false" outlineLevel="0" max="4" min="3" style="11" width="18.92"/>
  </cols>
  <sheetData>
    <row r="1" customFormat="false" ht="12.8" hidden="false" customHeight="false" outlineLevel="0" collapsed="false">
      <c r="A1" s="6" t="s">
        <v>141</v>
      </c>
      <c r="B1" s="1" t="s">
        <v>69</v>
      </c>
      <c r="C1" s="6" t="s">
        <v>142</v>
      </c>
      <c r="D1" s="6" t="s">
        <v>143</v>
      </c>
    </row>
    <row r="2" customFormat="false" ht="12.8" hidden="false" customHeight="false" outlineLevel="0" collapsed="false">
      <c r="A2" s="11" t="n">
        <v>1</v>
      </c>
      <c r="B2" s="1" t="n">
        <f aca="false">Изделия1!A2</f>
        <v>57</v>
      </c>
      <c r="C2" s="11" t="str">
        <f aca="false">Изделия1!B2</f>
        <v>ВН-53-К5(а)</v>
      </c>
      <c r="D2" s="11" t="n">
        <v>1</v>
      </c>
    </row>
    <row r="3" customFormat="false" ht="12.8" hidden="false" customHeight="false" outlineLevel="0" collapsed="false">
      <c r="A3" s="11" t="n">
        <v>1</v>
      </c>
      <c r="B3" s="1" t="n">
        <f aca="false">Изделия1!A3</f>
        <v>56</v>
      </c>
      <c r="C3" s="11" t="str">
        <f aca="false">Изделия1!B3</f>
        <v>ВН-29-К5(а)</v>
      </c>
      <c r="D3" s="11" t="n">
        <v>1</v>
      </c>
    </row>
    <row r="4" customFormat="false" ht="12.8" hidden="false" customHeight="false" outlineLevel="0" collapsed="false">
      <c r="A4" s="11" t="n">
        <v>1</v>
      </c>
      <c r="B4" s="1" t="n">
        <f aca="false">Изделия1!A4</f>
        <v>55</v>
      </c>
      <c r="C4" s="11" t="str">
        <f aca="false">Изделия1!B4</f>
        <v>ВН-35-К5(а)</v>
      </c>
      <c r="D4" s="11" t="n">
        <v>1</v>
      </c>
    </row>
    <row r="5" customFormat="false" ht="12.8" hidden="false" customHeight="false" outlineLevel="0" collapsed="false">
      <c r="A5" s="11" t="n">
        <v>1</v>
      </c>
      <c r="B5" s="1" t="n">
        <f aca="false">Изделия1!A5</f>
        <v>54</v>
      </c>
      <c r="C5" s="11" t="str">
        <f aca="false">Изделия1!B5</f>
        <v>ВН-29-К5(а)</v>
      </c>
      <c r="D5" s="11" t="n">
        <v>1</v>
      </c>
    </row>
    <row r="6" customFormat="false" ht="12.8" hidden="false" customHeight="false" outlineLevel="0" collapsed="false">
      <c r="A6" s="11" t="n">
        <v>1</v>
      </c>
      <c r="B6" s="1" t="n">
        <f aca="false">Изделия1!A6</f>
        <v>53</v>
      </c>
      <c r="C6" s="11" t="str">
        <f aca="false">Изделия1!B6</f>
        <v>ВН-35-К5(а)</v>
      </c>
      <c r="D6" s="11" t="n">
        <v>1</v>
      </c>
    </row>
    <row r="7" customFormat="false" ht="12.8" hidden="false" customHeight="false" outlineLevel="0" collapsed="false">
      <c r="A7" s="11" t="n">
        <v>1</v>
      </c>
      <c r="B7" s="1" t="n">
        <f aca="false">Изделия1!A7</f>
        <v>52</v>
      </c>
      <c r="C7" s="11" t="str">
        <f aca="false">Изделия1!B7</f>
        <v>ВН-29-К5(а)</v>
      </c>
      <c r="D7" s="11" t="n">
        <v>1</v>
      </c>
    </row>
    <row r="8" customFormat="false" ht="12.8" hidden="false" customHeight="false" outlineLevel="0" collapsed="false">
      <c r="A8" s="11" t="n">
        <v>1</v>
      </c>
      <c r="B8" s="1" t="n">
        <f aca="false">Изделия1!A8</f>
        <v>51</v>
      </c>
      <c r="C8" s="11" t="str">
        <f aca="false">Изделия1!B8</f>
        <v>ВН-35-К5(а)</v>
      </c>
      <c r="D8" s="11" t="n">
        <v>1</v>
      </c>
    </row>
    <row r="9" customFormat="false" ht="12.8" hidden="false" customHeight="false" outlineLevel="0" collapsed="false">
      <c r="A9" s="11" t="n">
        <v>1</v>
      </c>
      <c r="B9" s="1" t="n">
        <f aca="false">Изделия1!A9</f>
        <v>50</v>
      </c>
      <c r="C9" s="11" t="str">
        <f aca="false">Изделия1!B9</f>
        <v>ВН-29-К5(а)</v>
      </c>
      <c r="D9" s="11" t="n">
        <v>1</v>
      </c>
    </row>
    <row r="10" customFormat="false" ht="12.8" hidden="false" customHeight="false" outlineLevel="0" collapsed="false">
      <c r="A10" s="11" t="n">
        <v>1</v>
      </c>
      <c r="B10" s="1" t="n">
        <f aca="false">Изделия1!A10</f>
        <v>49</v>
      </c>
      <c r="C10" s="11" t="str">
        <f aca="false">Изделия1!B10</f>
        <v>ВН-35-К5(а)</v>
      </c>
      <c r="D10" s="11" t="n">
        <v>1</v>
      </c>
    </row>
    <row r="11" customFormat="false" ht="12.8" hidden="false" customHeight="false" outlineLevel="0" collapsed="false">
      <c r="A11" s="11" t="n">
        <v>1</v>
      </c>
      <c r="B11" s="1" t="n">
        <f aca="false">Изделия1!A11</f>
        <v>48</v>
      </c>
      <c r="C11" s="11" t="str">
        <f aca="false">Изделия1!B11</f>
        <v>ВН-29-К5(а)</v>
      </c>
      <c r="D11" s="11" t="n">
        <v>1</v>
      </c>
    </row>
    <row r="12" customFormat="false" ht="12.8" hidden="false" customHeight="false" outlineLevel="0" collapsed="false">
      <c r="A12" s="11" t="n">
        <v>1</v>
      </c>
      <c r="B12" s="1" t="n">
        <f aca="false">Изделия1!A12</f>
        <v>47</v>
      </c>
      <c r="C12" s="11" t="str">
        <f aca="false">Изделия1!B12</f>
        <v>ВН-35-К5(а)</v>
      </c>
      <c r="D12" s="11" t="n">
        <v>1</v>
      </c>
    </row>
    <row r="13" customFormat="false" ht="12.8" hidden="false" customHeight="false" outlineLevel="0" collapsed="false">
      <c r="A13" s="11" t="n">
        <v>1</v>
      </c>
      <c r="B13" s="1" t="n">
        <f aca="false">Изделия1!A13</f>
        <v>46</v>
      </c>
      <c r="C13" s="11" t="str">
        <f aca="false">Изделия1!B13</f>
        <v>ВН-29-К5(а)</v>
      </c>
      <c r="D13" s="11" t="n">
        <v>1</v>
      </c>
    </row>
    <row r="14" customFormat="false" ht="12.8" hidden="false" customHeight="false" outlineLevel="0" collapsed="false">
      <c r="A14" s="11" t="n">
        <v>1</v>
      </c>
      <c r="B14" s="1" t="n">
        <f aca="false">Изделия1!A14</f>
        <v>45</v>
      </c>
      <c r="C14" s="11" t="str">
        <f aca="false">Изделия1!B14</f>
        <v>ВН-35-К5(а)</v>
      </c>
      <c r="D14" s="11" t="n">
        <v>1</v>
      </c>
    </row>
    <row r="15" customFormat="false" ht="12.8" hidden="false" customHeight="false" outlineLevel="0" collapsed="false">
      <c r="A15" s="11" t="n">
        <v>1</v>
      </c>
      <c r="B15" s="1" t="n">
        <f aca="false">Изделия1!A15</f>
        <v>44</v>
      </c>
      <c r="C15" s="11" t="str">
        <f aca="false">Изделия1!B15</f>
        <v>ВН-29-К5(а)</v>
      </c>
      <c r="D15" s="11" t="n">
        <v>1</v>
      </c>
    </row>
    <row r="16" customFormat="false" ht="12.8" hidden="false" customHeight="false" outlineLevel="0" collapsed="false">
      <c r="A16" s="11" t="n">
        <v>1</v>
      </c>
      <c r="B16" s="1" t="n">
        <f aca="false">Изделия1!A16</f>
        <v>43</v>
      </c>
      <c r="C16" s="11" t="str">
        <f aca="false">Изделия1!B16</f>
        <v>ВН-35-К5(а)</v>
      </c>
      <c r="D16" s="11" t="n">
        <v>1</v>
      </c>
    </row>
    <row r="17" customFormat="false" ht="12.8" hidden="false" customHeight="false" outlineLevel="0" collapsed="false">
      <c r="A17" s="11" t="n">
        <v>1</v>
      </c>
      <c r="B17" s="1" t="n">
        <f aca="false">Изделия1!A17</f>
        <v>42</v>
      </c>
      <c r="C17" s="11" t="str">
        <f aca="false">Изделия1!B17</f>
        <v>ВН-29-К5(а)</v>
      </c>
      <c r="D17" s="11" t="n">
        <v>1</v>
      </c>
    </row>
    <row r="18" customFormat="false" ht="12.8" hidden="false" customHeight="false" outlineLevel="0" collapsed="false">
      <c r="A18" s="11" t="n">
        <v>1</v>
      </c>
      <c r="B18" s="1" t="n">
        <f aca="false">Изделия1!A18</f>
        <v>41</v>
      </c>
      <c r="C18" s="11" t="str">
        <f aca="false">Изделия1!B18</f>
        <v>ВН-35-К5(а)</v>
      </c>
      <c r="D18" s="11" t="n">
        <v>1</v>
      </c>
    </row>
    <row r="19" customFormat="false" ht="12.8" hidden="false" customHeight="false" outlineLevel="0" collapsed="false">
      <c r="A19" s="11" t="n">
        <v>1</v>
      </c>
      <c r="B19" s="1" t="n">
        <f aca="false">Изделия1!A19</f>
        <v>40</v>
      </c>
      <c r="C19" s="11" t="str">
        <f aca="false">Изделия1!B19</f>
        <v>ВН-47-К5(а)</v>
      </c>
      <c r="D19" s="11" t="n">
        <v>1</v>
      </c>
    </row>
    <row r="20" customFormat="false" ht="12.8" hidden="false" customHeight="false" outlineLevel="0" collapsed="false">
      <c r="A20" s="11" t="n">
        <v>1</v>
      </c>
      <c r="B20" s="1" t="n">
        <f aca="false">Изделия1!A20</f>
        <v>39</v>
      </c>
      <c r="C20" s="11" t="str">
        <f aca="false">Изделия1!B20</f>
        <v>ВН-41-К5(а)</v>
      </c>
      <c r="D20" s="11" t="n">
        <v>1</v>
      </c>
    </row>
    <row r="21" customFormat="false" ht="12.8" hidden="false" customHeight="false" outlineLevel="0" collapsed="false">
      <c r="A21" s="11" t="n">
        <v>1</v>
      </c>
      <c r="B21" s="1" t="n">
        <f aca="false">Изделия1!A21</f>
        <v>38</v>
      </c>
      <c r="C21" s="11" t="str">
        <f aca="false">Изделия1!B21</f>
        <v>ВН-29-К5(а)</v>
      </c>
      <c r="D21" s="11" t="n">
        <v>1</v>
      </c>
    </row>
    <row r="22" customFormat="false" ht="12.8" hidden="false" customHeight="false" outlineLevel="0" collapsed="false">
      <c r="A22" s="11" t="n">
        <v>1</v>
      </c>
      <c r="B22" s="1" t="n">
        <f aca="false">Изделия1!A22</f>
        <v>37</v>
      </c>
      <c r="C22" s="11" t="str">
        <f aca="false">Изделия1!B22</f>
        <v>ВН-35-К5(а)</v>
      </c>
      <c r="D22" s="11" t="n">
        <v>1</v>
      </c>
    </row>
    <row r="23" customFormat="false" ht="12.8" hidden="false" customHeight="false" outlineLevel="0" collapsed="false">
      <c r="A23" s="11" t="n">
        <v>1</v>
      </c>
      <c r="B23" s="1" t="n">
        <f aca="false">Изделия1!A23</f>
        <v>36</v>
      </c>
      <c r="C23" s="11" t="str">
        <f aca="false">Изделия1!B23</f>
        <v>ВН-29-К5(а)</v>
      </c>
      <c r="D23" s="11" t="n">
        <v>1</v>
      </c>
    </row>
    <row r="24" customFormat="false" ht="12.8" hidden="false" customHeight="false" outlineLevel="0" collapsed="false">
      <c r="A24" s="11" t="n">
        <v>1</v>
      </c>
      <c r="B24" s="1" t="n">
        <f aca="false">Изделия1!A24</f>
        <v>35</v>
      </c>
      <c r="C24" s="11" t="str">
        <f aca="false">Изделия1!B24</f>
        <v>ВН-35-К5(а)</v>
      </c>
      <c r="D24" s="11" t="n">
        <v>1</v>
      </c>
    </row>
    <row r="25" customFormat="false" ht="12.8" hidden="false" customHeight="false" outlineLevel="0" collapsed="false">
      <c r="A25" s="11" t="n">
        <v>1</v>
      </c>
      <c r="B25" s="1" t="n">
        <f aca="false">Изделия1!A25</f>
        <v>34</v>
      </c>
      <c r="C25" s="11" t="str">
        <f aca="false">Изделия1!B25</f>
        <v>ВН-29-К5(а)</v>
      </c>
      <c r="D25" s="11" t="n">
        <v>1</v>
      </c>
    </row>
    <row r="26" customFormat="false" ht="12.8" hidden="false" customHeight="false" outlineLevel="0" collapsed="false">
      <c r="A26" s="11" t="n">
        <v>1</v>
      </c>
      <c r="B26" s="1" t="n">
        <f aca="false">Изделия1!A26</f>
        <v>33</v>
      </c>
      <c r="C26" s="11" t="str">
        <f aca="false">Изделия1!B26</f>
        <v>ВН-35-К5(а)</v>
      </c>
      <c r="D26" s="11" t="n">
        <v>1</v>
      </c>
    </row>
    <row r="27" customFormat="false" ht="12.8" hidden="false" customHeight="false" outlineLevel="0" collapsed="false">
      <c r="A27" s="11" t="n">
        <v>1</v>
      </c>
      <c r="B27" s="1" t="n">
        <f aca="false">Изделия1!A27</f>
        <v>32</v>
      </c>
      <c r="C27" s="11" t="str">
        <f aca="false">Изделия1!B27</f>
        <v>ВН-29-К5(а)</v>
      </c>
      <c r="D27" s="11" t="n">
        <v>1</v>
      </c>
    </row>
    <row r="28" customFormat="false" ht="12.8" hidden="false" customHeight="false" outlineLevel="0" collapsed="false">
      <c r="A28" s="11" t="n">
        <v>1</v>
      </c>
      <c r="B28" s="1" t="n">
        <f aca="false">Изделия1!A28</f>
        <v>31</v>
      </c>
      <c r="C28" s="11" t="str">
        <f aca="false">Изделия1!B28</f>
        <v>ВН-35-К5(а)</v>
      </c>
      <c r="D28" s="11" t="n">
        <v>1</v>
      </c>
    </row>
    <row r="29" customFormat="false" ht="12.8" hidden="false" customHeight="false" outlineLevel="0" collapsed="false">
      <c r="A29" s="11" t="n">
        <v>1</v>
      </c>
      <c r="B29" s="1" t="n">
        <f aca="false">Изделия1!A29</f>
        <v>30</v>
      </c>
      <c r="C29" s="11" t="str">
        <f aca="false">Изделия1!B29</f>
        <v>ВН-29-К5(а)</v>
      </c>
      <c r="D29" s="11" t="n">
        <v>1</v>
      </c>
    </row>
    <row r="30" customFormat="false" ht="12.8" hidden="false" customHeight="false" outlineLevel="0" collapsed="false">
      <c r="A30" s="11" t="n">
        <v>1</v>
      </c>
      <c r="B30" s="1" t="n">
        <f aca="false">Изделия1!A30</f>
        <v>29</v>
      </c>
      <c r="C30" s="11" t="str">
        <f aca="false">Изделия1!B30</f>
        <v>ВН-35-К5(а)</v>
      </c>
      <c r="D30" s="11" t="n">
        <v>1</v>
      </c>
    </row>
    <row r="31" customFormat="false" ht="12.8" hidden="false" customHeight="false" outlineLevel="0" collapsed="false">
      <c r="A31" s="11" t="n">
        <v>1</v>
      </c>
      <c r="B31" s="1" t="n">
        <f aca="false">Изделия1!A31</f>
        <v>28</v>
      </c>
      <c r="C31" s="11" t="str">
        <f aca="false">Изделия1!B31</f>
        <v>ВН-29-К5(а)</v>
      </c>
      <c r="D31" s="11" t="n">
        <v>1</v>
      </c>
    </row>
    <row r="32" customFormat="false" ht="12.8" hidden="false" customHeight="false" outlineLevel="0" collapsed="false">
      <c r="A32" s="11" t="n">
        <v>1</v>
      </c>
      <c r="B32" s="1" t="n">
        <f aca="false">Изделия1!A32</f>
        <v>27</v>
      </c>
      <c r="C32" s="11" t="str">
        <f aca="false">Изделия1!B32</f>
        <v>ВН-35-К5(а)</v>
      </c>
      <c r="D32" s="11" t="n">
        <v>1</v>
      </c>
    </row>
    <row r="33" customFormat="false" ht="12.8" hidden="false" customHeight="false" outlineLevel="0" collapsed="false">
      <c r="A33" s="11" t="n">
        <v>1</v>
      </c>
      <c r="B33" s="1" t="n">
        <f aca="false">Изделия1!A33</f>
        <v>26</v>
      </c>
      <c r="C33" s="11" t="str">
        <f aca="false">Изделия1!B33</f>
        <v>ВН-29-К5(а)</v>
      </c>
      <c r="D33" s="11" t="n">
        <v>1</v>
      </c>
    </row>
    <row r="34" customFormat="false" ht="12.8" hidden="false" customHeight="false" outlineLevel="0" collapsed="false">
      <c r="A34" s="11" t="n">
        <v>1</v>
      </c>
      <c r="B34" s="1" t="n">
        <f aca="false">Изделия1!A34</f>
        <v>25</v>
      </c>
      <c r="C34" s="11" t="str">
        <f aca="false">Изделия1!B34</f>
        <v>ВН-35-К5(а)</v>
      </c>
      <c r="D34" s="11" t="n">
        <v>1</v>
      </c>
    </row>
    <row r="35" customFormat="false" ht="12.8" hidden="false" customHeight="false" outlineLevel="0" collapsed="false">
      <c r="A35" s="11" t="n">
        <v>1</v>
      </c>
      <c r="B35" s="1" t="n">
        <f aca="false">Изделия1!A35</f>
        <v>24</v>
      </c>
      <c r="C35" s="11" t="str">
        <f aca="false">Изделия1!B35</f>
        <v>ВН-29-К5(а)</v>
      </c>
      <c r="D35" s="11" t="n">
        <v>1</v>
      </c>
    </row>
    <row r="36" customFormat="false" ht="12.8" hidden="false" customHeight="false" outlineLevel="0" collapsed="false">
      <c r="A36" s="11" t="n">
        <v>1</v>
      </c>
      <c r="B36" s="1" t="n">
        <f aca="false">Изделия1!A36</f>
        <v>23</v>
      </c>
      <c r="C36" s="11" t="str">
        <f aca="false">Изделия1!B36</f>
        <v>ВН-35-К5(а)</v>
      </c>
      <c r="D36" s="11" t="n">
        <v>1</v>
      </c>
    </row>
    <row r="37" customFormat="false" ht="12.8" hidden="false" customHeight="false" outlineLevel="0" collapsed="false">
      <c r="A37" s="11" t="n">
        <v>1</v>
      </c>
      <c r="B37" s="1" t="n">
        <f aca="false">Изделия1!A37</f>
        <v>22</v>
      </c>
      <c r="C37" s="11" t="str">
        <f aca="false">Изделия1!B37</f>
        <v>ВН-29-К5(а)</v>
      </c>
      <c r="D37" s="11" t="n">
        <v>1</v>
      </c>
    </row>
    <row r="38" customFormat="false" ht="12.8" hidden="false" customHeight="false" outlineLevel="0" collapsed="false">
      <c r="A38" s="11" t="n">
        <v>1</v>
      </c>
      <c r="B38" s="1" t="n">
        <f aca="false">Изделия1!A38</f>
        <v>21</v>
      </c>
      <c r="C38" s="11" t="str">
        <f aca="false">Изделия1!B38</f>
        <v>ВН-35-К5(а)</v>
      </c>
      <c r="D38" s="11" t="n">
        <v>1</v>
      </c>
    </row>
    <row r="39" customFormat="false" ht="12.8" hidden="false" customHeight="false" outlineLevel="0" collapsed="false">
      <c r="A39" s="11" t="n">
        <v>1</v>
      </c>
      <c r="B39" s="1" t="n">
        <f aca="false">Изделия1!A39</f>
        <v>20</v>
      </c>
      <c r="C39" s="11" t="str">
        <f aca="false">Изделия1!B39</f>
        <v>ВН-47-К5(а)</v>
      </c>
      <c r="D39" s="11" t="n">
        <v>1</v>
      </c>
    </row>
    <row r="40" customFormat="false" ht="12.8" hidden="false" customHeight="false" outlineLevel="0" collapsed="false">
      <c r="A40" s="11" t="n">
        <v>1</v>
      </c>
      <c r="B40" s="1" t="n">
        <f aca="false">Изделия1!A40</f>
        <v>19</v>
      </c>
      <c r="C40" s="11" t="str">
        <f aca="false">Изделия1!B40</f>
        <v>ВН-41-К5(а)</v>
      </c>
      <c r="D40" s="11" t="n">
        <v>1</v>
      </c>
    </row>
    <row r="41" customFormat="false" ht="12.8" hidden="false" customHeight="false" outlineLevel="0" collapsed="false">
      <c r="A41" s="11" t="n">
        <v>1</v>
      </c>
      <c r="B41" s="1" t="n">
        <f aca="false">Изделия1!A41</f>
        <v>18</v>
      </c>
      <c r="C41" s="11" t="str">
        <f aca="false">Изделия1!B41</f>
        <v>ВН-29-К5(а)</v>
      </c>
      <c r="D41" s="11" t="n">
        <v>1</v>
      </c>
    </row>
    <row r="42" customFormat="false" ht="12.8" hidden="false" customHeight="false" outlineLevel="0" collapsed="false">
      <c r="A42" s="11" t="n">
        <v>1</v>
      </c>
      <c r="B42" s="1" t="n">
        <f aca="false">Изделия1!A42</f>
        <v>17</v>
      </c>
      <c r="C42" s="11" t="str">
        <f aca="false">Изделия1!B42</f>
        <v>ВН-35-К5(а)</v>
      </c>
      <c r="D42" s="11" t="n">
        <v>1</v>
      </c>
    </row>
    <row r="43" customFormat="false" ht="12.8" hidden="false" customHeight="false" outlineLevel="0" collapsed="false">
      <c r="A43" s="11" t="n">
        <v>1</v>
      </c>
      <c r="B43" s="1" t="n">
        <f aca="false">Изделия1!A43</f>
        <v>16</v>
      </c>
      <c r="C43" s="11" t="str">
        <f aca="false">Изделия1!B43</f>
        <v>ВН-29-К5(а)</v>
      </c>
      <c r="D43" s="11" t="n">
        <v>1</v>
      </c>
    </row>
    <row r="44" customFormat="false" ht="12.8" hidden="false" customHeight="false" outlineLevel="0" collapsed="false">
      <c r="A44" s="11" t="n">
        <v>1</v>
      </c>
      <c r="B44" s="1" t="n">
        <f aca="false">Изделия1!A44</f>
        <v>15</v>
      </c>
      <c r="C44" s="11" t="str">
        <f aca="false">Изделия1!B44</f>
        <v>ВН-35-К5(а)</v>
      </c>
      <c r="D44" s="11" t="n">
        <v>1</v>
      </c>
    </row>
    <row r="45" customFormat="false" ht="12.8" hidden="false" customHeight="false" outlineLevel="0" collapsed="false">
      <c r="A45" s="11" t="n">
        <v>1</v>
      </c>
      <c r="B45" s="1" t="n">
        <f aca="false">Изделия1!A45</f>
        <v>14</v>
      </c>
      <c r="C45" s="11" t="str">
        <f aca="false">Изделия1!B45</f>
        <v>ВН-29-К5(а)</v>
      </c>
      <c r="D45" s="11" t="n">
        <v>1</v>
      </c>
    </row>
    <row r="46" customFormat="false" ht="12.8" hidden="false" customHeight="false" outlineLevel="0" collapsed="false">
      <c r="A46" s="11" t="n">
        <v>1</v>
      </c>
      <c r="B46" s="1" t="n">
        <f aca="false">Изделия1!A46</f>
        <v>13</v>
      </c>
      <c r="C46" s="11" t="str">
        <f aca="false">Изделия1!B46</f>
        <v>ВН-35-К5(а)</v>
      </c>
      <c r="D46" s="11" t="n">
        <v>1</v>
      </c>
    </row>
    <row r="47" customFormat="false" ht="12.8" hidden="false" customHeight="false" outlineLevel="0" collapsed="false">
      <c r="A47" s="11" t="n">
        <v>1</v>
      </c>
      <c r="B47" s="1" t="n">
        <f aca="false">Изделия1!A47</f>
        <v>12</v>
      </c>
      <c r="C47" s="11" t="str">
        <f aca="false">Изделия1!B47</f>
        <v>ВН-29-К5(а)</v>
      </c>
      <c r="D47" s="11" t="n">
        <v>1</v>
      </c>
    </row>
    <row r="48" customFormat="false" ht="12.8" hidden="false" customHeight="false" outlineLevel="0" collapsed="false">
      <c r="A48" s="11" t="n">
        <v>1</v>
      </c>
      <c r="B48" s="1" t="n">
        <f aca="false">Изделия1!A48</f>
        <v>11</v>
      </c>
      <c r="C48" s="11" t="str">
        <f aca="false">Изделия1!B48</f>
        <v>ВН-35-К5(а)</v>
      </c>
      <c r="D48" s="11" t="n">
        <v>1</v>
      </c>
    </row>
    <row r="49" customFormat="false" ht="12.8" hidden="false" customHeight="false" outlineLevel="0" collapsed="false">
      <c r="A49" s="11" t="n">
        <v>1</v>
      </c>
      <c r="B49" s="1" t="n">
        <f aca="false">Изделия1!A49</f>
        <v>10</v>
      </c>
      <c r="C49" s="11" t="str">
        <f aca="false">Изделия1!B49</f>
        <v>ВН-29-К5(а)</v>
      </c>
      <c r="D49" s="11" t="n">
        <v>1</v>
      </c>
    </row>
    <row r="50" customFormat="false" ht="12.8" hidden="false" customHeight="false" outlineLevel="0" collapsed="false">
      <c r="A50" s="11" t="n">
        <v>1</v>
      </c>
      <c r="B50" s="1" t="n">
        <f aca="false">Изделия1!A50</f>
        <v>9</v>
      </c>
      <c r="C50" s="11" t="str">
        <f aca="false">Изделия1!B50</f>
        <v>ВН-35-К5(а)</v>
      </c>
      <c r="D50" s="11" t="n">
        <v>1</v>
      </c>
    </row>
    <row r="51" customFormat="false" ht="12.8" hidden="false" customHeight="false" outlineLevel="0" collapsed="false">
      <c r="A51" s="11" t="n">
        <v>1</v>
      </c>
      <c r="B51" s="1" t="n">
        <f aca="false">Изделия1!A51</f>
        <v>8</v>
      </c>
      <c r="C51" s="11" t="str">
        <f aca="false">Изделия1!B51</f>
        <v>ВН-29-К5(а)</v>
      </c>
      <c r="D51" s="11" t="n">
        <v>1</v>
      </c>
    </row>
    <row r="52" customFormat="false" ht="12.8" hidden="false" customHeight="false" outlineLevel="0" collapsed="false">
      <c r="A52" s="11" t="n">
        <v>1</v>
      </c>
      <c r="B52" s="1" t="n">
        <f aca="false">Изделия1!A52</f>
        <v>7</v>
      </c>
      <c r="C52" s="11" t="str">
        <f aca="false">Изделия1!B52</f>
        <v>ВН-35-К5(а)</v>
      </c>
      <c r="D52" s="11" t="n">
        <v>1</v>
      </c>
    </row>
    <row r="53" customFormat="false" ht="12.8" hidden="false" customHeight="false" outlineLevel="0" collapsed="false">
      <c r="A53" s="11" t="n">
        <v>1</v>
      </c>
      <c r="B53" s="1" t="n">
        <f aca="false">Изделия1!A53</f>
        <v>6</v>
      </c>
      <c r="C53" s="11" t="str">
        <f aca="false">Изделия1!B53</f>
        <v>ВН-29-К5(а)</v>
      </c>
      <c r="D53" s="11" t="n">
        <v>1</v>
      </c>
    </row>
    <row r="54" customFormat="false" ht="12.8" hidden="false" customHeight="false" outlineLevel="0" collapsed="false">
      <c r="A54" s="11" t="n">
        <v>1</v>
      </c>
      <c r="B54" s="1" t="n">
        <f aca="false">Изделия1!A54</f>
        <v>5</v>
      </c>
      <c r="C54" s="11" t="str">
        <f aca="false">Изделия1!B54</f>
        <v>ВН-35-К5(а)</v>
      </c>
      <c r="D54" s="11" t="n">
        <v>1</v>
      </c>
    </row>
    <row r="55" customFormat="false" ht="12.8" hidden="false" customHeight="false" outlineLevel="0" collapsed="false">
      <c r="A55" s="11" t="n">
        <v>1</v>
      </c>
      <c r="B55" s="1" t="n">
        <f aca="false">Изделия1!A55</f>
        <v>4</v>
      </c>
      <c r="C55" s="11" t="str">
        <f aca="false">Изделия1!B55</f>
        <v>ВН-29-К5(а)</v>
      </c>
      <c r="D55" s="11" t="n">
        <v>1</v>
      </c>
    </row>
    <row r="56" customFormat="false" ht="12.8" hidden="false" customHeight="false" outlineLevel="0" collapsed="false">
      <c r="A56" s="11" t="n">
        <v>1</v>
      </c>
      <c r="B56" s="1" t="n">
        <f aca="false">Изделия1!A56</f>
        <v>3</v>
      </c>
      <c r="C56" s="11" t="str">
        <f aca="false">Изделия1!B56</f>
        <v>ВН-35-К5(а)</v>
      </c>
      <c r="D56" s="11" t="n">
        <v>1</v>
      </c>
    </row>
    <row r="57" customFormat="false" ht="12.8" hidden="false" customHeight="false" outlineLevel="0" collapsed="false">
      <c r="A57" s="11" t="n">
        <v>1</v>
      </c>
      <c r="B57" s="1" t="n">
        <f aca="false">Изделия1!A57</f>
        <v>2</v>
      </c>
      <c r="C57" s="11" t="str">
        <f aca="false">Изделия1!B57</f>
        <v>ВН-25-К5(а)-1</v>
      </c>
      <c r="D57" s="11" t="n">
        <v>1</v>
      </c>
    </row>
    <row r="58" customFormat="false" ht="12.8" hidden="false" customHeight="false" outlineLevel="0" collapsed="false">
      <c r="A58" s="11" t="n">
        <v>2</v>
      </c>
      <c r="B58" s="1" t="n">
        <f aca="false">Изделия1!A2</f>
        <v>57</v>
      </c>
      <c r="C58" s="11" t="str">
        <f aca="false">Изделия1!C2</f>
        <v>ВН-54-К5(а)</v>
      </c>
      <c r="D58" s="11" t="n">
        <v>1</v>
      </c>
    </row>
    <row r="59" customFormat="false" ht="12.8" hidden="false" customHeight="false" outlineLevel="0" collapsed="false">
      <c r="A59" s="11" t="n">
        <v>2</v>
      </c>
      <c r="B59" s="1" t="n">
        <f aca="false">Изделия1!A3</f>
        <v>56</v>
      </c>
      <c r="C59" s="11" t="str">
        <f aca="false">Изделия1!C3</f>
        <v>ВН-30-К5(а)</v>
      </c>
      <c r="D59" s="11" t="n">
        <v>1</v>
      </c>
    </row>
    <row r="60" customFormat="false" ht="12.8" hidden="false" customHeight="false" outlineLevel="0" collapsed="false">
      <c r="A60" s="11" t="n">
        <v>2</v>
      </c>
      <c r="B60" s="1" t="n">
        <f aca="false">Изделия1!A4</f>
        <v>55</v>
      </c>
      <c r="C60" s="11" t="str">
        <f aca="false">Изделия1!C4</f>
        <v>ВН-36-К5(а)</v>
      </c>
      <c r="D60" s="11" t="n">
        <v>1</v>
      </c>
    </row>
    <row r="61" customFormat="false" ht="12.8" hidden="false" customHeight="false" outlineLevel="0" collapsed="false">
      <c r="A61" s="11" t="n">
        <v>2</v>
      </c>
      <c r="B61" s="1" t="n">
        <f aca="false">Изделия1!A5</f>
        <v>54</v>
      </c>
      <c r="C61" s="11" t="str">
        <f aca="false">Изделия1!C5</f>
        <v>ВН-30-К5(а)</v>
      </c>
      <c r="D61" s="11" t="n">
        <v>1</v>
      </c>
    </row>
    <row r="62" customFormat="false" ht="12.8" hidden="false" customHeight="false" outlineLevel="0" collapsed="false">
      <c r="A62" s="11" t="n">
        <v>2</v>
      </c>
      <c r="B62" s="1" t="n">
        <f aca="false">Изделия1!A6</f>
        <v>53</v>
      </c>
      <c r="C62" s="11" t="str">
        <f aca="false">Изделия1!C6</f>
        <v>ВН-36-К5(а)</v>
      </c>
      <c r="D62" s="11" t="n">
        <v>1</v>
      </c>
    </row>
    <row r="63" customFormat="false" ht="12.8" hidden="false" customHeight="false" outlineLevel="0" collapsed="false">
      <c r="A63" s="11" t="n">
        <v>2</v>
      </c>
      <c r="B63" s="1" t="n">
        <f aca="false">Изделия1!A7</f>
        <v>52</v>
      </c>
      <c r="C63" s="11" t="str">
        <f aca="false">Изделия1!C7</f>
        <v>ВН-30-К5(а)</v>
      </c>
      <c r="D63" s="11" t="n">
        <v>1</v>
      </c>
    </row>
    <row r="64" customFormat="false" ht="12.8" hidden="false" customHeight="false" outlineLevel="0" collapsed="false">
      <c r="A64" s="11" t="n">
        <v>2</v>
      </c>
      <c r="B64" s="1" t="n">
        <f aca="false">Изделия1!A8</f>
        <v>51</v>
      </c>
      <c r="C64" s="11" t="str">
        <f aca="false">Изделия1!C8</f>
        <v>ВН-36-К5(а)</v>
      </c>
      <c r="D64" s="11" t="n">
        <v>1</v>
      </c>
    </row>
    <row r="65" customFormat="false" ht="12.8" hidden="false" customHeight="false" outlineLevel="0" collapsed="false">
      <c r="A65" s="11" t="n">
        <v>2</v>
      </c>
      <c r="B65" s="1" t="n">
        <f aca="false">Изделия1!A9</f>
        <v>50</v>
      </c>
      <c r="C65" s="11" t="str">
        <f aca="false">Изделия1!C9</f>
        <v>ВН-30-К5(а)</v>
      </c>
      <c r="D65" s="11" t="n">
        <v>1</v>
      </c>
    </row>
    <row r="66" customFormat="false" ht="12.8" hidden="false" customHeight="false" outlineLevel="0" collapsed="false">
      <c r="A66" s="11" t="n">
        <v>2</v>
      </c>
      <c r="B66" s="1" t="n">
        <f aca="false">Изделия1!A10</f>
        <v>49</v>
      </c>
      <c r="C66" s="11" t="str">
        <f aca="false">Изделия1!C10</f>
        <v>ВН-36-К5(а)</v>
      </c>
      <c r="D66" s="11" t="n">
        <v>1</v>
      </c>
    </row>
    <row r="67" customFormat="false" ht="12.8" hidden="false" customHeight="false" outlineLevel="0" collapsed="false">
      <c r="A67" s="11" t="n">
        <v>2</v>
      </c>
      <c r="B67" s="1" t="n">
        <f aca="false">Изделия1!A11</f>
        <v>48</v>
      </c>
      <c r="C67" s="11" t="str">
        <f aca="false">Изделия1!C11</f>
        <v>ВН-30-К5(а)</v>
      </c>
      <c r="D67" s="11" t="n">
        <v>1</v>
      </c>
    </row>
    <row r="68" customFormat="false" ht="12.8" hidden="false" customHeight="false" outlineLevel="0" collapsed="false">
      <c r="A68" s="11" t="n">
        <v>2</v>
      </c>
      <c r="B68" s="1" t="n">
        <f aca="false">Изделия1!A12</f>
        <v>47</v>
      </c>
      <c r="C68" s="11" t="str">
        <f aca="false">Изделия1!C12</f>
        <v>ВН-36-К5(а)</v>
      </c>
      <c r="D68" s="11" t="n">
        <v>1</v>
      </c>
    </row>
    <row r="69" customFormat="false" ht="12.8" hidden="false" customHeight="false" outlineLevel="0" collapsed="false">
      <c r="A69" s="11" t="n">
        <v>2</v>
      </c>
      <c r="B69" s="1" t="n">
        <f aca="false">Изделия1!A13</f>
        <v>46</v>
      </c>
      <c r="C69" s="11" t="str">
        <f aca="false">Изделия1!C13</f>
        <v>ВН-30-К5(а)</v>
      </c>
      <c r="D69" s="11" t="n">
        <v>1</v>
      </c>
    </row>
    <row r="70" customFormat="false" ht="12.8" hidden="false" customHeight="false" outlineLevel="0" collapsed="false">
      <c r="A70" s="11" t="n">
        <v>2</v>
      </c>
      <c r="B70" s="1" t="n">
        <f aca="false">Изделия1!A14</f>
        <v>45</v>
      </c>
      <c r="C70" s="11" t="str">
        <f aca="false">Изделия1!C14</f>
        <v>ВН-36-К5(а)</v>
      </c>
      <c r="D70" s="11" t="n">
        <v>1</v>
      </c>
    </row>
    <row r="71" customFormat="false" ht="12.8" hidden="false" customHeight="false" outlineLevel="0" collapsed="false">
      <c r="A71" s="11" t="n">
        <v>2</v>
      </c>
      <c r="B71" s="1" t="n">
        <f aca="false">Изделия1!A15</f>
        <v>44</v>
      </c>
      <c r="C71" s="11" t="str">
        <f aca="false">Изделия1!C15</f>
        <v>ВН-30-К5(а)</v>
      </c>
      <c r="D71" s="11" t="n">
        <v>1</v>
      </c>
    </row>
    <row r="72" customFormat="false" ht="12.8" hidden="false" customHeight="false" outlineLevel="0" collapsed="false">
      <c r="A72" s="11" t="n">
        <v>2</v>
      </c>
      <c r="B72" s="1" t="n">
        <f aca="false">Изделия1!A16</f>
        <v>43</v>
      </c>
      <c r="C72" s="11" t="str">
        <f aca="false">Изделия1!C16</f>
        <v>ВН-36-К5(а)</v>
      </c>
      <c r="D72" s="11" t="n">
        <v>1</v>
      </c>
    </row>
    <row r="73" customFormat="false" ht="12.8" hidden="false" customHeight="false" outlineLevel="0" collapsed="false">
      <c r="A73" s="11" t="n">
        <v>2</v>
      </c>
      <c r="B73" s="1" t="n">
        <f aca="false">Изделия1!A17</f>
        <v>42</v>
      </c>
      <c r="C73" s="11" t="str">
        <f aca="false">Изделия1!C17</f>
        <v>ВН-30-К5(а)</v>
      </c>
      <c r="D73" s="11" t="n">
        <v>1</v>
      </c>
    </row>
    <row r="74" customFormat="false" ht="12.8" hidden="false" customHeight="false" outlineLevel="0" collapsed="false">
      <c r="A74" s="11" t="n">
        <v>2</v>
      </c>
      <c r="B74" s="1" t="n">
        <f aca="false">Изделия1!A18</f>
        <v>41</v>
      </c>
      <c r="C74" s="11" t="str">
        <f aca="false">Изделия1!C18</f>
        <v>ВН-36-К5(а)</v>
      </c>
      <c r="D74" s="11" t="n">
        <v>1</v>
      </c>
    </row>
    <row r="75" customFormat="false" ht="12.8" hidden="false" customHeight="false" outlineLevel="0" collapsed="false">
      <c r="A75" s="11" t="n">
        <v>2</v>
      </c>
      <c r="B75" s="1" t="n">
        <f aca="false">Изделия1!A19</f>
        <v>40</v>
      </c>
      <c r="C75" s="11" t="str">
        <f aca="false">Изделия1!C19</f>
        <v>ВН-48-К5(а)</v>
      </c>
      <c r="D75" s="11" t="n">
        <v>1</v>
      </c>
    </row>
    <row r="76" customFormat="false" ht="12.8" hidden="false" customHeight="false" outlineLevel="0" collapsed="false">
      <c r="A76" s="11" t="n">
        <v>2</v>
      </c>
      <c r="B76" s="1" t="n">
        <f aca="false">Изделия1!A20</f>
        <v>39</v>
      </c>
      <c r="C76" s="11" t="str">
        <f aca="false">Изделия1!C20</f>
        <v>ВН-42-К5(а)</v>
      </c>
      <c r="D76" s="11" t="n">
        <v>1</v>
      </c>
    </row>
    <row r="77" customFormat="false" ht="12.8" hidden="false" customHeight="false" outlineLevel="0" collapsed="false">
      <c r="A77" s="11" t="n">
        <v>2</v>
      </c>
      <c r="B77" s="1" t="n">
        <f aca="false">Изделия1!A21</f>
        <v>38</v>
      </c>
      <c r="C77" s="11" t="str">
        <f aca="false">Изделия1!C21</f>
        <v>ВН-30-К5(а)</v>
      </c>
      <c r="D77" s="11" t="n">
        <v>1</v>
      </c>
    </row>
    <row r="78" customFormat="false" ht="12.8" hidden="false" customHeight="false" outlineLevel="0" collapsed="false">
      <c r="A78" s="11" t="n">
        <v>2</v>
      </c>
      <c r="B78" s="1" t="n">
        <f aca="false">Изделия1!A22</f>
        <v>37</v>
      </c>
      <c r="C78" s="11" t="str">
        <f aca="false">Изделия1!C22</f>
        <v>ВН-36-К5(а)</v>
      </c>
      <c r="D78" s="11" t="n">
        <v>1</v>
      </c>
    </row>
    <row r="79" customFormat="false" ht="12.8" hidden="false" customHeight="false" outlineLevel="0" collapsed="false">
      <c r="A79" s="11" t="n">
        <v>2</v>
      </c>
      <c r="B79" s="1" t="n">
        <f aca="false">Изделия1!A23</f>
        <v>36</v>
      </c>
      <c r="C79" s="11" t="str">
        <f aca="false">Изделия1!C23</f>
        <v>ВН-30-К5(а)</v>
      </c>
      <c r="D79" s="11" t="n">
        <v>1</v>
      </c>
    </row>
    <row r="80" customFormat="false" ht="12.8" hidden="false" customHeight="false" outlineLevel="0" collapsed="false">
      <c r="A80" s="11" t="n">
        <v>2</v>
      </c>
      <c r="B80" s="1" t="n">
        <f aca="false">Изделия1!A24</f>
        <v>35</v>
      </c>
      <c r="C80" s="11" t="str">
        <f aca="false">Изделия1!C24</f>
        <v>ВН-36-К5(а)</v>
      </c>
      <c r="D80" s="11" t="n">
        <v>1</v>
      </c>
    </row>
    <row r="81" customFormat="false" ht="12.8" hidden="false" customHeight="false" outlineLevel="0" collapsed="false">
      <c r="A81" s="11" t="n">
        <v>2</v>
      </c>
      <c r="B81" s="1" t="n">
        <f aca="false">Изделия1!A25</f>
        <v>34</v>
      </c>
      <c r="C81" s="11" t="str">
        <f aca="false">Изделия1!C25</f>
        <v>ВН-30-К5(а)</v>
      </c>
      <c r="D81" s="11" t="n">
        <v>1</v>
      </c>
    </row>
    <row r="82" customFormat="false" ht="12.8" hidden="false" customHeight="false" outlineLevel="0" collapsed="false">
      <c r="A82" s="11" t="n">
        <v>2</v>
      </c>
      <c r="B82" s="1" t="n">
        <f aca="false">Изделия1!A26</f>
        <v>33</v>
      </c>
      <c r="C82" s="11" t="str">
        <f aca="false">Изделия1!C26</f>
        <v>ВН-36-К5(а)</v>
      </c>
      <c r="D82" s="11" t="n">
        <v>1</v>
      </c>
    </row>
    <row r="83" customFormat="false" ht="12.8" hidden="false" customHeight="false" outlineLevel="0" collapsed="false">
      <c r="A83" s="11" t="n">
        <v>2</v>
      </c>
      <c r="B83" s="1" t="n">
        <f aca="false">Изделия1!A27</f>
        <v>32</v>
      </c>
      <c r="C83" s="11" t="str">
        <f aca="false">Изделия1!C27</f>
        <v>ВН-30-К5(а)</v>
      </c>
      <c r="D83" s="11" t="n">
        <v>1</v>
      </c>
    </row>
    <row r="84" customFormat="false" ht="12.8" hidden="false" customHeight="false" outlineLevel="0" collapsed="false">
      <c r="A84" s="11" t="n">
        <v>2</v>
      </c>
      <c r="B84" s="1" t="n">
        <f aca="false">Изделия1!A28</f>
        <v>31</v>
      </c>
      <c r="C84" s="11" t="str">
        <f aca="false">Изделия1!C28</f>
        <v>ВН-36-К5(а)</v>
      </c>
      <c r="D84" s="11" t="n">
        <v>1</v>
      </c>
    </row>
    <row r="85" customFormat="false" ht="12.8" hidden="false" customHeight="false" outlineLevel="0" collapsed="false">
      <c r="A85" s="11" t="n">
        <v>2</v>
      </c>
      <c r="B85" s="1" t="n">
        <f aca="false">Изделия1!A29</f>
        <v>30</v>
      </c>
      <c r="C85" s="11" t="str">
        <f aca="false">Изделия1!C29</f>
        <v>ВН-30-К5(а)</v>
      </c>
      <c r="D85" s="11" t="n">
        <v>1</v>
      </c>
    </row>
    <row r="86" customFormat="false" ht="12.8" hidden="false" customHeight="false" outlineLevel="0" collapsed="false">
      <c r="A86" s="11" t="n">
        <v>2</v>
      </c>
      <c r="B86" s="1" t="n">
        <f aca="false">Изделия1!A30</f>
        <v>29</v>
      </c>
      <c r="C86" s="11" t="str">
        <f aca="false">Изделия1!C30</f>
        <v>ВН-36-К5(а)</v>
      </c>
      <c r="D86" s="11" t="n">
        <v>1</v>
      </c>
    </row>
    <row r="87" customFormat="false" ht="12.8" hidden="false" customHeight="false" outlineLevel="0" collapsed="false">
      <c r="A87" s="11" t="n">
        <v>2</v>
      </c>
      <c r="B87" s="1" t="n">
        <f aca="false">Изделия1!A31</f>
        <v>28</v>
      </c>
      <c r="C87" s="11" t="str">
        <f aca="false">Изделия1!C31</f>
        <v>ВН-30-К5(а)</v>
      </c>
      <c r="D87" s="11" t="n">
        <v>1</v>
      </c>
    </row>
    <row r="88" customFormat="false" ht="12.8" hidden="false" customHeight="false" outlineLevel="0" collapsed="false">
      <c r="A88" s="11" t="n">
        <v>2</v>
      </c>
      <c r="B88" s="1" t="n">
        <f aca="false">Изделия1!A32</f>
        <v>27</v>
      </c>
      <c r="C88" s="11" t="str">
        <f aca="false">Изделия1!C32</f>
        <v>ВН-36-К5(а)</v>
      </c>
      <c r="D88" s="11" t="n">
        <v>1</v>
      </c>
    </row>
    <row r="89" customFormat="false" ht="12.8" hidden="false" customHeight="false" outlineLevel="0" collapsed="false">
      <c r="A89" s="11" t="n">
        <v>2</v>
      </c>
      <c r="B89" s="1" t="n">
        <f aca="false">Изделия1!A33</f>
        <v>26</v>
      </c>
      <c r="C89" s="11" t="str">
        <f aca="false">Изделия1!C33</f>
        <v>ВН-30-К5(а)</v>
      </c>
      <c r="D89" s="11" t="n">
        <v>1</v>
      </c>
    </row>
    <row r="90" customFormat="false" ht="12.8" hidden="false" customHeight="false" outlineLevel="0" collapsed="false">
      <c r="A90" s="11" t="n">
        <v>2</v>
      </c>
      <c r="B90" s="1" t="n">
        <f aca="false">Изделия1!A34</f>
        <v>25</v>
      </c>
      <c r="C90" s="11" t="str">
        <f aca="false">Изделия1!C34</f>
        <v>ВН-36-К5(а)</v>
      </c>
      <c r="D90" s="11" t="n">
        <v>1</v>
      </c>
    </row>
    <row r="91" customFormat="false" ht="12.8" hidden="false" customHeight="false" outlineLevel="0" collapsed="false">
      <c r="A91" s="11" t="n">
        <v>2</v>
      </c>
      <c r="B91" s="1" t="n">
        <f aca="false">Изделия1!A35</f>
        <v>24</v>
      </c>
      <c r="C91" s="11" t="str">
        <f aca="false">Изделия1!C35</f>
        <v>ВН-30-К5(а)</v>
      </c>
      <c r="D91" s="11" t="n">
        <v>1</v>
      </c>
    </row>
    <row r="92" customFormat="false" ht="12.8" hidden="false" customHeight="false" outlineLevel="0" collapsed="false">
      <c r="A92" s="11" t="n">
        <v>2</v>
      </c>
      <c r="B92" s="1" t="n">
        <f aca="false">Изделия1!A36</f>
        <v>23</v>
      </c>
      <c r="C92" s="11" t="str">
        <f aca="false">Изделия1!C36</f>
        <v>ВН-36-К5(а)</v>
      </c>
      <c r="D92" s="11" t="n">
        <v>1</v>
      </c>
    </row>
    <row r="93" customFormat="false" ht="12.8" hidden="false" customHeight="false" outlineLevel="0" collapsed="false">
      <c r="A93" s="11" t="n">
        <v>2</v>
      </c>
      <c r="B93" s="1" t="n">
        <f aca="false">Изделия1!A37</f>
        <v>22</v>
      </c>
      <c r="C93" s="11" t="str">
        <f aca="false">Изделия1!C37</f>
        <v>ВН-30-К5(а)</v>
      </c>
      <c r="D93" s="11" t="n">
        <v>1</v>
      </c>
    </row>
    <row r="94" customFormat="false" ht="12.8" hidden="false" customHeight="false" outlineLevel="0" collapsed="false">
      <c r="A94" s="11" t="n">
        <v>2</v>
      </c>
      <c r="B94" s="1" t="n">
        <f aca="false">Изделия1!A38</f>
        <v>21</v>
      </c>
      <c r="C94" s="11" t="str">
        <f aca="false">Изделия1!C38</f>
        <v>ВН-36-К5(а)</v>
      </c>
      <c r="D94" s="11" t="n">
        <v>1</v>
      </c>
    </row>
    <row r="95" customFormat="false" ht="12.8" hidden="false" customHeight="false" outlineLevel="0" collapsed="false">
      <c r="A95" s="11" t="n">
        <v>2</v>
      </c>
      <c r="B95" s="1" t="n">
        <f aca="false">Изделия1!A39</f>
        <v>20</v>
      </c>
      <c r="C95" s="11" t="str">
        <f aca="false">Изделия1!C39</f>
        <v>ВН-48-К5(а)</v>
      </c>
      <c r="D95" s="11" t="n">
        <v>1</v>
      </c>
    </row>
    <row r="96" customFormat="false" ht="12.8" hidden="false" customHeight="false" outlineLevel="0" collapsed="false">
      <c r="A96" s="11" t="n">
        <v>2</v>
      </c>
      <c r="B96" s="1" t="n">
        <f aca="false">Изделия1!A40</f>
        <v>19</v>
      </c>
      <c r="C96" s="11" t="str">
        <f aca="false">Изделия1!C40</f>
        <v>ВН-42-К5(а)</v>
      </c>
      <c r="D96" s="11" t="n">
        <v>1</v>
      </c>
    </row>
    <row r="97" customFormat="false" ht="12.8" hidden="false" customHeight="false" outlineLevel="0" collapsed="false">
      <c r="A97" s="11" t="n">
        <v>2</v>
      </c>
      <c r="B97" s="1" t="n">
        <f aca="false">Изделия1!A41</f>
        <v>18</v>
      </c>
      <c r="C97" s="11" t="str">
        <f aca="false">Изделия1!C41</f>
        <v>ВН-30-К5(а)</v>
      </c>
      <c r="D97" s="11" t="n">
        <v>1</v>
      </c>
    </row>
    <row r="98" customFormat="false" ht="12.8" hidden="false" customHeight="false" outlineLevel="0" collapsed="false">
      <c r="A98" s="11" t="n">
        <v>2</v>
      </c>
      <c r="B98" s="1" t="n">
        <f aca="false">Изделия1!A42</f>
        <v>17</v>
      </c>
      <c r="C98" s="11" t="str">
        <f aca="false">Изделия1!C42</f>
        <v>ВН-36-К5(а)</v>
      </c>
      <c r="D98" s="11" t="n">
        <v>1</v>
      </c>
    </row>
    <row r="99" customFormat="false" ht="12.8" hidden="false" customHeight="false" outlineLevel="0" collapsed="false">
      <c r="A99" s="11" t="n">
        <v>2</v>
      </c>
      <c r="B99" s="1" t="n">
        <f aca="false">Изделия1!A43</f>
        <v>16</v>
      </c>
      <c r="C99" s="11" t="str">
        <f aca="false">Изделия1!C43</f>
        <v>ВН-30-К5(а)</v>
      </c>
      <c r="D99" s="11" t="n">
        <v>1</v>
      </c>
    </row>
    <row r="100" customFormat="false" ht="12.8" hidden="false" customHeight="false" outlineLevel="0" collapsed="false">
      <c r="A100" s="11" t="n">
        <v>2</v>
      </c>
      <c r="B100" s="1" t="n">
        <f aca="false">Изделия1!A44</f>
        <v>15</v>
      </c>
      <c r="C100" s="11" t="str">
        <f aca="false">Изделия1!C44</f>
        <v>ВН-36-К5(а)</v>
      </c>
      <c r="D100" s="11" t="n">
        <v>1</v>
      </c>
    </row>
    <row r="101" customFormat="false" ht="12.8" hidden="false" customHeight="false" outlineLevel="0" collapsed="false">
      <c r="A101" s="11" t="n">
        <v>2</v>
      </c>
      <c r="B101" s="1" t="n">
        <f aca="false">Изделия1!A45</f>
        <v>14</v>
      </c>
      <c r="C101" s="11" t="str">
        <f aca="false">Изделия1!C45</f>
        <v>ВН-30-К5(а)</v>
      </c>
      <c r="D101" s="11" t="n">
        <v>1</v>
      </c>
    </row>
    <row r="102" customFormat="false" ht="12.8" hidden="false" customHeight="false" outlineLevel="0" collapsed="false">
      <c r="A102" s="11" t="n">
        <v>2</v>
      </c>
      <c r="B102" s="1" t="n">
        <f aca="false">Изделия1!A46</f>
        <v>13</v>
      </c>
      <c r="C102" s="11" t="str">
        <f aca="false">Изделия1!C46</f>
        <v>ВН-36-К5(а)</v>
      </c>
      <c r="D102" s="11" t="n">
        <v>1</v>
      </c>
    </row>
    <row r="103" customFormat="false" ht="12.8" hidden="false" customHeight="false" outlineLevel="0" collapsed="false">
      <c r="A103" s="11" t="n">
        <v>2</v>
      </c>
      <c r="B103" s="1" t="n">
        <f aca="false">Изделия1!A47</f>
        <v>12</v>
      </c>
      <c r="C103" s="11" t="str">
        <f aca="false">Изделия1!C47</f>
        <v>ВН-30-К5(а)</v>
      </c>
      <c r="D103" s="11" t="n">
        <v>1</v>
      </c>
    </row>
    <row r="104" customFormat="false" ht="12.8" hidden="false" customHeight="false" outlineLevel="0" collapsed="false">
      <c r="A104" s="11" t="n">
        <v>2</v>
      </c>
      <c r="B104" s="1" t="n">
        <f aca="false">Изделия1!A48</f>
        <v>11</v>
      </c>
      <c r="C104" s="11" t="str">
        <f aca="false">Изделия1!C48</f>
        <v>ВН-36-К5(а)</v>
      </c>
      <c r="D104" s="11" t="n">
        <v>1</v>
      </c>
    </row>
    <row r="105" customFormat="false" ht="12.8" hidden="false" customHeight="false" outlineLevel="0" collapsed="false">
      <c r="A105" s="11" t="n">
        <v>2</v>
      </c>
      <c r="B105" s="1" t="n">
        <f aca="false">Изделия1!A49</f>
        <v>10</v>
      </c>
      <c r="C105" s="11" t="str">
        <f aca="false">Изделия1!C49</f>
        <v>ВН-30-К5(а)</v>
      </c>
      <c r="D105" s="11" t="n">
        <v>1</v>
      </c>
    </row>
    <row r="106" customFormat="false" ht="12.8" hidden="false" customHeight="false" outlineLevel="0" collapsed="false">
      <c r="A106" s="11" t="n">
        <v>2</v>
      </c>
      <c r="B106" s="1" t="n">
        <f aca="false">Изделия1!A50</f>
        <v>9</v>
      </c>
      <c r="C106" s="11" t="str">
        <f aca="false">Изделия1!C50</f>
        <v>ВН-36-К5(а)</v>
      </c>
      <c r="D106" s="11" t="n">
        <v>1</v>
      </c>
    </row>
    <row r="107" customFormat="false" ht="12.8" hidden="false" customHeight="false" outlineLevel="0" collapsed="false">
      <c r="A107" s="11" t="n">
        <v>2</v>
      </c>
      <c r="B107" s="1" t="n">
        <f aca="false">Изделия1!A51</f>
        <v>8</v>
      </c>
      <c r="C107" s="11" t="str">
        <f aca="false">Изделия1!C51</f>
        <v>ВН-30-К5(а)</v>
      </c>
      <c r="D107" s="11" t="n">
        <v>1</v>
      </c>
    </row>
    <row r="108" customFormat="false" ht="12.8" hidden="false" customHeight="false" outlineLevel="0" collapsed="false">
      <c r="A108" s="11" t="n">
        <v>2</v>
      </c>
      <c r="B108" s="1" t="n">
        <f aca="false">Изделия1!A52</f>
        <v>7</v>
      </c>
      <c r="C108" s="11" t="str">
        <f aca="false">Изделия1!C52</f>
        <v>ВН-36-К5(а)</v>
      </c>
      <c r="D108" s="11" t="n">
        <v>1</v>
      </c>
    </row>
    <row r="109" customFormat="false" ht="12.8" hidden="false" customHeight="false" outlineLevel="0" collapsed="false">
      <c r="A109" s="11" t="n">
        <v>2</v>
      </c>
      <c r="B109" s="1" t="n">
        <f aca="false">Изделия1!A53</f>
        <v>6</v>
      </c>
      <c r="C109" s="11" t="str">
        <f aca="false">Изделия1!C53</f>
        <v>ВН-30-К5(а)</v>
      </c>
      <c r="D109" s="11" t="n">
        <v>1</v>
      </c>
    </row>
    <row r="110" customFormat="false" ht="12.8" hidden="false" customHeight="false" outlineLevel="0" collapsed="false">
      <c r="A110" s="11" t="n">
        <v>2</v>
      </c>
      <c r="B110" s="1" t="n">
        <f aca="false">Изделия1!A54</f>
        <v>5</v>
      </c>
      <c r="C110" s="11" t="str">
        <f aca="false">Изделия1!C54</f>
        <v>ВН-36-К5(а)</v>
      </c>
      <c r="D110" s="11" t="n">
        <v>1</v>
      </c>
    </row>
    <row r="111" customFormat="false" ht="12.8" hidden="false" customHeight="false" outlineLevel="0" collapsed="false">
      <c r="A111" s="11" t="n">
        <v>2</v>
      </c>
      <c r="B111" s="1" t="n">
        <f aca="false">Изделия1!A55</f>
        <v>4</v>
      </c>
      <c r="C111" s="11" t="str">
        <f aca="false">Изделия1!C55</f>
        <v>ВН-30-К5(а)</v>
      </c>
      <c r="D111" s="11" t="n">
        <v>1</v>
      </c>
    </row>
    <row r="112" customFormat="false" ht="12.8" hidden="false" customHeight="false" outlineLevel="0" collapsed="false">
      <c r="A112" s="11" t="n">
        <v>2</v>
      </c>
      <c r="B112" s="1" t="n">
        <f aca="false">Изделия1!A56</f>
        <v>3</v>
      </c>
      <c r="C112" s="11" t="str">
        <f aca="false">Изделия1!C56</f>
        <v>ВН-36-К5(а)</v>
      </c>
      <c r="D112" s="11" t="n">
        <v>1</v>
      </c>
    </row>
    <row r="113" customFormat="false" ht="12.8" hidden="false" customHeight="false" outlineLevel="0" collapsed="false">
      <c r="A113" s="11" t="n">
        <v>2</v>
      </c>
      <c r="B113" s="1" t="n">
        <f aca="false">Изделия1!A57</f>
        <v>2</v>
      </c>
      <c r="C113" s="11" t="str">
        <f aca="false">Изделия1!C57</f>
        <v>ВН-26-К5(а)-1</v>
      </c>
      <c r="D113" s="11" t="n">
        <v>1</v>
      </c>
    </row>
    <row r="114" customFormat="false" ht="12.8" hidden="false" customHeight="false" outlineLevel="0" collapsed="false">
      <c r="A114" s="11" t="n">
        <v>3</v>
      </c>
      <c r="B114" s="1" t="n">
        <f aca="false">Изделия1!A2</f>
        <v>57</v>
      </c>
      <c r="C114" s="11" t="str">
        <f aca="false">Изделия1!D2</f>
        <v>ВН-55-К5(а)</v>
      </c>
      <c r="D114" s="11" t="n">
        <v>1</v>
      </c>
    </row>
    <row r="115" customFormat="false" ht="12.8" hidden="false" customHeight="false" outlineLevel="0" collapsed="false">
      <c r="A115" s="11" t="n">
        <v>3</v>
      </c>
      <c r="B115" s="1" t="n">
        <f aca="false">Изделия1!A3</f>
        <v>56</v>
      </c>
      <c r="C115" s="11" t="str">
        <f aca="false">Изделия1!D3</f>
        <v>ВН-31-К5(а)</v>
      </c>
      <c r="D115" s="11" t="n">
        <v>1</v>
      </c>
    </row>
    <row r="116" customFormat="false" ht="12.8" hidden="false" customHeight="false" outlineLevel="0" collapsed="false">
      <c r="A116" s="11" t="n">
        <v>3</v>
      </c>
      <c r="B116" s="1" t="n">
        <f aca="false">Изделия1!A4</f>
        <v>55</v>
      </c>
      <c r="C116" s="11" t="str">
        <f aca="false">Изделия1!D4</f>
        <v>ВН-37-К5(а)</v>
      </c>
      <c r="D116" s="11" t="n">
        <v>1</v>
      </c>
    </row>
    <row r="117" customFormat="false" ht="12.8" hidden="false" customHeight="false" outlineLevel="0" collapsed="false">
      <c r="A117" s="11" t="n">
        <v>3</v>
      </c>
      <c r="B117" s="1" t="n">
        <f aca="false">Изделия1!A5</f>
        <v>54</v>
      </c>
      <c r="C117" s="11" t="str">
        <f aca="false">Изделия1!D5</f>
        <v>ВН-31-К5(а)</v>
      </c>
      <c r="D117" s="11" t="n">
        <v>1</v>
      </c>
    </row>
    <row r="118" customFormat="false" ht="12.8" hidden="false" customHeight="false" outlineLevel="0" collapsed="false">
      <c r="A118" s="11" t="n">
        <v>3</v>
      </c>
      <c r="B118" s="1" t="n">
        <f aca="false">Изделия1!A6</f>
        <v>53</v>
      </c>
      <c r="C118" s="11" t="str">
        <f aca="false">Изделия1!D6</f>
        <v>ВН-37-К5(а)</v>
      </c>
      <c r="D118" s="11" t="n">
        <v>1</v>
      </c>
    </row>
    <row r="119" customFormat="false" ht="12.8" hidden="false" customHeight="false" outlineLevel="0" collapsed="false">
      <c r="A119" s="11" t="n">
        <v>3</v>
      </c>
      <c r="B119" s="1" t="n">
        <f aca="false">Изделия1!A7</f>
        <v>52</v>
      </c>
      <c r="C119" s="11" t="str">
        <f aca="false">Изделия1!D7</f>
        <v>ВН-31-К5(а)</v>
      </c>
      <c r="D119" s="11" t="n">
        <v>1</v>
      </c>
    </row>
    <row r="120" customFormat="false" ht="12.8" hidden="false" customHeight="false" outlineLevel="0" collapsed="false">
      <c r="A120" s="11" t="n">
        <v>3</v>
      </c>
      <c r="B120" s="1" t="n">
        <f aca="false">Изделия1!A8</f>
        <v>51</v>
      </c>
      <c r="C120" s="11" t="str">
        <f aca="false">Изделия1!D8</f>
        <v>ВН-37-К5(а)</v>
      </c>
      <c r="D120" s="11" t="n">
        <v>1</v>
      </c>
    </row>
    <row r="121" customFormat="false" ht="12.8" hidden="false" customHeight="false" outlineLevel="0" collapsed="false">
      <c r="A121" s="11" t="n">
        <v>3</v>
      </c>
      <c r="B121" s="1" t="n">
        <f aca="false">Изделия1!A9</f>
        <v>50</v>
      </c>
      <c r="C121" s="11" t="str">
        <f aca="false">Изделия1!D9</f>
        <v>ВН-31-К5(а)</v>
      </c>
      <c r="D121" s="11" t="n">
        <v>1</v>
      </c>
    </row>
    <row r="122" customFormat="false" ht="12.8" hidden="false" customHeight="false" outlineLevel="0" collapsed="false">
      <c r="A122" s="11" t="n">
        <v>3</v>
      </c>
      <c r="B122" s="1" t="n">
        <f aca="false">Изделия1!A10</f>
        <v>49</v>
      </c>
      <c r="C122" s="11" t="str">
        <f aca="false">Изделия1!D10</f>
        <v>ВН-37-К5(а)</v>
      </c>
      <c r="D122" s="11" t="n">
        <v>1</v>
      </c>
    </row>
    <row r="123" customFormat="false" ht="12.8" hidden="false" customHeight="false" outlineLevel="0" collapsed="false">
      <c r="A123" s="11" t="n">
        <v>3</v>
      </c>
      <c r="B123" s="1" t="n">
        <f aca="false">Изделия1!A11</f>
        <v>48</v>
      </c>
      <c r="C123" s="11" t="str">
        <f aca="false">Изделия1!D11</f>
        <v>ВН-31-К5(а)</v>
      </c>
      <c r="D123" s="11" t="n">
        <v>1</v>
      </c>
    </row>
    <row r="124" customFormat="false" ht="12.8" hidden="false" customHeight="false" outlineLevel="0" collapsed="false">
      <c r="A124" s="11" t="n">
        <v>3</v>
      </c>
      <c r="B124" s="1" t="n">
        <f aca="false">Изделия1!A12</f>
        <v>47</v>
      </c>
      <c r="C124" s="11" t="str">
        <f aca="false">Изделия1!D12</f>
        <v>ВН-37-К5(а)</v>
      </c>
      <c r="D124" s="11" t="n">
        <v>1</v>
      </c>
    </row>
    <row r="125" customFormat="false" ht="12.8" hidden="false" customHeight="false" outlineLevel="0" collapsed="false">
      <c r="A125" s="11" t="n">
        <v>3</v>
      </c>
      <c r="B125" s="1" t="n">
        <f aca="false">Изделия1!A13</f>
        <v>46</v>
      </c>
      <c r="C125" s="11" t="str">
        <f aca="false">Изделия1!D13</f>
        <v>ВН-31-К5(а)</v>
      </c>
      <c r="D125" s="11" t="n">
        <v>1</v>
      </c>
    </row>
    <row r="126" customFormat="false" ht="12.8" hidden="false" customHeight="false" outlineLevel="0" collapsed="false">
      <c r="A126" s="11" t="n">
        <v>3</v>
      </c>
      <c r="B126" s="1" t="n">
        <f aca="false">Изделия1!A14</f>
        <v>45</v>
      </c>
      <c r="C126" s="11" t="str">
        <f aca="false">Изделия1!D14</f>
        <v>ВН-37-К5(а)</v>
      </c>
      <c r="D126" s="11" t="n">
        <v>1</v>
      </c>
    </row>
    <row r="127" customFormat="false" ht="12.8" hidden="false" customHeight="false" outlineLevel="0" collapsed="false">
      <c r="A127" s="11" t="n">
        <v>3</v>
      </c>
      <c r="B127" s="1" t="n">
        <f aca="false">Изделия1!A15</f>
        <v>44</v>
      </c>
      <c r="C127" s="11" t="str">
        <f aca="false">Изделия1!D15</f>
        <v>ВН-31-К5(а)</v>
      </c>
      <c r="D127" s="11" t="n">
        <v>1</v>
      </c>
    </row>
    <row r="128" customFormat="false" ht="12.8" hidden="false" customHeight="false" outlineLevel="0" collapsed="false">
      <c r="A128" s="11" t="n">
        <v>3</v>
      </c>
      <c r="B128" s="1" t="n">
        <f aca="false">Изделия1!A16</f>
        <v>43</v>
      </c>
      <c r="C128" s="11" t="str">
        <f aca="false">Изделия1!D16</f>
        <v>ВН-37-К5(а)</v>
      </c>
      <c r="D128" s="11" t="n">
        <v>1</v>
      </c>
    </row>
    <row r="129" customFormat="false" ht="12.8" hidden="false" customHeight="false" outlineLevel="0" collapsed="false">
      <c r="A129" s="11" t="n">
        <v>3</v>
      </c>
      <c r="B129" s="1" t="n">
        <f aca="false">Изделия1!A17</f>
        <v>42</v>
      </c>
      <c r="C129" s="11" t="str">
        <f aca="false">Изделия1!D17</f>
        <v>ВН-31-К5(а)</v>
      </c>
      <c r="D129" s="11" t="n">
        <v>1</v>
      </c>
    </row>
    <row r="130" customFormat="false" ht="12.8" hidden="false" customHeight="false" outlineLevel="0" collapsed="false">
      <c r="A130" s="11" t="n">
        <v>3</v>
      </c>
      <c r="B130" s="1" t="n">
        <f aca="false">Изделия1!A18</f>
        <v>41</v>
      </c>
      <c r="C130" s="11" t="str">
        <f aca="false">Изделия1!D18</f>
        <v>ВН-37-К5(а)</v>
      </c>
      <c r="D130" s="11" t="n">
        <v>1</v>
      </c>
    </row>
    <row r="131" customFormat="false" ht="12.8" hidden="false" customHeight="false" outlineLevel="0" collapsed="false">
      <c r="A131" s="11" t="n">
        <v>3</v>
      </c>
      <c r="B131" s="1" t="n">
        <f aca="false">Изделия1!A19</f>
        <v>40</v>
      </c>
      <c r="C131" s="11" t="str">
        <f aca="false">Изделия1!D19</f>
        <v>ВН-49-К5(а)</v>
      </c>
      <c r="D131" s="11" t="n">
        <v>1</v>
      </c>
    </row>
    <row r="132" customFormat="false" ht="12.8" hidden="false" customHeight="false" outlineLevel="0" collapsed="false">
      <c r="A132" s="11" t="n">
        <v>3</v>
      </c>
      <c r="B132" s="1" t="n">
        <f aca="false">Изделия1!A20</f>
        <v>39</v>
      </c>
      <c r="C132" s="11" t="str">
        <f aca="false">Изделия1!D20</f>
        <v>ВН-43-К5(а)</v>
      </c>
      <c r="D132" s="11" t="n">
        <v>1</v>
      </c>
    </row>
    <row r="133" customFormat="false" ht="12.8" hidden="false" customHeight="false" outlineLevel="0" collapsed="false">
      <c r="A133" s="11" t="n">
        <v>3</v>
      </c>
      <c r="B133" s="1" t="n">
        <f aca="false">Изделия1!A21</f>
        <v>38</v>
      </c>
      <c r="C133" s="11" t="str">
        <f aca="false">Изделия1!D21</f>
        <v>ВН-31-К5(а)</v>
      </c>
      <c r="D133" s="11" t="n">
        <v>1</v>
      </c>
    </row>
    <row r="134" customFormat="false" ht="12.8" hidden="false" customHeight="false" outlineLevel="0" collapsed="false">
      <c r="A134" s="11" t="n">
        <v>3</v>
      </c>
      <c r="B134" s="1" t="n">
        <f aca="false">Изделия1!A22</f>
        <v>37</v>
      </c>
      <c r="C134" s="11" t="str">
        <f aca="false">Изделия1!D22</f>
        <v>ВН-37-К5(а)</v>
      </c>
      <c r="D134" s="11" t="n">
        <v>1</v>
      </c>
    </row>
    <row r="135" customFormat="false" ht="12.8" hidden="false" customHeight="false" outlineLevel="0" collapsed="false">
      <c r="A135" s="11" t="n">
        <v>3</v>
      </c>
      <c r="B135" s="1" t="n">
        <f aca="false">Изделия1!A23</f>
        <v>36</v>
      </c>
      <c r="C135" s="11" t="str">
        <f aca="false">Изделия1!D23</f>
        <v>ВН-31-К5(а)</v>
      </c>
      <c r="D135" s="11" t="n">
        <v>1</v>
      </c>
    </row>
    <row r="136" customFormat="false" ht="12.8" hidden="false" customHeight="false" outlineLevel="0" collapsed="false">
      <c r="A136" s="11" t="n">
        <v>3</v>
      </c>
      <c r="B136" s="1" t="n">
        <f aca="false">Изделия1!A24</f>
        <v>35</v>
      </c>
      <c r="C136" s="11" t="str">
        <f aca="false">Изделия1!D24</f>
        <v>ВН-37-К5(а)</v>
      </c>
      <c r="D136" s="11" t="n">
        <v>1</v>
      </c>
    </row>
    <row r="137" customFormat="false" ht="12.8" hidden="false" customHeight="false" outlineLevel="0" collapsed="false">
      <c r="A137" s="11" t="n">
        <v>3</v>
      </c>
      <c r="B137" s="1" t="n">
        <f aca="false">Изделия1!A25</f>
        <v>34</v>
      </c>
      <c r="C137" s="11" t="str">
        <f aca="false">Изделия1!D25</f>
        <v>ВН-31-К5(а)</v>
      </c>
      <c r="D137" s="11" t="n">
        <v>1</v>
      </c>
    </row>
    <row r="138" customFormat="false" ht="12.8" hidden="false" customHeight="false" outlineLevel="0" collapsed="false">
      <c r="A138" s="11" t="n">
        <v>3</v>
      </c>
      <c r="B138" s="1" t="n">
        <f aca="false">Изделия1!A26</f>
        <v>33</v>
      </c>
      <c r="C138" s="11" t="str">
        <f aca="false">Изделия1!D26</f>
        <v>ВН-37-К5(а)</v>
      </c>
      <c r="D138" s="11" t="n">
        <v>1</v>
      </c>
    </row>
    <row r="139" customFormat="false" ht="12.8" hidden="false" customHeight="false" outlineLevel="0" collapsed="false">
      <c r="A139" s="11" t="n">
        <v>3</v>
      </c>
      <c r="B139" s="1" t="n">
        <f aca="false">Изделия1!A27</f>
        <v>32</v>
      </c>
      <c r="C139" s="11" t="str">
        <f aca="false">Изделия1!D27</f>
        <v>ВН-31-К5(а)</v>
      </c>
      <c r="D139" s="11" t="n">
        <v>1</v>
      </c>
    </row>
    <row r="140" customFormat="false" ht="12.8" hidden="false" customHeight="false" outlineLevel="0" collapsed="false">
      <c r="A140" s="11" t="n">
        <v>3</v>
      </c>
      <c r="B140" s="1" t="n">
        <f aca="false">Изделия1!A28</f>
        <v>31</v>
      </c>
      <c r="C140" s="11" t="str">
        <f aca="false">Изделия1!D28</f>
        <v>ВН-37-К5(а)</v>
      </c>
      <c r="D140" s="11" t="n">
        <v>1</v>
      </c>
    </row>
    <row r="141" customFormat="false" ht="12.8" hidden="false" customHeight="false" outlineLevel="0" collapsed="false">
      <c r="A141" s="11" t="n">
        <v>3</v>
      </c>
      <c r="B141" s="1" t="n">
        <f aca="false">Изделия1!A29</f>
        <v>30</v>
      </c>
      <c r="C141" s="11" t="str">
        <f aca="false">Изделия1!D29</f>
        <v>ВН-31-К5(а)</v>
      </c>
      <c r="D141" s="11" t="n">
        <v>1</v>
      </c>
    </row>
    <row r="142" customFormat="false" ht="12.8" hidden="false" customHeight="false" outlineLevel="0" collapsed="false">
      <c r="A142" s="11" t="n">
        <v>3</v>
      </c>
      <c r="B142" s="1" t="n">
        <f aca="false">Изделия1!A30</f>
        <v>29</v>
      </c>
      <c r="C142" s="11" t="str">
        <f aca="false">Изделия1!D30</f>
        <v>ВН-37-К5(а)</v>
      </c>
      <c r="D142" s="11" t="n">
        <v>1</v>
      </c>
    </row>
    <row r="143" customFormat="false" ht="12.8" hidden="false" customHeight="false" outlineLevel="0" collapsed="false">
      <c r="A143" s="11" t="n">
        <v>3</v>
      </c>
      <c r="B143" s="1" t="n">
        <f aca="false">Изделия1!A31</f>
        <v>28</v>
      </c>
      <c r="C143" s="11" t="str">
        <f aca="false">Изделия1!D31</f>
        <v>ВН-31-К5(а)</v>
      </c>
      <c r="D143" s="11" t="n">
        <v>1</v>
      </c>
    </row>
    <row r="144" customFormat="false" ht="12.8" hidden="false" customHeight="false" outlineLevel="0" collapsed="false">
      <c r="A144" s="11" t="n">
        <v>3</v>
      </c>
      <c r="B144" s="1" t="n">
        <f aca="false">Изделия1!A32</f>
        <v>27</v>
      </c>
      <c r="C144" s="11" t="str">
        <f aca="false">Изделия1!D32</f>
        <v>ВН-37-К5(а)</v>
      </c>
      <c r="D144" s="11" t="n">
        <v>1</v>
      </c>
    </row>
    <row r="145" customFormat="false" ht="12.8" hidden="false" customHeight="false" outlineLevel="0" collapsed="false">
      <c r="A145" s="11" t="n">
        <v>3</v>
      </c>
      <c r="B145" s="1" t="n">
        <f aca="false">Изделия1!A33</f>
        <v>26</v>
      </c>
      <c r="C145" s="11" t="str">
        <f aca="false">Изделия1!D33</f>
        <v>ВН-31-К5(а)</v>
      </c>
      <c r="D145" s="11" t="n">
        <v>1</v>
      </c>
    </row>
    <row r="146" customFormat="false" ht="12.8" hidden="false" customHeight="false" outlineLevel="0" collapsed="false">
      <c r="A146" s="11" t="n">
        <v>3</v>
      </c>
      <c r="B146" s="1" t="n">
        <f aca="false">Изделия1!A34</f>
        <v>25</v>
      </c>
      <c r="C146" s="11" t="str">
        <f aca="false">Изделия1!D34</f>
        <v>ВН-37-К5(а)</v>
      </c>
      <c r="D146" s="11" t="n">
        <v>1</v>
      </c>
    </row>
    <row r="147" customFormat="false" ht="12.8" hidden="false" customHeight="false" outlineLevel="0" collapsed="false">
      <c r="A147" s="11" t="n">
        <v>3</v>
      </c>
      <c r="B147" s="1" t="n">
        <f aca="false">Изделия1!A35</f>
        <v>24</v>
      </c>
      <c r="C147" s="11" t="str">
        <f aca="false">Изделия1!D35</f>
        <v>ВН-31-К5(а)</v>
      </c>
      <c r="D147" s="11" t="n">
        <v>1</v>
      </c>
    </row>
    <row r="148" customFormat="false" ht="12.8" hidden="false" customHeight="false" outlineLevel="0" collapsed="false">
      <c r="A148" s="11" t="n">
        <v>3</v>
      </c>
      <c r="B148" s="1" t="n">
        <f aca="false">Изделия1!A36</f>
        <v>23</v>
      </c>
      <c r="C148" s="11" t="str">
        <f aca="false">Изделия1!D36</f>
        <v>ВН-37-К5(а)</v>
      </c>
      <c r="D148" s="11" t="n">
        <v>1</v>
      </c>
    </row>
    <row r="149" customFormat="false" ht="12.8" hidden="false" customHeight="false" outlineLevel="0" collapsed="false">
      <c r="A149" s="11" t="n">
        <v>3</v>
      </c>
      <c r="B149" s="1" t="n">
        <f aca="false">Изделия1!A37</f>
        <v>22</v>
      </c>
      <c r="C149" s="11" t="str">
        <f aca="false">Изделия1!D37</f>
        <v>ВН-31-К5(а)</v>
      </c>
      <c r="D149" s="11" t="n">
        <v>1</v>
      </c>
    </row>
    <row r="150" customFormat="false" ht="12.8" hidden="false" customHeight="false" outlineLevel="0" collapsed="false">
      <c r="A150" s="11" t="n">
        <v>3</v>
      </c>
      <c r="B150" s="1" t="n">
        <f aca="false">Изделия1!A38</f>
        <v>21</v>
      </c>
      <c r="C150" s="11" t="str">
        <f aca="false">Изделия1!D38</f>
        <v>ВН-37-К5(а)</v>
      </c>
      <c r="D150" s="11" t="n">
        <v>1</v>
      </c>
    </row>
    <row r="151" customFormat="false" ht="12.8" hidden="false" customHeight="false" outlineLevel="0" collapsed="false">
      <c r="A151" s="11" t="n">
        <v>3</v>
      </c>
      <c r="B151" s="1" t="n">
        <f aca="false">Изделия1!A39</f>
        <v>20</v>
      </c>
      <c r="C151" s="11" t="str">
        <f aca="false">Изделия1!D39</f>
        <v>ВН-49-К5(а)</v>
      </c>
      <c r="D151" s="11" t="n">
        <v>1</v>
      </c>
    </row>
    <row r="152" customFormat="false" ht="12.8" hidden="false" customHeight="false" outlineLevel="0" collapsed="false">
      <c r="A152" s="11" t="n">
        <v>3</v>
      </c>
      <c r="B152" s="1" t="n">
        <f aca="false">Изделия1!A40</f>
        <v>19</v>
      </c>
      <c r="C152" s="11" t="str">
        <f aca="false">Изделия1!D40</f>
        <v>ВН-43-К5(а)</v>
      </c>
      <c r="D152" s="11" t="n">
        <v>1</v>
      </c>
    </row>
    <row r="153" customFormat="false" ht="12.8" hidden="false" customHeight="false" outlineLevel="0" collapsed="false">
      <c r="A153" s="11" t="n">
        <v>3</v>
      </c>
      <c r="B153" s="1" t="n">
        <f aca="false">Изделия1!A41</f>
        <v>18</v>
      </c>
      <c r="C153" s="11" t="str">
        <f aca="false">Изделия1!D41</f>
        <v>ВН-31-К5(а)</v>
      </c>
      <c r="D153" s="11" t="n">
        <v>1</v>
      </c>
    </row>
    <row r="154" customFormat="false" ht="12.8" hidden="false" customHeight="false" outlineLevel="0" collapsed="false">
      <c r="A154" s="11" t="n">
        <v>3</v>
      </c>
      <c r="B154" s="1" t="n">
        <f aca="false">Изделия1!A42</f>
        <v>17</v>
      </c>
      <c r="C154" s="11" t="str">
        <f aca="false">Изделия1!D42</f>
        <v>ВН-37-К5(а)</v>
      </c>
      <c r="D154" s="11" t="n">
        <v>1</v>
      </c>
    </row>
    <row r="155" customFormat="false" ht="12.8" hidden="false" customHeight="false" outlineLevel="0" collapsed="false">
      <c r="A155" s="11" t="n">
        <v>3</v>
      </c>
      <c r="B155" s="1" t="n">
        <f aca="false">Изделия1!A43</f>
        <v>16</v>
      </c>
      <c r="C155" s="11" t="str">
        <f aca="false">Изделия1!D43</f>
        <v>ВН-31-К5(а)</v>
      </c>
      <c r="D155" s="11" t="n">
        <v>1</v>
      </c>
    </row>
    <row r="156" customFormat="false" ht="12.8" hidden="false" customHeight="false" outlineLevel="0" collapsed="false">
      <c r="A156" s="11" t="n">
        <v>3</v>
      </c>
      <c r="B156" s="1" t="n">
        <f aca="false">Изделия1!A44</f>
        <v>15</v>
      </c>
      <c r="C156" s="11" t="str">
        <f aca="false">Изделия1!D44</f>
        <v>ВН-37-К5(а)</v>
      </c>
      <c r="D156" s="11" t="n">
        <v>1</v>
      </c>
    </row>
    <row r="157" customFormat="false" ht="12.8" hidden="false" customHeight="false" outlineLevel="0" collapsed="false">
      <c r="A157" s="11" t="n">
        <v>3</v>
      </c>
      <c r="B157" s="1" t="n">
        <f aca="false">Изделия1!A45</f>
        <v>14</v>
      </c>
      <c r="C157" s="11" t="str">
        <f aca="false">Изделия1!D45</f>
        <v>ВН-31-К5(а)</v>
      </c>
      <c r="D157" s="11" t="n">
        <v>1</v>
      </c>
    </row>
    <row r="158" customFormat="false" ht="12.8" hidden="false" customHeight="false" outlineLevel="0" collapsed="false">
      <c r="A158" s="11" t="n">
        <v>3</v>
      </c>
      <c r="B158" s="1" t="n">
        <f aca="false">Изделия1!A46</f>
        <v>13</v>
      </c>
      <c r="C158" s="11" t="str">
        <f aca="false">Изделия1!D46</f>
        <v>ВН-37-К5(а)</v>
      </c>
      <c r="D158" s="11" t="n">
        <v>1</v>
      </c>
    </row>
    <row r="159" customFormat="false" ht="12.8" hidden="false" customHeight="false" outlineLevel="0" collapsed="false">
      <c r="A159" s="11" t="n">
        <v>3</v>
      </c>
      <c r="B159" s="1" t="n">
        <f aca="false">Изделия1!A47</f>
        <v>12</v>
      </c>
      <c r="C159" s="11" t="str">
        <f aca="false">Изделия1!D47</f>
        <v>ВН-31-К5(а)</v>
      </c>
      <c r="D159" s="11" t="n">
        <v>1</v>
      </c>
    </row>
    <row r="160" customFormat="false" ht="12.8" hidden="false" customHeight="false" outlineLevel="0" collapsed="false">
      <c r="A160" s="11" t="n">
        <v>3</v>
      </c>
      <c r="B160" s="1" t="n">
        <f aca="false">Изделия1!A48</f>
        <v>11</v>
      </c>
      <c r="C160" s="11" t="str">
        <f aca="false">Изделия1!D48</f>
        <v>ВН-37-К5(а)</v>
      </c>
      <c r="D160" s="11" t="n">
        <v>1</v>
      </c>
    </row>
    <row r="161" customFormat="false" ht="12.8" hidden="false" customHeight="false" outlineLevel="0" collapsed="false">
      <c r="A161" s="11" t="n">
        <v>3</v>
      </c>
      <c r="B161" s="1" t="n">
        <f aca="false">Изделия1!A49</f>
        <v>10</v>
      </c>
      <c r="C161" s="11" t="str">
        <f aca="false">Изделия1!D49</f>
        <v>ВН-31-К5(а)</v>
      </c>
      <c r="D161" s="11" t="n">
        <v>1</v>
      </c>
    </row>
    <row r="162" customFormat="false" ht="12.8" hidden="false" customHeight="false" outlineLevel="0" collapsed="false">
      <c r="A162" s="11" t="n">
        <v>3</v>
      </c>
      <c r="B162" s="1" t="n">
        <f aca="false">Изделия1!A50</f>
        <v>9</v>
      </c>
      <c r="C162" s="11" t="str">
        <f aca="false">Изделия1!D50</f>
        <v>ВН-37-К5(а)</v>
      </c>
      <c r="D162" s="11" t="n">
        <v>1</v>
      </c>
    </row>
    <row r="163" customFormat="false" ht="12.8" hidden="false" customHeight="false" outlineLevel="0" collapsed="false">
      <c r="A163" s="11" t="n">
        <v>3</v>
      </c>
      <c r="B163" s="1" t="n">
        <f aca="false">Изделия1!A51</f>
        <v>8</v>
      </c>
      <c r="C163" s="11" t="str">
        <f aca="false">Изделия1!D51</f>
        <v>ВН-31-К5(а)</v>
      </c>
      <c r="D163" s="11" t="n">
        <v>1</v>
      </c>
    </row>
    <row r="164" customFormat="false" ht="12.8" hidden="false" customHeight="false" outlineLevel="0" collapsed="false">
      <c r="A164" s="11" t="n">
        <v>3</v>
      </c>
      <c r="B164" s="1" t="n">
        <f aca="false">Изделия1!A52</f>
        <v>7</v>
      </c>
      <c r="C164" s="11" t="str">
        <f aca="false">Изделия1!D52</f>
        <v>ВН-37-К5(а)</v>
      </c>
      <c r="D164" s="11" t="n">
        <v>1</v>
      </c>
    </row>
    <row r="165" customFormat="false" ht="12.8" hidden="false" customHeight="false" outlineLevel="0" collapsed="false">
      <c r="A165" s="11" t="n">
        <v>3</v>
      </c>
      <c r="B165" s="1" t="n">
        <f aca="false">Изделия1!A53</f>
        <v>6</v>
      </c>
      <c r="C165" s="11" t="str">
        <f aca="false">Изделия1!D53</f>
        <v>ВН-31-К5(а)</v>
      </c>
      <c r="D165" s="11" t="n">
        <v>1</v>
      </c>
    </row>
    <row r="166" customFormat="false" ht="12.8" hidden="false" customHeight="false" outlineLevel="0" collapsed="false">
      <c r="A166" s="11" t="n">
        <v>3</v>
      </c>
      <c r="B166" s="1" t="n">
        <f aca="false">Изделия1!A54</f>
        <v>5</v>
      </c>
      <c r="C166" s="11" t="str">
        <f aca="false">Изделия1!D54</f>
        <v>ВН-37-К5(а)</v>
      </c>
      <c r="D166" s="11" t="n">
        <v>1</v>
      </c>
    </row>
    <row r="167" customFormat="false" ht="12.8" hidden="false" customHeight="false" outlineLevel="0" collapsed="false">
      <c r="A167" s="11" t="n">
        <v>3</v>
      </c>
      <c r="B167" s="1" t="n">
        <f aca="false">Изделия1!A55</f>
        <v>4</v>
      </c>
      <c r="C167" s="11" t="str">
        <f aca="false">Изделия1!D55</f>
        <v>ВН-31-К5(а)</v>
      </c>
      <c r="D167" s="11" t="n">
        <v>1</v>
      </c>
    </row>
    <row r="168" customFormat="false" ht="12.8" hidden="false" customHeight="false" outlineLevel="0" collapsed="false">
      <c r="A168" s="11" t="n">
        <v>3</v>
      </c>
      <c r="B168" s="1" t="n">
        <f aca="false">Изделия1!A56</f>
        <v>3</v>
      </c>
      <c r="C168" s="11" t="str">
        <f aca="false">Изделия1!D56</f>
        <v>ВН-37-К5(а)</v>
      </c>
      <c r="D168" s="11" t="n">
        <v>1</v>
      </c>
    </row>
    <row r="169" customFormat="false" ht="12.8" hidden="false" customHeight="false" outlineLevel="0" collapsed="false">
      <c r="A169" s="11" t="n">
        <v>3</v>
      </c>
      <c r="B169" s="1" t="n">
        <f aca="false">Изделия1!A57</f>
        <v>2</v>
      </c>
      <c r="C169" s="11" t="str">
        <f aca="false">Изделия1!D57</f>
        <v>ВН-27-К5(а)</v>
      </c>
      <c r="D169" s="11" t="n">
        <v>1</v>
      </c>
    </row>
    <row r="170" customFormat="false" ht="12.8" hidden="false" customHeight="false" outlineLevel="0" collapsed="false">
      <c r="A170" s="11" t="n">
        <v>4</v>
      </c>
      <c r="B170" s="1" t="n">
        <f aca="false">Изделия1!A2</f>
        <v>57</v>
      </c>
      <c r="C170" s="11" t="str">
        <f aca="false">Изделия1!E2</f>
        <v>ВН-56-К5(а)</v>
      </c>
      <c r="D170" s="11" t="n">
        <v>1</v>
      </c>
    </row>
    <row r="171" customFormat="false" ht="12.8" hidden="false" customHeight="false" outlineLevel="0" collapsed="false">
      <c r="A171" s="11" t="n">
        <v>4</v>
      </c>
      <c r="B171" s="1" t="n">
        <f aca="false">Изделия1!A3</f>
        <v>56</v>
      </c>
      <c r="C171" s="11" t="str">
        <f aca="false">Изделия1!E3</f>
        <v>ВН-32-К5(а)</v>
      </c>
      <c r="D171" s="11" t="n">
        <v>1</v>
      </c>
    </row>
    <row r="172" customFormat="false" ht="12.8" hidden="false" customHeight="false" outlineLevel="0" collapsed="false">
      <c r="A172" s="11" t="n">
        <v>4</v>
      </c>
      <c r="B172" s="1" t="n">
        <f aca="false">Изделия1!A4</f>
        <v>55</v>
      </c>
      <c r="C172" s="11" t="str">
        <f aca="false">Изделия1!E4</f>
        <v>ВН-38-К5(а)</v>
      </c>
      <c r="D172" s="11" t="n">
        <v>1</v>
      </c>
    </row>
    <row r="173" customFormat="false" ht="12.8" hidden="false" customHeight="false" outlineLevel="0" collapsed="false">
      <c r="A173" s="11" t="n">
        <v>4</v>
      </c>
      <c r="B173" s="1" t="n">
        <f aca="false">Изделия1!A5</f>
        <v>54</v>
      </c>
      <c r="C173" s="11" t="str">
        <f aca="false">Изделия1!E5</f>
        <v>ВН-32-К5(а)</v>
      </c>
      <c r="D173" s="11" t="n">
        <v>1</v>
      </c>
    </row>
    <row r="174" customFormat="false" ht="12.8" hidden="false" customHeight="false" outlineLevel="0" collapsed="false">
      <c r="A174" s="11" t="n">
        <v>4</v>
      </c>
      <c r="B174" s="1" t="n">
        <f aca="false">Изделия1!A6</f>
        <v>53</v>
      </c>
      <c r="C174" s="11" t="str">
        <f aca="false">Изделия1!E6</f>
        <v>ВН-38-К5(а)</v>
      </c>
      <c r="D174" s="11" t="n">
        <v>1</v>
      </c>
    </row>
    <row r="175" customFormat="false" ht="12.8" hidden="false" customHeight="false" outlineLevel="0" collapsed="false">
      <c r="A175" s="11" t="n">
        <v>4</v>
      </c>
      <c r="B175" s="1" t="n">
        <f aca="false">Изделия1!A7</f>
        <v>52</v>
      </c>
      <c r="C175" s="11" t="str">
        <f aca="false">Изделия1!E7</f>
        <v>ВН-32-К5(а)</v>
      </c>
      <c r="D175" s="11" t="n">
        <v>1</v>
      </c>
    </row>
    <row r="176" customFormat="false" ht="12.8" hidden="false" customHeight="false" outlineLevel="0" collapsed="false">
      <c r="A176" s="11" t="n">
        <v>4</v>
      </c>
      <c r="B176" s="1" t="n">
        <f aca="false">Изделия1!A8</f>
        <v>51</v>
      </c>
      <c r="C176" s="11" t="str">
        <f aca="false">Изделия1!E8</f>
        <v>ВН-38-К5(а)</v>
      </c>
      <c r="D176" s="11" t="n">
        <v>1</v>
      </c>
    </row>
    <row r="177" customFormat="false" ht="12.8" hidden="false" customHeight="false" outlineLevel="0" collapsed="false">
      <c r="A177" s="11" t="n">
        <v>4</v>
      </c>
      <c r="B177" s="1" t="n">
        <f aca="false">Изделия1!A9</f>
        <v>50</v>
      </c>
      <c r="C177" s="11" t="str">
        <f aca="false">Изделия1!E9</f>
        <v>ВН-32-К5(а)</v>
      </c>
      <c r="D177" s="11" t="n">
        <v>1</v>
      </c>
    </row>
    <row r="178" customFormat="false" ht="12.8" hidden="false" customHeight="false" outlineLevel="0" collapsed="false">
      <c r="A178" s="11" t="n">
        <v>4</v>
      </c>
      <c r="B178" s="1" t="n">
        <f aca="false">Изделия1!A10</f>
        <v>49</v>
      </c>
      <c r="C178" s="11" t="str">
        <f aca="false">Изделия1!E10</f>
        <v>ВН-38-К5(а)</v>
      </c>
      <c r="D178" s="11" t="n">
        <v>1</v>
      </c>
    </row>
    <row r="179" customFormat="false" ht="12.8" hidden="false" customHeight="false" outlineLevel="0" collapsed="false">
      <c r="A179" s="11" t="n">
        <v>4</v>
      </c>
      <c r="B179" s="1" t="n">
        <f aca="false">Изделия1!A11</f>
        <v>48</v>
      </c>
      <c r="C179" s="11" t="str">
        <f aca="false">Изделия1!E11</f>
        <v>ВН-32-К5(а)</v>
      </c>
      <c r="D179" s="11" t="n">
        <v>1</v>
      </c>
    </row>
    <row r="180" customFormat="false" ht="12.8" hidden="false" customHeight="false" outlineLevel="0" collapsed="false">
      <c r="A180" s="11" t="n">
        <v>4</v>
      </c>
      <c r="B180" s="1" t="n">
        <f aca="false">Изделия1!A12</f>
        <v>47</v>
      </c>
      <c r="C180" s="11" t="str">
        <f aca="false">Изделия1!E12</f>
        <v>ВН-38-К5(а)</v>
      </c>
      <c r="D180" s="11" t="n">
        <v>1</v>
      </c>
    </row>
    <row r="181" customFormat="false" ht="12.8" hidden="false" customHeight="false" outlineLevel="0" collapsed="false">
      <c r="A181" s="11" t="n">
        <v>4</v>
      </c>
      <c r="B181" s="1" t="n">
        <f aca="false">Изделия1!A13</f>
        <v>46</v>
      </c>
      <c r="C181" s="11" t="str">
        <f aca="false">Изделия1!E13</f>
        <v>ВН-32-К5(а)</v>
      </c>
      <c r="D181" s="11" t="n">
        <v>1</v>
      </c>
    </row>
    <row r="182" customFormat="false" ht="12.8" hidden="false" customHeight="false" outlineLevel="0" collapsed="false">
      <c r="A182" s="11" t="n">
        <v>4</v>
      </c>
      <c r="B182" s="1" t="n">
        <f aca="false">Изделия1!A14</f>
        <v>45</v>
      </c>
      <c r="C182" s="11" t="str">
        <f aca="false">Изделия1!E14</f>
        <v>ВН-38-К5(а)</v>
      </c>
      <c r="D182" s="11" t="n">
        <v>1</v>
      </c>
    </row>
    <row r="183" customFormat="false" ht="12.8" hidden="false" customHeight="false" outlineLevel="0" collapsed="false">
      <c r="A183" s="11" t="n">
        <v>4</v>
      </c>
      <c r="B183" s="1" t="n">
        <f aca="false">Изделия1!A15</f>
        <v>44</v>
      </c>
      <c r="C183" s="11" t="str">
        <f aca="false">Изделия1!E15</f>
        <v>ВН-32-К5(а)</v>
      </c>
      <c r="D183" s="11" t="n">
        <v>1</v>
      </c>
    </row>
    <row r="184" customFormat="false" ht="12.8" hidden="false" customHeight="false" outlineLevel="0" collapsed="false">
      <c r="A184" s="11" t="n">
        <v>4</v>
      </c>
      <c r="B184" s="1" t="n">
        <f aca="false">Изделия1!A16</f>
        <v>43</v>
      </c>
      <c r="C184" s="11" t="str">
        <f aca="false">Изделия1!E16</f>
        <v>ВН-38-К5(а)</v>
      </c>
      <c r="D184" s="11" t="n">
        <v>1</v>
      </c>
    </row>
    <row r="185" customFormat="false" ht="12.8" hidden="false" customHeight="false" outlineLevel="0" collapsed="false">
      <c r="A185" s="11" t="n">
        <v>4</v>
      </c>
      <c r="B185" s="1" t="n">
        <f aca="false">Изделия1!A17</f>
        <v>42</v>
      </c>
      <c r="C185" s="11" t="str">
        <f aca="false">Изделия1!E17</f>
        <v>ВН-32-К5(а)</v>
      </c>
      <c r="D185" s="11" t="n">
        <v>1</v>
      </c>
    </row>
    <row r="186" customFormat="false" ht="12.8" hidden="false" customHeight="false" outlineLevel="0" collapsed="false">
      <c r="A186" s="11" t="n">
        <v>4</v>
      </c>
      <c r="B186" s="1" t="n">
        <f aca="false">Изделия1!A18</f>
        <v>41</v>
      </c>
      <c r="C186" s="11" t="str">
        <f aca="false">Изделия1!E18</f>
        <v>ВН-38-К5(а)</v>
      </c>
      <c r="D186" s="11" t="n">
        <v>1</v>
      </c>
    </row>
    <row r="187" customFormat="false" ht="12.8" hidden="false" customHeight="false" outlineLevel="0" collapsed="false">
      <c r="A187" s="11" t="n">
        <v>4</v>
      </c>
      <c r="B187" s="1" t="n">
        <f aca="false">Изделия1!A19</f>
        <v>40</v>
      </c>
      <c r="C187" s="11" t="str">
        <f aca="false">Изделия1!E19</f>
        <v>ВН-50-К5(а) -к1</v>
      </c>
      <c r="D187" s="11" t="n">
        <v>1</v>
      </c>
    </row>
    <row r="188" customFormat="false" ht="12.8" hidden="false" customHeight="false" outlineLevel="0" collapsed="false">
      <c r="A188" s="11" t="n">
        <v>4</v>
      </c>
      <c r="B188" s="1" t="n">
        <f aca="false">Изделия1!A20</f>
        <v>39</v>
      </c>
      <c r="C188" s="11" t="str">
        <f aca="false">Изделия1!E20</f>
        <v>ВН-44-К5(а)</v>
      </c>
      <c r="D188" s="11" t="n">
        <v>1</v>
      </c>
    </row>
    <row r="189" customFormat="false" ht="12.8" hidden="false" customHeight="false" outlineLevel="0" collapsed="false">
      <c r="A189" s="11" t="n">
        <v>4</v>
      </c>
      <c r="B189" s="1" t="n">
        <f aca="false">Изделия1!A21</f>
        <v>38</v>
      </c>
      <c r="C189" s="11" t="str">
        <f aca="false">Изделия1!E21</f>
        <v>ВН-32-К5(а)</v>
      </c>
      <c r="D189" s="11" t="n">
        <v>1</v>
      </c>
    </row>
    <row r="190" customFormat="false" ht="12.8" hidden="false" customHeight="false" outlineLevel="0" collapsed="false">
      <c r="A190" s="11" t="n">
        <v>4</v>
      </c>
      <c r="B190" s="1" t="n">
        <f aca="false">Изделия1!A22</f>
        <v>37</v>
      </c>
      <c r="C190" s="11" t="str">
        <f aca="false">Изделия1!E22</f>
        <v>ВН-38-К5(а)</v>
      </c>
      <c r="D190" s="11" t="n">
        <v>1</v>
      </c>
    </row>
    <row r="191" customFormat="false" ht="12.8" hidden="false" customHeight="false" outlineLevel="0" collapsed="false">
      <c r="A191" s="11" t="n">
        <v>4</v>
      </c>
      <c r="B191" s="1" t="n">
        <f aca="false">Изделия1!A23</f>
        <v>36</v>
      </c>
      <c r="C191" s="11" t="str">
        <f aca="false">Изделия1!E23</f>
        <v>ВН-32-К5(а)</v>
      </c>
      <c r="D191" s="11" t="n">
        <v>1</v>
      </c>
    </row>
    <row r="192" customFormat="false" ht="12.8" hidden="false" customHeight="false" outlineLevel="0" collapsed="false">
      <c r="A192" s="11" t="n">
        <v>4</v>
      </c>
      <c r="B192" s="1" t="n">
        <f aca="false">Изделия1!A24</f>
        <v>35</v>
      </c>
      <c r="C192" s="11" t="str">
        <f aca="false">Изделия1!E24</f>
        <v>ВН-38-К5(а)</v>
      </c>
      <c r="D192" s="11" t="n">
        <v>1</v>
      </c>
    </row>
    <row r="193" customFormat="false" ht="12.8" hidden="false" customHeight="false" outlineLevel="0" collapsed="false">
      <c r="A193" s="11" t="n">
        <v>4</v>
      </c>
      <c r="B193" s="1" t="n">
        <f aca="false">Изделия1!A25</f>
        <v>34</v>
      </c>
      <c r="C193" s="11" t="str">
        <f aca="false">Изделия1!E25</f>
        <v>ВН-32-К5(а)</v>
      </c>
      <c r="D193" s="11" t="n">
        <v>1</v>
      </c>
    </row>
    <row r="194" customFormat="false" ht="12.8" hidden="false" customHeight="false" outlineLevel="0" collapsed="false">
      <c r="A194" s="11" t="n">
        <v>4</v>
      </c>
      <c r="B194" s="1" t="n">
        <f aca="false">Изделия1!A26</f>
        <v>33</v>
      </c>
      <c r="C194" s="11" t="str">
        <f aca="false">Изделия1!E26</f>
        <v>ВН-38-К5(а)</v>
      </c>
      <c r="D194" s="11" t="n">
        <v>1</v>
      </c>
    </row>
    <row r="195" customFormat="false" ht="12.8" hidden="false" customHeight="false" outlineLevel="0" collapsed="false">
      <c r="A195" s="11" t="n">
        <v>4</v>
      </c>
      <c r="B195" s="1" t="n">
        <f aca="false">Изделия1!A27</f>
        <v>32</v>
      </c>
      <c r="C195" s="11" t="str">
        <f aca="false">Изделия1!E27</f>
        <v>ВН-32-К5(а)</v>
      </c>
      <c r="D195" s="11" t="n">
        <v>1</v>
      </c>
    </row>
    <row r="196" customFormat="false" ht="12.8" hidden="false" customHeight="false" outlineLevel="0" collapsed="false">
      <c r="A196" s="11" t="n">
        <v>4</v>
      </c>
      <c r="B196" s="1" t="n">
        <f aca="false">Изделия1!A28</f>
        <v>31</v>
      </c>
      <c r="C196" s="11" t="str">
        <f aca="false">Изделия1!E28</f>
        <v>ВН-38-К5(а)</v>
      </c>
      <c r="D196" s="11" t="n">
        <v>1</v>
      </c>
    </row>
    <row r="197" customFormat="false" ht="12.8" hidden="false" customHeight="false" outlineLevel="0" collapsed="false">
      <c r="A197" s="11" t="n">
        <v>4</v>
      </c>
      <c r="B197" s="1" t="n">
        <f aca="false">Изделия1!A29</f>
        <v>30</v>
      </c>
      <c r="C197" s="11" t="str">
        <f aca="false">Изделия1!E29</f>
        <v>ВН-32-К5(а)</v>
      </c>
      <c r="D197" s="11" t="n">
        <v>1</v>
      </c>
    </row>
    <row r="198" customFormat="false" ht="12.8" hidden="false" customHeight="false" outlineLevel="0" collapsed="false">
      <c r="A198" s="11" t="n">
        <v>4</v>
      </c>
      <c r="B198" s="1" t="n">
        <f aca="false">Изделия1!A30</f>
        <v>29</v>
      </c>
      <c r="C198" s="11" t="str">
        <f aca="false">Изделия1!E30</f>
        <v>ВН-38-К5(а)</v>
      </c>
      <c r="D198" s="11" t="n">
        <v>1</v>
      </c>
    </row>
    <row r="199" customFormat="false" ht="12.8" hidden="false" customHeight="false" outlineLevel="0" collapsed="false">
      <c r="A199" s="11" t="n">
        <v>4</v>
      </c>
      <c r="B199" s="1" t="n">
        <f aca="false">Изделия1!A31</f>
        <v>28</v>
      </c>
      <c r="C199" s="11" t="str">
        <f aca="false">Изделия1!E31</f>
        <v>ВН-32-К5(а)</v>
      </c>
      <c r="D199" s="11" t="n">
        <v>1</v>
      </c>
    </row>
    <row r="200" customFormat="false" ht="12.8" hidden="false" customHeight="false" outlineLevel="0" collapsed="false">
      <c r="A200" s="11" t="n">
        <v>4</v>
      </c>
      <c r="B200" s="1" t="n">
        <f aca="false">Изделия1!A32</f>
        <v>27</v>
      </c>
      <c r="C200" s="11" t="str">
        <f aca="false">Изделия1!E32</f>
        <v>ВН-38-К5(а)</v>
      </c>
      <c r="D200" s="11" t="n">
        <v>1</v>
      </c>
    </row>
    <row r="201" customFormat="false" ht="12.8" hidden="false" customHeight="false" outlineLevel="0" collapsed="false">
      <c r="A201" s="11" t="n">
        <v>4</v>
      </c>
      <c r="B201" s="1" t="n">
        <f aca="false">Изделия1!A33</f>
        <v>26</v>
      </c>
      <c r="C201" s="11" t="str">
        <f aca="false">Изделия1!E33</f>
        <v>ВН-32-К5(а)</v>
      </c>
      <c r="D201" s="11" t="n">
        <v>1</v>
      </c>
    </row>
    <row r="202" customFormat="false" ht="12.8" hidden="false" customHeight="false" outlineLevel="0" collapsed="false">
      <c r="A202" s="11" t="n">
        <v>4</v>
      </c>
      <c r="B202" s="1" t="n">
        <f aca="false">Изделия1!A34</f>
        <v>25</v>
      </c>
      <c r="C202" s="11" t="str">
        <f aca="false">Изделия1!E34</f>
        <v>ВН-38-К5(а)</v>
      </c>
      <c r="D202" s="11" t="n">
        <v>1</v>
      </c>
    </row>
    <row r="203" customFormat="false" ht="12.8" hidden="false" customHeight="false" outlineLevel="0" collapsed="false">
      <c r="A203" s="11" t="n">
        <v>4</v>
      </c>
      <c r="B203" s="1" t="n">
        <f aca="false">Изделия1!A35</f>
        <v>24</v>
      </c>
      <c r="C203" s="11" t="str">
        <f aca="false">Изделия1!E35</f>
        <v>ВН-32-К5(а)</v>
      </c>
      <c r="D203" s="11" t="n">
        <v>1</v>
      </c>
    </row>
    <row r="204" customFormat="false" ht="12.8" hidden="false" customHeight="false" outlineLevel="0" collapsed="false">
      <c r="A204" s="11" t="n">
        <v>4</v>
      </c>
      <c r="B204" s="1" t="n">
        <f aca="false">Изделия1!A36</f>
        <v>23</v>
      </c>
      <c r="C204" s="11" t="str">
        <f aca="false">Изделия1!E36</f>
        <v>ВН-38-К5(а)</v>
      </c>
      <c r="D204" s="11" t="n">
        <v>1</v>
      </c>
    </row>
    <row r="205" customFormat="false" ht="12.8" hidden="false" customHeight="false" outlineLevel="0" collapsed="false">
      <c r="A205" s="11" t="n">
        <v>4</v>
      </c>
      <c r="B205" s="1" t="n">
        <f aca="false">Изделия1!A37</f>
        <v>22</v>
      </c>
      <c r="C205" s="11" t="str">
        <f aca="false">Изделия1!E37</f>
        <v>ВН-32-К5(а)</v>
      </c>
      <c r="D205" s="11" t="n">
        <v>1</v>
      </c>
    </row>
    <row r="206" customFormat="false" ht="12.8" hidden="false" customHeight="false" outlineLevel="0" collapsed="false">
      <c r="A206" s="11" t="n">
        <v>4</v>
      </c>
      <c r="B206" s="1" t="n">
        <f aca="false">Изделия1!A38</f>
        <v>21</v>
      </c>
      <c r="C206" s="11" t="str">
        <f aca="false">Изделия1!E38</f>
        <v>ВН-38-К5(а)</v>
      </c>
      <c r="D206" s="11" t="n">
        <v>1</v>
      </c>
    </row>
    <row r="207" customFormat="false" ht="12.8" hidden="false" customHeight="false" outlineLevel="0" collapsed="false">
      <c r="A207" s="11" t="n">
        <v>4</v>
      </c>
      <c r="B207" s="1" t="n">
        <f aca="false">Изделия1!A39</f>
        <v>20</v>
      </c>
      <c r="C207" s="11" t="str">
        <f aca="false">Изделия1!E39</f>
        <v>ВН-50-К5(а)</v>
      </c>
      <c r="D207" s="11" t="n">
        <v>1</v>
      </c>
    </row>
    <row r="208" customFormat="false" ht="12.8" hidden="false" customHeight="false" outlineLevel="0" collapsed="false">
      <c r="A208" s="11" t="n">
        <v>4</v>
      </c>
      <c r="B208" s="1" t="n">
        <f aca="false">Изделия1!A40</f>
        <v>19</v>
      </c>
      <c r="C208" s="11" t="str">
        <f aca="false">Изделия1!E40</f>
        <v>ВН-44-К5(а)</v>
      </c>
      <c r="D208" s="11" t="n">
        <v>1</v>
      </c>
    </row>
    <row r="209" customFormat="false" ht="12.8" hidden="false" customHeight="false" outlineLevel="0" collapsed="false">
      <c r="A209" s="11" t="n">
        <v>4</v>
      </c>
      <c r="B209" s="1" t="n">
        <f aca="false">Изделия1!A41</f>
        <v>18</v>
      </c>
      <c r="C209" s="11" t="str">
        <f aca="false">Изделия1!E41</f>
        <v>ВН-32-К5(а)</v>
      </c>
      <c r="D209" s="11" t="n">
        <v>1</v>
      </c>
    </row>
    <row r="210" customFormat="false" ht="12.8" hidden="false" customHeight="false" outlineLevel="0" collapsed="false">
      <c r="A210" s="11" t="n">
        <v>4</v>
      </c>
      <c r="B210" s="1" t="n">
        <f aca="false">Изделия1!A42</f>
        <v>17</v>
      </c>
      <c r="C210" s="11" t="str">
        <f aca="false">Изделия1!E42</f>
        <v>ВН-38-К5(а)</v>
      </c>
      <c r="D210" s="11" t="n">
        <v>1</v>
      </c>
    </row>
    <row r="211" customFormat="false" ht="12.8" hidden="false" customHeight="false" outlineLevel="0" collapsed="false">
      <c r="A211" s="11" t="n">
        <v>4</v>
      </c>
      <c r="B211" s="1" t="n">
        <f aca="false">Изделия1!A43</f>
        <v>16</v>
      </c>
      <c r="C211" s="11" t="str">
        <f aca="false">Изделия1!E43</f>
        <v>ВН-32-К5(а)</v>
      </c>
      <c r="D211" s="11" t="n">
        <v>1</v>
      </c>
    </row>
    <row r="212" customFormat="false" ht="12.8" hidden="false" customHeight="false" outlineLevel="0" collapsed="false">
      <c r="A212" s="11" t="n">
        <v>4</v>
      </c>
      <c r="B212" s="1" t="n">
        <f aca="false">Изделия1!A44</f>
        <v>15</v>
      </c>
      <c r="C212" s="11" t="str">
        <f aca="false">Изделия1!E44</f>
        <v>ВН-38-К5(а)</v>
      </c>
      <c r="D212" s="11" t="n">
        <v>1</v>
      </c>
    </row>
    <row r="213" customFormat="false" ht="12.8" hidden="false" customHeight="false" outlineLevel="0" collapsed="false">
      <c r="A213" s="11" t="n">
        <v>4</v>
      </c>
      <c r="B213" s="1" t="n">
        <f aca="false">Изделия1!A45</f>
        <v>14</v>
      </c>
      <c r="C213" s="11" t="str">
        <f aca="false">Изделия1!E45</f>
        <v>ВН-32-К5(а)</v>
      </c>
      <c r="D213" s="11" t="n">
        <v>1</v>
      </c>
    </row>
    <row r="214" customFormat="false" ht="12.8" hidden="false" customHeight="false" outlineLevel="0" collapsed="false">
      <c r="A214" s="11" t="n">
        <v>4</v>
      </c>
      <c r="B214" s="1" t="n">
        <f aca="false">Изделия1!A46</f>
        <v>13</v>
      </c>
      <c r="C214" s="11" t="str">
        <f aca="false">Изделия1!E46</f>
        <v>ВН-38-К5(а)</v>
      </c>
      <c r="D214" s="11" t="n">
        <v>1</v>
      </c>
    </row>
    <row r="215" customFormat="false" ht="12.8" hidden="false" customHeight="false" outlineLevel="0" collapsed="false">
      <c r="A215" s="11" t="n">
        <v>4</v>
      </c>
      <c r="B215" s="1" t="n">
        <f aca="false">Изделия1!A47</f>
        <v>12</v>
      </c>
      <c r="C215" s="11" t="str">
        <f aca="false">Изделия1!E47</f>
        <v>ВН-32-К5(а)</v>
      </c>
      <c r="D215" s="11" t="n">
        <v>1</v>
      </c>
    </row>
    <row r="216" customFormat="false" ht="12.8" hidden="false" customHeight="false" outlineLevel="0" collapsed="false">
      <c r="A216" s="11" t="n">
        <v>4</v>
      </c>
      <c r="B216" s="1" t="n">
        <f aca="false">Изделия1!A48</f>
        <v>11</v>
      </c>
      <c r="C216" s="11" t="str">
        <f aca="false">Изделия1!E48</f>
        <v>ВН-38-К5(а)</v>
      </c>
      <c r="D216" s="11" t="n">
        <v>1</v>
      </c>
    </row>
    <row r="217" customFormat="false" ht="12.8" hidden="false" customHeight="false" outlineLevel="0" collapsed="false">
      <c r="A217" s="11" t="n">
        <v>4</v>
      </c>
      <c r="B217" s="1" t="n">
        <f aca="false">Изделия1!A49</f>
        <v>10</v>
      </c>
      <c r="C217" s="11" t="str">
        <f aca="false">Изделия1!E49</f>
        <v>ВН-32-К5(а)</v>
      </c>
      <c r="D217" s="11" t="n">
        <v>1</v>
      </c>
    </row>
    <row r="218" customFormat="false" ht="12.8" hidden="false" customHeight="false" outlineLevel="0" collapsed="false">
      <c r="A218" s="11" t="n">
        <v>4</v>
      </c>
      <c r="B218" s="1" t="n">
        <f aca="false">Изделия1!A50</f>
        <v>9</v>
      </c>
      <c r="C218" s="11" t="str">
        <f aca="false">Изделия1!E50</f>
        <v>ВН-38-К5(а)</v>
      </c>
      <c r="D218" s="11" t="n">
        <v>1</v>
      </c>
    </row>
    <row r="219" customFormat="false" ht="12.8" hidden="false" customHeight="false" outlineLevel="0" collapsed="false">
      <c r="A219" s="11" t="n">
        <v>4</v>
      </c>
      <c r="B219" s="1" t="n">
        <f aca="false">Изделия1!A51</f>
        <v>8</v>
      </c>
      <c r="C219" s="11" t="str">
        <f aca="false">Изделия1!E51</f>
        <v>ВН-32-К5(а)</v>
      </c>
      <c r="D219" s="11" t="n">
        <v>1</v>
      </c>
    </row>
    <row r="220" customFormat="false" ht="12.8" hidden="false" customHeight="false" outlineLevel="0" collapsed="false">
      <c r="A220" s="11" t="n">
        <v>4</v>
      </c>
      <c r="B220" s="1" t="n">
        <f aca="false">Изделия1!A52</f>
        <v>7</v>
      </c>
      <c r="C220" s="11" t="str">
        <f aca="false">Изделия1!E52</f>
        <v>ВН-38-К5(а)</v>
      </c>
      <c r="D220" s="11" t="n">
        <v>1</v>
      </c>
    </row>
    <row r="221" customFormat="false" ht="12.8" hidden="false" customHeight="false" outlineLevel="0" collapsed="false">
      <c r="A221" s="11" t="n">
        <v>4</v>
      </c>
      <c r="B221" s="1" t="n">
        <f aca="false">Изделия1!A53</f>
        <v>6</v>
      </c>
      <c r="C221" s="11" t="str">
        <f aca="false">Изделия1!E53</f>
        <v>ВН-32-К5(а)</v>
      </c>
      <c r="D221" s="11" t="n">
        <v>1</v>
      </c>
    </row>
    <row r="222" customFormat="false" ht="12.8" hidden="false" customHeight="false" outlineLevel="0" collapsed="false">
      <c r="A222" s="11" t="n">
        <v>4</v>
      </c>
      <c r="B222" s="1" t="n">
        <f aca="false">Изделия1!A54</f>
        <v>5</v>
      </c>
      <c r="C222" s="11" t="str">
        <f aca="false">Изделия1!E54</f>
        <v>ВН-38-К5(а)</v>
      </c>
      <c r="D222" s="11" t="n">
        <v>1</v>
      </c>
    </row>
    <row r="223" customFormat="false" ht="12.8" hidden="false" customHeight="false" outlineLevel="0" collapsed="false">
      <c r="A223" s="11" t="n">
        <v>4</v>
      </c>
      <c r="B223" s="1" t="n">
        <f aca="false">Изделия1!A55</f>
        <v>4</v>
      </c>
      <c r="C223" s="11" t="str">
        <f aca="false">Изделия1!E55</f>
        <v>ВН-32-К5(а)</v>
      </c>
      <c r="D223" s="11" t="n">
        <v>1</v>
      </c>
    </row>
    <row r="224" customFormat="false" ht="12.8" hidden="false" customHeight="false" outlineLevel="0" collapsed="false">
      <c r="A224" s="11" t="n">
        <v>4</v>
      </c>
      <c r="B224" s="1" t="n">
        <f aca="false">Изделия1!A56</f>
        <v>3</v>
      </c>
      <c r="C224" s="11" t="str">
        <f aca="false">Изделия1!E56</f>
        <v>ВН-38-К5(а)</v>
      </c>
      <c r="D224" s="11" t="n">
        <v>1</v>
      </c>
    </row>
    <row r="225" customFormat="false" ht="12.8" hidden="false" customHeight="false" outlineLevel="0" collapsed="false">
      <c r="A225" s="11" t="n">
        <v>4</v>
      </c>
      <c r="B225" s="1" t="n">
        <f aca="false">Изделия1!A57</f>
        <v>2</v>
      </c>
      <c r="C225" s="11" t="str">
        <f aca="false">Изделия1!E57</f>
        <v>ВН-28-К5(а)</v>
      </c>
      <c r="D225" s="11" t="n">
        <v>1</v>
      </c>
    </row>
    <row r="226" customFormat="false" ht="12.8" hidden="false" customHeight="false" outlineLevel="0" collapsed="false">
      <c r="A226" s="11" t="n">
        <v>5</v>
      </c>
      <c r="B226" s="1" t="n">
        <f aca="false">Изделия1!A2</f>
        <v>57</v>
      </c>
      <c r="C226" s="11" t="str">
        <f aca="false">Изделия1!F2</f>
        <v>ВН-55-К5(а)</v>
      </c>
      <c r="D226" s="11" t="n">
        <v>1</v>
      </c>
    </row>
    <row r="227" customFormat="false" ht="12.8" hidden="false" customHeight="false" outlineLevel="0" collapsed="false">
      <c r="A227" s="11" t="n">
        <v>5</v>
      </c>
      <c r="B227" s="1" t="n">
        <f aca="false">Изделия1!A3</f>
        <v>56</v>
      </c>
      <c r="C227" s="11" t="str">
        <f aca="false">Изделия1!F3</f>
        <v>ВН-31-К5(а)</v>
      </c>
      <c r="D227" s="11" t="n">
        <v>1</v>
      </c>
    </row>
    <row r="228" customFormat="false" ht="12.8" hidden="false" customHeight="false" outlineLevel="0" collapsed="false">
      <c r="A228" s="11" t="n">
        <v>5</v>
      </c>
      <c r="B228" s="1" t="n">
        <f aca="false">Изделия1!A4</f>
        <v>55</v>
      </c>
      <c r="C228" s="11" t="str">
        <f aca="false">Изделия1!F4</f>
        <v>ВН-37-К5(а)</v>
      </c>
      <c r="D228" s="11" t="n">
        <v>1</v>
      </c>
    </row>
    <row r="229" customFormat="false" ht="12.8" hidden="false" customHeight="false" outlineLevel="0" collapsed="false">
      <c r="A229" s="11" t="n">
        <v>5</v>
      </c>
      <c r="B229" s="1" t="n">
        <f aca="false">Изделия1!A5</f>
        <v>54</v>
      </c>
      <c r="C229" s="11" t="str">
        <f aca="false">Изделия1!F5</f>
        <v>ВН-31-К5(а)</v>
      </c>
      <c r="D229" s="11" t="n">
        <v>1</v>
      </c>
    </row>
    <row r="230" customFormat="false" ht="12.8" hidden="false" customHeight="false" outlineLevel="0" collapsed="false">
      <c r="A230" s="11" t="n">
        <v>5</v>
      </c>
      <c r="B230" s="1" t="n">
        <f aca="false">Изделия1!A6</f>
        <v>53</v>
      </c>
      <c r="C230" s="11" t="str">
        <f aca="false">Изделия1!F6</f>
        <v>ВН-37-К5(а)</v>
      </c>
      <c r="D230" s="11" t="n">
        <v>1</v>
      </c>
    </row>
    <row r="231" customFormat="false" ht="12.8" hidden="false" customHeight="false" outlineLevel="0" collapsed="false">
      <c r="A231" s="11" t="n">
        <v>5</v>
      </c>
      <c r="B231" s="1" t="n">
        <f aca="false">Изделия1!A7</f>
        <v>52</v>
      </c>
      <c r="C231" s="11" t="str">
        <f aca="false">Изделия1!F7</f>
        <v>ВН-31-К5(а)</v>
      </c>
      <c r="D231" s="11" t="n">
        <v>1</v>
      </c>
    </row>
    <row r="232" customFormat="false" ht="12.8" hidden="false" customHeight="false" outlineLevel="0" collapsed="false">
      <c r="A232" s="11" t="n">
        <v>5</v>
      </c>
      <c r="B232" s="1" t="n">
        <f aca="false">Изделия1!A8</f>
        <v>51</v>
      </c>
      <c r="C232" s="11" t="str">
        <f aca="false">Изделия1!F8</f>
        <v>ВН-37-К5(а)</v>
      </c>
      <c r="D232" s="11" t="n">
        <v>1</v>
      </c>
    </row>
    <row r="233" customFormat="false" ht="12.8" hidden="false" customHeight="false" outlineLevel="0" collapsed="false">
      <c r="A233" s="11" t="n">
        <v>5</v>
      </c>
      <c r="B233" s="1" t="n">
        <f aca="false">Изделия1!A9</f>
        <v>50</v>
      </c>
      <c r="C233" s="11" t="str">
        <f aca="false">Изделия1!F9</f>
        <v>ВН-31-К5(а)</v>
      </c>
      <c r="D233" s="11" t="n">
        <v>1</v>
      </c>
    </row>
    <row r="234" customFormat="false" ht="12.8" hidden="false" customHeight="false" outlineLevel="0" collapsed="false">
      <c r="A234" s="11" t="n">
        <v>5</v>
      </c>
      <c r="B234" s="1" t="n">
        <f aca="false">Изделия1!A10</f>
        <v>49</v>
      </c>
      <c r="C234" s="11" t="str">
        <f aca="false">Изделия1!F10</f>
        <v>ВН-37-К5(а)</v>
      </c>
      <c r="D234" s="11" t="n">
        <v>1</v>
      </c>
    </row>
    <row r="235" customFormat="false" ht="12.8" hidden="false" customHeight="false" outlineLevel="0" collapsed="false">
      <c r="A235" s="11" t="n">
        <v>5</v>
      </c>
      <c r="B235" s="1" t="n">
        <f aca="false">Изделия1!A11</f>
        <v>48</v>
      </c>
      <c r="C235" s="11" t="str">
        <f aca="false">Изделия1!F11</f>
        <v>ВН-31-К5(а)</v>
      </c>
      <c r="D235" s="11" t="n">
        <v>1</v>
      </c>
    </row>
    <row r="236" customFormat="false" ht="12.8" hidden="false" customHeight="false" outlineLevel="0" collapsed="false">
      <c r="A236" s="11" t="n">
        <v>5</v>
      </c>
      <c r="B236" s="1" t="n">
        <f aca="false">Изделия1!A12</f>
        <v>47</v>
      </c>
      <c r="C236" s="11" t="str">
        <f aca="false">Изделия1!F12</f>
        <v>ВН-37-К5(а)</v>
      </c>
      <c r="D236" s="11" t="n">
        <v>1</v>
      </c>
    </row>
    <row r="237" customFormat="false" ht="12.8" hidden="false" customHeight="false" outlineLevel="0" collapsed="false">
      <c r="A237" s="11" t="n">
        <v>5</v>
      </c>
      <c r="B237" s="1" t="n">
        <f aca="false">Изделия1!A13</f>
        <v>46</v>
      </c>
      <c r="C237" s="11" t="str">
        <f aca="false">Изделия1!F13</f>
        <v>ВН-31-К5(а)</v>
      </c>
      <c r="D237" s="11" t="n">
        <v>1</v>
      </c>
    </row>
    <row r="238" customFormat="false" ht="12.8" hidden="false" customHeight="false" outlineLevel="0" collapsed="false">
      <c r="A238" s="11" t="n">
        <v>5</v>
      </c>
      <c r="B238" s="1" t="n">
        <f aca="false">Изделия1!A14</f>
        <v>45</v>
      </c>
      <c r="C238" s="11" t="str">
        <f aca="false">Изделия1!F14</f>
        <v>ВН-37-К5(а)</v>
      </c>
      <c r="D238" s="11" t="n">
        <v>1</v>
      </c>
    </row>
    <row r="239" customFormat="false" ht="12.8" hidden="false" customHeight="false" outlineLevel="0" collapsed="false">
      <c r="A239" s="11" t="n">
        <v>5</v>
      </c>
      <c r="B239" s="1" t="n">
        <f aca="false">Изделия1!A15</f>
        <v>44</v>
      </c>
      <c r="C239" s="11" t="str">
        <f aca="false">Изделия1!F15</f>
        <v>ВН-31-К5(а)</v>
      </c>
      <c r="D239" s="11" t="n">
        <v>1</v>
      </c>
    </row>
    <row r="240" customFormat="false" ht="12.8" hidden="false" customHeight="false" outlineLevel="0" collapsed="false">
      <c r="A240" s="11" t="n">
        <v>5</v>
      </c>
      <c r="B240" s="1" t="n">
        <f aca="false">Изделия1!A16</f>
        <v>43</v>
      </c>
      <c r="C240" s="11" t="str">
        <f aca="false">Изделия1!F16</f>
        <v>ВН-37-К5(а)</v>
      </c>
      <c r="D240" s="11" t="n">
        <v>1</v>
      </c>
    </row>
    <row r="241" customFormat="false" ht="12.8" hidden="false" customHeight="false" outlineLevel="0" collapsed="false">
      <c r="A241" s="11" t="n">
        <v>5</v>
      </c>
      <c r="B241" s="1" t="n">
        <f aca="false">Изделия1!A17</f>
        <v>42</v>
      </c>
      <c r="C241" s="11" t="str">
        <f aca="false">Изделия1!F17</f>
        <v>ВН-31-К5(а)</v>
      </c>
      <c r="D241" s="11" t="n">
        <v>1</v>
      </c>
    </row>
    <row r="242" customFormat="false" ht="12.8" hidden="false" customHeight="false" outlineLevel="0" collapsed="false">
      <c r="A242" s="11" t="n">
        <v>5</v>
      </c>
      <c r="B242" s="1" t="n">
        <f aca="false">Изделия1!A18</f>
        <v>41</v>
      </c>
      <c r="C242" s="11" t="str">
        <f aca="false">Изделия1!F18</f>
        <v>ВН-37-К5(а)</v>
      </c>
      <c r="D242" s="11" t="n">
        <v>1</v>
      </c>
    </row>
    <row r="243" customFormat="false" ht="12.8" hidden="false" customHeight="false" outlineLevel="0" collapsed="false">
      <c r="A243" s="11" t="n">
        <v>5</v>
      </c>
      <c r="B243" s="1" t="n">
        <f aca="false">Изделия1!A19</f>
        <v>40</v>
      </c>
      <c r="C243" s="11" t="str">
        <f aca="false">Изделия1!F19</f>
        <v>ВН-49-К5(а)</v>
      </c>
      <c r="D243" s="11" t="n">
        <v>1</v>
      </c>
    </row>
    <row r="244" customFormat="false" ht="12.8" hidden="false" customHeight="false" outlineLevel="0" collapsed="false">
      <c r="A244" s="11" t="n">
        <v>5</v>
      </c>
      <c r="B244" s="1" t="n">
        <f aca="false">Изделия1!A20</f>
        <v>39</v>
      </c>
      <c r="C244" s="11" t="str">
        <f aca="false">Изделия1!F20</f>
        <v>ВН-43-К5(а)</v>
      </c>
      <c r="D244" s="11" t="n">
        <v>1</v>
      </c>
    </row>
    <row r="245" customFormat="false" ht="12.8" hidden="false" customHeight="false" outlineLevel="0" collapsed="false">
      <c r="A245" s="11" t="n">
        <v>5</v>
      </c>
      <c r="B245" s="1" t="n">
        <f aca="false">Изделия1!A21</f>
        <v>38</v>
      </c>
      <c r="C245" s="11" t="str">
        <f aca="false">Изделия1!F21</f>
        <v>ВН-31-К5(а)</v>
      </c>
      <c r="D245" s="11" t="n">
        <v>1</v>
      </c>
    </row>
    <row r="246" customFormat="false" ht="12.8" hidden="false" customHeight="false" outlineLevel="0" collapsed="false">
      <c r="A246" s="11" t="n">
        <v>5</v>
      </c>
      <c r="B246" s="1" t="n">
        <f aca="false">Изделия1!A22</f>
        <v>37</v>
      </c>
      <c r="C246" s="11" t="str">
        <f aca="false">Изделия1!F22</f>
        <v>ВН-37-К5(а)</v>
      </c>
      <c r="D246" s="11" t="n">
        <v>1</v>
      </c>
    </row>
    <row r="247" customFormat="false" ht="12.8" hidden="false" customHeight="false" outlineLevel="0" collapsed="false">
      <c r="A247" s="11" t="n">
        <v>5</v>
      </c>
      <c r="B247" s="1" t="n">
        <f aca="false">Изделия1!A23</f>
        <v>36</v>
      </c>
      <c r="C247" s="11" t="str">
        <f aca="false">Изделия1!F23</f>
        <v>ВН-31-К5(а)</v>
      </c>
      <c r="D247" s="11" t="n">
        <v>1</v>
      </c>
    </row>
    <row r="248" customFormat="false" ht="12.8" hidden="false" customHeight="false" outlineLevel="0" collapsed="false">
      <c r="A248" s="11" t="n">
        <v>5</v>
      </c>
      <c r="B248" s="1" t="n">
        <f aca="false">Изделия1!A24</f>
        <v>35</v>
      </c>
      <c r="C248" s="11" t="str">
        <f aca="false">Изделия1!F24</f>
        <v>ВН-37-К5(а)</v>
      </c>
      <c r="D248" s="11" t="n">
        <v>1</v>
      </c>
    </row>
    <row r="249" customFormat="false" ht="12.8" hidden="false" customHeight="false" outlineLevel="0" collapsed="false">
      <c r="A249" s="11" t="n">
        <v>5</v>
      </c>
      <c r="B249" s="1" t="n">
        <f aca="false">Изделия1!A25</f>
        <v>34</v>
      </c>
      <c r="C249" s="11" t="str">
        <f aca="false">Изделия1!F25</f>
        <v>ВН-31-К5(а)</v>
      </c>
      <c r="D249" s="11" t="n">
        <v>1</v>
      </c>
    </row>
    <row r="250" customFormat="false" ht="12.8" hidden="false" customHeight="false" outlineLevel="0" collapsed="false">
      <c r="A250" s="11" t="n">
        <v>5</v>
      </c>
      <c r="B250" s="1" t="n">
        <f aca="false">Изделия1!A26</f>
        <v>33</v>
      </c>
      <c r="C250" s="11" t="str">
        <f aca="false">Изделия1!F26</f>
        <v>ВН-37-К5(а)</v>
      </c>
      <c r="D250" s="11" t="n">
        <v>1</v>
      </c>
    </row>
    <row r="251" customFormat="false" ht="12.8" hidden="false" customHeight="false" outlineLevel="0" collapsed="false">
      <c r="A251" s="11" t="n">
        <v>5</v>
      </c>
      <c r="B251" s="1" t="n">
        <f aca="false">Изделия1!A27</f>
        <v>32</v>
      </c>
      <c r="C251" s="11" t="str">
        <f aca="false">Изделия1!F27</f>
        <v>ВН-31-К5(а)</v>
      </c>
      <c r="D251" s="11" t="n">
        <v>1</v>
      </c>
    </row>
    <row r="252" customFormat="false" ht="12.8" hidden="false" customHeight="false" outlineLevel="0" collapsed="false">
      <c r="A252" s="11" t="n">
        <v>5</v>
      </c>
      <c r="B252" s="1" t="n">
        <f aca="false">Изделия1!A28</f>
        <v>31</v>
      </c>
      <c r="C252" s="11" t="str">
        <f aca="false">Изделия1!F28</f>
        <v>ВН-37-К5(а)</v>
      </c>
      <c r="D252" s="11" t="n">
        <v>1</v>
      </c>
    </row>
    <row r="253" customFormat="false" ht="12.8" hidden="false" customHeight="false" outlineLevel="0" collapsed="false">
      <c r="A253" s="11" t="n">
        <v>5</v>
      </c>
      <c r="B253" s="1" t="n">
        <f aca="false">Изделия1!A29</f>
        <v>30</v>
      </c>
      <c r="C253" s="11" t="str">
        <f aca="false">Изделия1!F29</f>
        <v>ВН-31-К5(а)</v>
      </c>
      <c r="D253" s="11" t="n">
        <v>1</v>
      </c>
    </row>
    <row r="254" customFormat="false" ht="12.8" hidden="false" customHeight="false" outlineLevel="0" collapsed="false">
      <c r="A254" s="11" t="n">
        <v>5</v>
      </c>
      <c r="B254" s="1" t="n">
        <f aca="false">Изделия1!A30</f>
        <v>29</v>
      </c>
      <c r="C254" s="11" t="str">
        <f aca="false">Изделия1!F30</f>
        <v>ВН-37-К5(а)</v>
      </c>
      <c r="D254" s="11" t="n">
        <v>1</v>
      </c>
    </row>
    <row r="255" customFormat="false" ht="12.8" hidden="false" customHeight="false" outlineLevel="0" collapsed="false">
      <c r="A255" s="11" t="n">
        <v>5</v>
      </c>
      <c r="B255" s="1" t="n">
        <f aca="false">Изделия1!A31</f>
        <v>28</v>
      </c>
      <c r="C255" s="11" t="str">
        <f aca="false">Изделия1!F31</f>
        <v>ВН-31-К5(а)</v>
      </c>
      <c r="D255" s="11" t="n">
        <v>1</v>
      </c>
    </row>
    <row r="256" customFormat="false" ht="12.8" hidden="false" customHeight="false" outlineLevel="0" collapsed="false">
      <c r="A256" s="11" t="n">
        <v>5</v>
      </c>
      <c r="B256" s="1" t="n">
        <f aca="false">Изделия1!A32</f>
        <v>27</v>
      </c>
      <c r="C256" s="11" t="str">
        <f aca="false">Изделия1!F32</f>
        <v>ВН-37-К5(а)</v>
      </c>
      <c r="D256" s="11" t="n">
        <v>1</v>
      </c>
    </row>
    <row r="257" customFormat="false" ht="12.8" hidden="false" customHeight="false" outlineLevel="0" collapsed="false">
      <c r="A257" s="11" t="n">
        <v>5</v>
      </c>
      <c r="B257" s="1" t="n">
        <f aca="false">Изделия1!A33</f>
        <v>26</v>
      </c>
      <c r="C257" s="11" t="str">
        <f aca="false">Изделия1!F33</f>
        <v>ВН-31-К5(а)</v>
      </c>
      <c r="D257" s="11" t="n">
        <v>1</v>
      </c>
    </row>
    <row r="258" customFormat="false" ht="12.8" hidden="false" customHeight="false" outlineLevel="0" collapsed="false">
      <c r="A258" s="11" t="n">
        <v>5</v>
      </c>
      <c r="B258" s="1" t="n">
        <f aca="false">Изделия1!A34</f>
        <v>25</v>
      </c>
      <c r="C258" s="11" t="str">
        <f aca="false">Изделия1!F34</f>
        <v>ВН-37-К5(а)</v>
      </c>
      <c r="D258" s="11" t="n">
        <v>1</v>
      </c>
    </row>
    <row r="259" customFormat="false" ht="12.8" hidden="false" customHeight="false" outlineLevel="0" collapsed="false">
      <c r="A259" s="11" t="n">
        <v>5</v>
      </c>
      <c r="B259" s="1" t="n">
        <f aca="false">Изделия1!A35</f>
        <v>24</v>
      </c>
      <c r="C259" s="11" t="str">
        <f aca="false">Изделия1!F35</f>
        <v>ВН-31-К5(а)</v>
      </c>
      <c r="D259" s="11" t="n">
        <v>1</v>
      </c>
    </row>
    <row r="260" customFormat="false" ht="12.8" hidden="false" customHeight="false" outlineLevel="0" collapsed="false">
      <c r="A260" s="11" t="n">
        <v>5</v>
      </c>
      <c r="B260" s="1" t="n">
        <f aca="false">Изделия1!A36</f>
        <v>23</v>
      </c>
      <c r="C260" s="11" t="str">
        <f aca="false">Изделия1!F36</f>
        <v>ВН-37-К5(а)</v>
      </c>
      <c r="D260" s="11" t="n">
        <v>1</v>
      </c>
    </row>
    <row r="261" customFormat="false" ht="12.8" hidden="false" customHeight="false" outlineLevel="0" collapsed="false">
      <c r="A261" s="11" t="n">
        <v>5</v>
      </c>
      <c r="B261" s="1" t="n">
        <f aca="false">Изделия1!A37</f>
        <v>22</v>
      </c>
      <c r="C261" s="11" t="str">
        <f aca="false">Изделия1!F37</f>
        <v>ВН-31-К5(а)</v>
      </c>
      <c r="D261" s="11" t="n">
        <v>1</v>
      </c>
    </row>
    <row r="262" customFormat="false" ht="12.8" hidden="false" customHeight="false" outlineLevel="0" collapsed="false">
      <c r="A262" s="11" t="n">
        <v>5</v>
      </c>
      <c r="B262" s="1" t="n">
        <f aca="false">Изделия1!A38</f>
        <v>21</v>
      </c>
      <c r="C262" s="11" t="str">
        <f aca="false">Изделия1!F38</f>
        <v>ВН-37-К5(а)</v>
      </c>
      <c r="D262" s="11" t="n">
        <v>1</v>
      </c>
    </row>
    <row r="263" customFormat="false" ht="12.8" hidden="false" customHeight="false" outlineLevel="0" collapsed="false">
      <c r="A263" s="11" t="n">
        <v>5</v>
      </c>
      <c r="B263" s="1" t="n">
        <f aca="false">Изделия1!A39</f>
        <v>20</v>
      </c>
      <c r="C263" s="11" t="str">
        <f aca="false">Изделия1!F39</f>
        <v>ВН-49-К5(а)</v>
      </c>
      <c r="D263" s="11" t="n">
        <v>1</v>
      </c>
    </row>
    <row r="264" customFormat="false" ht="12.8" hidden="false" customHeight="false" outlineLevel="0" collapsed="false">
      <c r="A264" s="11" t="n">
        <v>5</v>
      </c>
      <c r="B264" s="1" t="n">
        <f aca="false">Изделия1!A40</f>
        <v>19</v>
      </c>
      <c r="C264" s="11" t="str">
        <f aca="false">Изделия1!F40</f>
        <v>ВН-43-К5(а)</v>
      </c>
      <c r="D264" s="11" t="n">
        <v>1</v>
      </c>
    </row>
    <row r="265" customFormat="false" ht="12.8" hidden="false" customHeight="false" outlineLevel="0" collapsed="false">
      <c r="A265" s="11" t="n">
        <v>5</v>
      </c>
      <c r="B265" s="1" t="n">
        <f aca="false">Изделия1!A41</f>
        <v>18</v>
      </c>
      <c r="C265" s="11" t="str">
        <f aca="false">Изделия1!F41</f>
        <v>ВН-31-К5(а)</v>
      </c>
      <c r="D265" s="11" t="n">
        <v>1</v>
      </c>
    </row>
    <row r="266" customFormat="false" ht="12.8" hidden="false" customHeight="false" outlineLevel="0" collapsed="false">
      <c r="A266" s="11" t="n">
        <v>5</v>
      </c>
      <c r="B266" s="1" t="n">
        <f aca="false">Изделия1!A42</f>
        <v>17</v>
      </c>
      <c r="C266" s="11" t="str">
        <f aca="false">Изделия1!F42</f>
        <v>ВН-37-К5(а)</v>
      </c>
      <c r="D266" s="11" t="n">
        <v>1</v>
      </c>
    </row>
    <row r="267" customFormat="false" ht="12.8" hidden="false" customHeight="false" outlineLevel="0" collapsed="false">
      <c r="A267" s="11" t="n">
        <v>5</v>
      </c>
      <c r="B267" s="1" t="n">
        <f aca="false">Изделия1!A43</f>
        <v>16</v>
      </c>
      <c r="C267" s="11" t="str">
        <f aca="false">Изделия1!F43</f>
        <v>ВН-31-К5(а)</v>
      </c>
      <c r="D267" s="11" t="n">
        <v>1</v>
      </c>
    </row>
    <row r="268" customFormat="false" ht="12.8" hidden="false" customHeight="false" outlineLevel="0" collapsed="false">
      <c r="A268" s="11" t="n">
        <v>5</v>
      </c>
      <c r="B268" s="1" t="n">
        <f aca="false">Изделия1!A44</f>
        <v>15</v>
      </c>
      <c r="C268" s="11" t="str">
        <f aca="false">Изделия1!F44</f>
        <v>ВН-37-К5(а)</v>
      </c>
      <c r="D268" s="11" t="n">
        <v>1</v>
      </c>
    </row>
    <row r="269" customFormat="false" ht="12.8" hidden="false" customHeight="false" outlineLevel="0" collapsed="false">
      <c r="A269" s="11" t="n">
        <v>5</v>
      </c>
      <c r="B269" s="1" t="n">
        <f aca="false">Изделия1!A45</f>
        <v>14</v>
      </c>
      <c r="C269" s="11" t="str">
        <f aca="false">Изделия1!F45</f>
        <v>ВН-31-К5(а)</v>
      </c>
      <c r="D269" s="11" t="n">
        <v>1</v>
      </c>
    </row>
    <row r="270" customFormat="false" ht="12.8" hidden="false" customHeight="false" outlineLevel="0" collapsed="false">
      <c r="A270" s="11" t="n">
        <v>5</v>
      </c>
      <c r="B270" s="1" t="n">
        <f aca="false">Изделия1!A46</f>
        <v>13</v>
      </c>
      <c r="C270" s="11" t="str">
        <f aca="false">Изделия1!F46</f>
        <v>ВН-37-К5(а)</v>
      </c>
      <c r="D270" s="11" t="n">
        <v>1</v>
      </c>
    </row>
    <row r="271" customFormat="false" ht="12.8" hidden="false" customHeight="false" outlineLevel="0" collapsed="false">
      <c r="A271" s="11" t="n">
        <v>5</v>
      </c>
      <c r="B271" s="1" t="n">
        <f aca="false">Изделия1!A47</f>
        <v>12</v>
      </c>
      <c r="C271" s="11" t="str">
        <f aca="false">Изделия1!F47</f>
        <v>ВН-31-К5(а)</v>
      </c>
      <c r="D271" s="11" t="n">
        <v>1</v>
      </c>
    </row>
    <row r="272" customFormat="false" ht="12.8" hidden="false" customHeight="false" outlineLevel="0" collapsed="false">
      <c r="A272" s="11" t="n">
        <v>5</v>
      </c>
      <c r="B272" s="1" t="n">
        <f aca="false">Изделия1!A48</f>
        <v>11</v>
      </c>
      <c r="C272" s="11" t="str">
        <f aca="false">Изделия1!F48</f>
        <v>ВН-37-К5(а)</v>
      </c>
      <c r="D272" s="11" t="n">
        <v>1</v>
      </c>
    </row>
    <row r="273" customFormat="false" ht="12.8" hidden="false" customHeight="false" outlineLevel="0" collapsed="false">
      <c r="A273" s="11" t="n">
        <v>5</v>
      </c>
      <c r="B273" s="1" t="n">
        <f aca="false">Изделия1!A49</f>
        <v>10</v>
      </c>
      <c r="C273" s="11" t="str">
        <f aca="false">Изделия1!F49</f>
        <v>ВН-31-К5(а)</v>
      </c>
      <c r="D273" s="11" t="n">
        <v>1</v>
      </c>
    </row>
    <row r="274" customFormat="false" ht="12.8" hidden="false" customHeight="false" outlineLevel="0" collapsed="false">
      <c r="A274" s="11" t="n">
        <v>5</v>
      </c>
      <c r="B274" s="1" t="n">
        <f aca="false">Изделия1!A50</f>
        <v>9</v>
      </c>
      <c r="C274" s="11" t="str">
        <f aca="false">Изделия1!F50</f>
        <v>ВН-37-К5(а)</v>
      </c>
      <c r="D274" s="11" t="n">
        <v>1</v>
      </c>
    </row>
    <row r="275" customFormat="false" ht="12.8" hidden="false" customHeight="false" outlineLevel="0" collapsed="false">
      <c r="A275" s="11" t="n">
        <v>5</v>
      </c>
      <c r="B275" s="1" t="n">
        <f aca="false">Изделия1!A51</f>
        <v>8</v>
      </c>
      <c r="C275" s="11" t="str">
        <f aca="false">Изделия1!F51</f>
        <v>ВН-31-К5(а)</v>
      </c>
      <c r="D275" s="11" t="n">
        <v>1</v>
      </c>
    </row>
    <row r="276" customFormat="false" ht="12.8" hidden="false" customHeight="false" outlineLevel="0" collapsed="false">
      <c r="A276" s="11" t="n">
        <v>5</v>
      </c>
      <c r="B276" s="1" t="n">
        <f aca="false">Изделия1!A52</f>
        <v>7</v>
      </c>
      <c r="C276" s="11" t="str">
        <f aca="false">Изделия1!F52</f>
        <v>ВН-37-К5(а)</v>
      </c>
      <c r="D276" s="11" t="n">
        <v>1</v>
      </c>
    </row>
    <row r="277" customFormat="false" ht="12.8" hidden="false" customHeight="false" outlineLevel="0" collapsed="false">
      <c r="A277" s="11" t="n">
        <v>5</v>
      </c>
      <c r="B277" s="1" t="n">
        <f aca="false">Изделия1!A53</f>
        <v>6</v>
      </c>
      <c r="C277" s="11" t="str">
        <f aca="false">Изделия1!F53</f>
        <v>ВН-31-К5(а)</v>
      </c>
      <c r="D277" s="11" t="n">
        <v>1</v>
      </c>
    </row>
    <row r="278" customFormat="false" ht="12.8" hidden="false" customHeight="false" outlineLevel="0" collapsed="false">
      <c r="A278" s="11" t="n">
        <v>5</v>
      </c>
      <c r="B278" s="1" t="n">
        <f aca="false">Изделия1!A54</f>
        <v>5</v>
      </c>
      <c r="C278" s="11" t="str">
        <f aca="false">Изделия1!F54</f>
        <v>ВН-37-К5(а)</v>
      </c>
      <c r="D278" s="11" t="n">
        <v>1</v>
      </c>
    </row>
    <row r="279" customFormat="false" ht="12.8" hidden="false" customHeight="false" outlineLevel="0" collapsed="false">
      <c r="A279" s="11" t="n">
        <v>5</v>
      </c>
      <c r="B279" s="1" t="n">
        <f aca="false">Изделия1!A55</f>
        <v>4</v>
      </c>
      <c r="C279" s="11" t="str">
        <f aca="false">Изделия1!F55</f>
        <v>ВН-31-К5(а)</v>
      </c>
      <c r="D279" s="11" t="n">
        <v>1</v>
      </c>
    </row>
    <row r="280" customFormat="false" ht="12.8" hidden="false" customHeight="false" outlineLevel="0" collapsed="false">
      <c r="A280" s="11" t="n">
        <v>5</v>
      </c>
      <c r="B280" s="1" t="n">
        <f aca="false">Изделия1!A56</f>
        <v>3</v>
      </c>
      <c r="C280" s="11" t="str">
        <f aca="false">Изделия1!F56</f>
        <v>ВН-37-К5(а)</v>
      </c>
      <c r="D280" s="11" t="n">
        <v>1</v>
      </c>
    </row>
    <row r="281" customFormat="false" ht="12.8" hidden="false" customHeight="false" outlineLevel="0" collapsed="false">
      <c r="A281" s="11" t="n">
        <v>5</v>
      </c>
      <c r="B281" s="1" t="n">
        <f aca="false">Изделия1!A57</f>
        <v>2</v>
      </c>
      <c r="C281" s="11" t="str">
        <f aca="false">Изделия1!F57</f>
        <v>ВН-27-К5(а)</v>
      </c>
      <c r="D281" s="11" t="n">
        <v>1</v>
      </c>
    </row>
    <row r="282" customFormat="false" ht="12.8" hidden="false" customHeight="false" outlineLevel="0" collapsed="false">
      <c r="A282" s="11" t="n">
        <v>6</v>
      </c>
      <c r="B282" s="1" t="n">
        <f aca="false">Изделия1!A2</f>
        <v>57</v>
      </c>
      <c r="C282" s="11" t="str">
        <f aca="false">Изделия1!G2</f>
        <v>ВН-57-К5(а)</v>
      </c>
      <c r="D282" s="11" t="n">
        <v>1</v>
      </c>
    </row>
    <row r="283" customFormat="false" ht="12.8" hidden="false" customHeight="false" outlineLevel="0" collapsed="false">
      <c r="A283" s="11" t="n">
        <v>6</v>
      </c>
      <c r="B283" s="1" t="n">
        <f aca="false">Изделия1!A3</f>
        <v>56</v>
      </c>
      <c r="C283" s="11" t="str">
        <f aca="false">Изделия1!G3</f>
        <v>ВН-33-К5(а)</v>
      </c>
      <c r="D283" s="11" t="n">
        <v>1</v>
      </c>
    </row>
    <row r="284" customFormat="false" ht="12.8" hidden="false" customHeight="false" outlineLevel="0" collapsed="false">
      <c r="A284" s="11" t="n">
        <v>6</v>
      </c>
      <c r="B284" s="1" t="n">
        <f aca="false">Изделия1!A4</f>
        <v>55</v>
      </c>
      <c r="C284" s="11" t="str">
        <f aca="false">Изделия1!G4</f>
        <v>ВН-39-К5(а)</v>
      </c>
      <c r="D284" s="11" t="n">
        <v>1</v>
      </c>
    </row>
    <row r="285" customFormat="false" ht="12.8" hidden="false" customHeight="false" outlineLevel="0" collapsed="false">
      <c r="A285" s="11" t="n">
        <v>6</v>
      </c>
      <c r="B285" s="1" t="n">
        <f aca="false">Изделия1!A5</f>
        <v>54</v>
      </c>
      <c r="C285" s="11" t="str">
        <f aca="false">Изделия1!G5</f>
        <v>ВН-33-К5(а)</v>
      </c>
      <c r="D285" s="11" t="n">
        <v>1</v>
      </c>
    </row>
    <row r="286" customFormat="false" ht="12.8" hidden="false" customHeight="false" outlineLevel="0" collapsed="false">
      <c r="A286" s="11" t="n">
        <v>6</v>
      </c>
      <c r="B286" s="1" t="n">
        <f aca="false">Изделия1!A6</f>
        <v>53</v>
      </c>
      <c r="C286" s="11" t="str">
        <f aca="false">Изделия1!G6</f>
        <v>ВН-39-К5(а)</v>
      </c>
      <c r="D286" s="11" t="n">
        <v>1</v>
      </c>
    </row>
    <row r="287" customFormat="false" ht="12.8" hidden="false" customHeight="false" outlineLevel="0" collapsed="false">
      <c r="A287" s="11" t="n">
        <v>6</v>
      </c>
      <c r="B287" s="1" t="n">
        <f aca="false">Изделия1!A7</f>
        <v>52</v>
      </c>
      <c r="C287" s="11" t="str">
        <f aca="false">Изделия1!G7</f>
        <v>ВН-33-К5(а)</v>
      </c>
      <c r="D287" s="11" t="n">
        <v>1</v>
      </c>
    </row>
    <row r="288" customFormat="false" ht="12.8" hidden="false" customHeight="false" outlineLevel="0" collapsed="false">
      <c r="A288" s="11" t="n">
        <v>6</v>
      </c>
      <c r="B288" s="1" t="n">
        <f aca="false">Изделия1!A8</f>
        <v>51</v>
      </c>
      <c r="C288" s="11" t="str">
        <f aca="false">Изделия1!G8</f>
        <v>ВН-39-К5(а)</v>
      </c>
      <c r="D288" s="11" t="n">
        <v>1</v>
      </c>
    </row>
    <row r="289" customFormat="false" ht="12.8" hidden="false" customHeight="false" outlineLevel="0" collapsed="false">
      <c r="A289" s="11" t="n">
        <v>6</v>
      </c>
      <c r="B289" s="1" t="n">
        <f aca="false">Изделия1!A9</f>
        <v>50</v>
      </c>
      <c r="C289" s="11" t="str">
        <f aca="false">Изделия1!G9</f>
        <v>ВН-33-К5(а)</v>
      </c>
      <c r="D289" s="11" t="n">
        <v>1</v>
      </c>
    </row>
    <row r="290" customFormat="false" ht="12.8" hidden="false" customHeight="false" outlineLevel="0" collapsed="false">
      <c r="A290" s="11" t="n">
        <v>6</v>
      </c>
      <c r="B290" s="1" t="n">
        <f aca="false">Изделия1!A10</f>
        <v>49</v>
      </c>
      <c r="C290" s="11" t="str">
        <f aca="false">Изделия1!G10</f>
        <v>ВН-39-К5(а)</v>
      </c>
      <c r="D290" s="11" t="n">
        <v>1</v>
      </c>
    </row>
    <row r="291" customFormat="false" ht="12.8" hidden="false" customHeight="false" outlineLevel="0" collapsed="false">
      <c r="A291" s="11" t="n">
        <v>6</v>
      </c>
      <c r="B291" s="1" t="n">
        <f aca="false">Изделия1!A11</f>
        <v>48</v>
      </c>
      <c r="C291" s="11" t="str">
        <f aca="false">Изделия1!G11</f>
        <v>ВН-33-К5(а)</v>
      </c>
      <c r="D291" s="11" t="n">
        <v>1</v>
      </c>
    </row>
    <row r="292" customFormat="false" ht="12.8" hidden="false" customHeight="false" outlineLevel="0" collapsed="false">
      <c r="A292" s="11" t="n">
        <v>6</v>
      </c>
      <c r="B292" s="1" t="n">
        <f aca="false">Изделия1!A12</f>
        <v>47</v>
      </c>
      <c r="C292" s="11" t="str">
        <f aca="false">Изделия1!G12</f>
        <v>ВН-39-К5(а)</v>
      </c>
      <c r="D292" s="11" t="n">
        <v>1</v>
      </c>
    </row>
    <row r="293" customFormat="false" ht="12.8" hidden="false" customHeight="false" outlineLevel="0" collapsed="false">
      <c r="A293" s="11" t="n">
        <v>6</v>
      </c>
      <c r="B293" s="1" t="n">
        <f aca="false">Изделия1!A13</f>
        <v>46</v>
      </c>
      <c r="C293" s="11" t="str">
        <f aca="false">Изделия1!G13</f>
        <v>ВН-33-К5(а)</v>
      </c>
      <c r="D293" s="11" t="n">
        <v>1</v>
      </c>
    </row>
    <row r="294" customFormat="false" ht="12.8" hidden="false" customHeight="false" outlineLevel="0" collapsed="false">
      <c r="A294" s="11" t="n">
        <v>6</v>
      </c>
      <c r="B294" s="1" t="n">
        <f aca="false">Изделия1!A14</f>
        <v>45</v>
      </c>
      <c r="C294" s="11" t="str">
        <f aca="false">Изделия1!G14</f>
        <v>ВН-39-К5(а)</v>
      </c>
      <c r="D294" s="11" t="n">
        <v>1</v>
      </c>
    </row>
    <row r="295" customFormat="false" ht="12.8" hidden="false" customHeight="false" outlineLevel="0" collapsed="false">
      <c r="A295" s="11" t="n">
        <v>6</v>
      </c>
      <c r="B295" s="1" t="n">
        <f aca="false">Изделия1!A15</f>
        <v>44</v>
      </c>
      <c r="C295" s="11" t="str">
        <f aca="false">Изделия1!G15</f>
        <v>ВН-33-К5(а)</v>
      </c>
      <c r="D295" s="11" t="n">
        <v>1</v>
      </c>
    </row>
    <row r="296" customFormat="false" ht="12.8" hidden="false" customHeight="false" outlineLevel="0" collapsed="false">
      <c r="A296" s="11" t="n">
        <v>6</v>
      </c>
      <c r="B296" s="1" t="n">
        <f aca="false">Изделия1!A16</f>
        <v>43</v>
      </c>
      <c r="C296" s="11" t="str">
        <f aca="false">Изделия1!G16</f>
        <v>ВН-39-К5(а)</v>
      </c>
      <c r="D296" s="11" t="n">
        <v>1</v>
      </c>
    </row>
    <row r="297" customFormat="false" ht="12.8" hidden="false" customHeight="false" outlineLevel="0" collapsed="false">
      <c r="A297" s="11" t="n">
        <v>6</v>
      </c>
      <c r="B297" s="1" t="n">
        <f aca="false">Изделия1!A17</f>
        <v>42</v>
      </c>
      <c r="C297" s="11" t="str">
        <f aca="false">Изделия1!G17</f>
        <v>ВН-33-К5(а)</v>
      </c>
      <c r="D297" s="11" t="n">
        <v>1</v>
      </c>
    </row>
    <row r="298" customFormat="false" ht="12.8" hidden="false" customHeight="false" outlineLevel="0" collapsed="false">
      <c r="A298" s="11" t="n">
        <v>6</v>
      </c>
      <c r="B298" s="1" t="n">
        <f aca="false">Изделия1!A18</f>
        <v>41</v>
      </c>
      <c r="C298" s="11" t="str">
        <f aca="false">Изделия1!G18</f>
        <v>ВН-39-К5(а)</v>
      </c>
      <c r="D298" s="11" t="n">
        <v>1</v>
      </c>
    </row>
    <row r="299" customFormat="false" ht="12.8" hidden="false" customHeight="false" outlineLevel="0" collapsed="false">
      <c r="A299" s="11" t="n">
        <v>6</v>
      </c>
      <c r="B299" s="1" t="n">
        <f aca="false">Изделия1!A19</f>
        <v>40</v>
      </c>
      <c r="C299" s="11" t="str">
        <f aca="false">Изделия1!G19</f>
        <v>ВН-51-К5(а)</v>
      </c>
      <c r="D299" s="11" t="n">
        <v>1</v>
      </c>
    </row>
    <row r="300" customFormat="false" ht="12.8" hidden="false" customHeight="false" outlineLevel="0" collapsed="false">
      <c r="A300" s="11" t="n">
        <v>6</v>
      </c>
      <c r="B300" s="1" t="n">
        <f aca="false">Изделия1!A20</f>
        <v>39</v>
      </c>
      <c r="C300" s="11" t="str">
        <f aca="false">Изделия1!G20</f>
        <v>ВН-45-К5(а)</v>
      </c>
      <c r="D300" s="11" t="n">
        <v>1</v>
      </c>
    </row>
    <row r="301" customFormat="false" ht="12.8" hidden="false" customHeight="false" outlineLevel="0" collapsed="false">
      <c r="A301" s="11" t="n">
        <v>6</v>
      </c>
      <c r="B301" s="1" t="n">
        <f aca="false">Изделия1!A21</f>
        <v>38</v>
      </c>
      <c r="C301" s="11" t="str">
        <f aca="false">Изделия1!G21</f>
        <v>ВН-33-К5(а)</v>
      </c>
      <c r="D301" s="11" t="n">
        <v>1</v>
      </c>
    </row>
    <row r="302" customFormat="false" ht="12.8" hidden="false" customHeight="false" outlineLevel="0" collapsed="false">
      <c r="A302" s="11" t="n">
        <v>6</v>
      </c>
      <c r="B302" s="1" t="n">
        <f aca="false">Изделия1!A22</f>
        <v>37</v>
      </c>
      <c r="C302" s="11" t="str">
        <f aca="false">Изделия1!G22</f>
        <v>ВН-39-К5(а)</v>
      </c>
      <c r="D302" s="11" t="n">
        <v>1</v>
      </c>
    </row>
    <row r="303" customFormat="false" ht="12.8" hidden="false" customHeight="false" outlineLevel="0" collapsed="false">
      <c r="A303" s="11" t="n">
        <v>6</v>
      </c>
      <c r="B303" s="1" t="n">
        <f aca="false">Изделия1!A23</f>
        <v>36</v>
      </c>
      <c r="C303" s="11" t="str">
        <f aca="false">Изделия1!G23</f>
        <v>ВН-33-К5(а)</v>
      </c>
      <c r="D303" s="11" t="n">
        <v>1</v>
      </c>
    </row>
    <row r="304" customFormat="false" ht="12.8" hidden="false" customHeight="false" outlineLevel="0" collapsed="false">
      <c r="A304" s="11" t="n">
        <v>6</v>
      </c>
      <c r="B304" s="1" t="n">
        <f aca="false">Изделия1!A24</f>
        <v>35</v>
      </c>
      <c r="C304" s="11" t="str">
        <f aca="false">Изделия1!G24</f>
        <v>ВН-39-К5(а)</v>
      </c>
      <c r="D304" s="11" t="n">
        <v>1</v>
      </c>
    </row>
    <row r="305" customFormat="false" ht="12.8" hidden="false" customHeight="false" outlineLevel="0" collapsed="false">
      <c r="A305" s="11" t="n">
        <v>6</v>
      </c>
      <c r="B305" s="1" t="n">
        <f aca="false">Изделия1!A25</f>
        <v>34</v>
      </c>
      <c r="C305" s="11" t="str">
        <f aca="false">Изделия1!G25</f>
        <v>ВН-33-К5(а)</v>
      </c>
      <c r="D305" s="11" t="n">
        <v>1</v>
      </c>
    </row>
    <row r="306" customFormat="false" ht="12.8" hidden="false" customHeight="false" outlineLevel="0" collapsed="false">
      <c r="A306" s="11" t="n">
        <v>6</v>
      </c>
      <c r="B306" s="1" t="n">
        <f aca="false">Изделия1!A26</f>
        <v>33</v>
      </c>
      <c r="C306" s="11" t="str">
        <f aca="false">Изделия1!G26</f>
        <v>ВН-39-К5(а)</v>
      </c>
      <c r="D306" s="11" t="n">
        <v>1</v>
      </c>
    </row>
    <row r="307" customFormat="false" ht="12.8" hidden="false" customHeight="false" outlineLevel="0" collapsed="false">
      <c r="A307" s="11" t="n">
        <v>6</v>
      </c>
      <c r="B307" s="1" t="n">
        <f aca="false">Изделия1!A27</f>
        <v>32</v>
      </c>
      <c r="C307" s="11" t="str">
        <f aca="false">Изделия1!G27</f>
        <v>ВН-33-К5(а)</v>
      </c>
      <c r="D307" s="11" t="n">
        <v>1</v>
      </c>
    </row>
    <row r="308" customFormat="false" ht="12.8" hidden="false" customHeight="false" outlineLevel="0" collapsed="false">
      <c r="A308" s="11" t="n">
        <v>6</v>
      </c>
      <c r="B308" s="1" t="n">
        <f aca="false">Изделия1!A28</f>
        <v>31</v>
      </c>
      <c r="C308" s="11" t="str">
        <f aca="false">Изделия1!G28</f>
        <v>ВН-39-К5(а)</v>
      </c>
      <c r="D308" s="11" t="n">
        <v>1</v>
      </c>
    </row>
    <row r="309" customFormat="false" ht="12.8" hidden="false" customHeight="false" outlineLevel="0" collapsed="false">
      <c r="A309" s="11" t="n">
        <v>6</v>
      </c>
      <c r="B309" s="1" t="n">
        <f aca="false">Изделия1!A29</f>
        <v>30</v>
      </c>
      <c r="C309" s="11" t="str">
        <f aca="false">Изделия1!G29</f>
        <v>ВН-33-К5(а)</v>
      </c>
      <c r="D309" s="11" t="n">
        <v>1</v>
      </c>
    </row>
    <row r="310" customFormat="false" ht="12.8" hidden="false" customHeight="false" outlineLevel="0" collapsed="false">
      <c r="A310" s="11" t="n">
        <v>6</v>
      </c>
      <c r="B310" s="1" t="n">
        <f aca="false">Изделия1!A30</f>
        <v>29</v>
      </c>
      <c r="C310" s="11" t="str">
        <f aca="false">Изделия1!G30</f>
        <v>ВН-39-К5(а)</v>
      </c>
      <c r="D310" s="11" t="n">
        <v>1</v>
      </c>
    </row>
    <row r="311" customFormat="false" ht="12.8" hidden="false" customHeight="false" outlineLevel="0" collapsed="false">
      <c r="A311" s="11" t="n">
        <v>6</v>
      </c>
      <c r="B311" s="1" t="n">
        <f aca="false">Изделия1!A31</f>
        <v>28</v>
      </c>
      <c r="C311" s="11" t="str">
        <f aca="false">Изделия1!G31</f>
        <v>ВН-33-К5(а)</v>
      </c>
      <c r="D311" s="11" t="n">
        <v>1</v>
      </c>
    </row>
    <row r="312" customFormat="false" ht="12.8" hidden="false" customHeight="false" outlineLevel="0" collapsed="false">
      <c r="A312" s="11" t="n">
        <v>6</v>
      </c>
      <c r="B312" s="1" t="n">
        <f aca="false">Изделия1!A32</f>
        <v>27</v>
      </c>
      <c r="C312" s="11" t="str">
        <f aca="false">Изделия1!G32</f>
        <v>ВН-39-К5(а)</v>
      </c>
      <c r="D312" s="11" t="n">
        <v>1</v>
      </c>
    </row>
    <row r="313" customFormat="false" ht="12.8" hidden="false" customHeight="false" outlineLevel="0" collapsed="false">
      <c r="A313" s="11" t="n">
        <v>6</v>
      </c>
      <c r="B313" s="1" t="n">
        <f aca="false">Изделия1!A33</f>
        <v>26</v>
      </c>
      <c r="C313" s="11" t="str">
        <f aca="false">Изделия1!G33</f>
        <v>ВН-33-К5(а)</v>
      </c>
      <c r="D313" s="11" t="n">
        <v>1</v>
      </c>
    </row>
    <row r="314" customFormat="false" ht="12.8" hidden="false" customHeight="false" outlineLevel="0" collapsed="false">
      <c r="A314" s="11" t="n">
        <v>6</v>
      </c>
      <c r="B314" s="1" t="n">
        <f aca="false">Изделия1!A34</f>
        <v>25</v>
      </c>
      <c r="C314" s="11" t="str">
        <f aca="false">Изделия1!G34</f>
        <v>ВН-39-К5(а)</v>
      </c>
      <c r="D314" s="11" t="n">
        <v>1</v>
      </c>
    </row>
    <row r="315" customFormat="false" ht="12.8" hidden="false" customHeight="false" outlineLevel="0" collapsed="false">
      <c r="A315" s="11" t="n">
        <v>6</v>
      </c>
      <c r="B315" s="1" t="n">
        <f aca="false">Изделия1!A35</f>
        <v>24</v>
      </c>
      <c r="C315" s="11" t="str">
        <f aca="false">Изделия1!G35</f>
        <v>ВН-33-К5(а)</v>
      </c>
      <c r="D315" s="11" t="n">
        <v>1</v>
      </c>
    </row>
    <row r="316" customFormat="false" ht="12.8" hidden="false" customHeight="false" outlineLevel="0" collapsed="false">
      <c r="A316" s="11" t="n">
        <v>6</v>
      </c>
      <c r="B316" s="1" t="n">
        <f aca="false">Изделия1!A36</f>
        <v>23</v>
      </c>
      <c r="C316" s="11" t="str">
        <f aca="false">Изделия1!G36</f>
        <v>ВН-39-К5(а)</v>
      </c>
      <c r="D316" s="11" t="n">
        <v>1</v>
      </c>
    </row>
    <row r="317" customFormat="false" ht="12.8" hidden="false" customHeight="false" outlineLevel="0" collapsed="false">
      <c r="A317" s="11" t="n">
        <v>6</v>
      </c>
      <c r="B317" s="1" t="n">
        <f aca="false">Изделия1!A37</f>
        <v>22</v>
      </c>
      <c r="C317" s="11" t="str">
        <f aca="false">Изделия1!G37</f>
        <v>ВН-33-К5(а)</v>
      </c>
      <c r="D317" s="11" t="n">
        <v>1</v>
      </c>
    </row>
    <row r="318" customFormat="false" ht="12.8" hidden="false" customHeight="false" outlineLevel="0" collapsed="false">
      <c r="A318" s="11" t="n">
        <v>6</v>
      </c>
      <c r="B318" s="1" t="n">
        <f aca="false">Изделия1!A38</f>
        <v>21</v>
      </c>
      <c r="C318" s="11" t="str">
        <f aca="false">Изделия1!G38</f>
        <v>ВН-39-К5(а)</v>
      </c>
      <c r="D318" s="11" t="n">
        <v>1</v>
      </c>
    </row>
    <row r="319" customFormat="false" ht="12.8" hidden="false" customHeight="false" outlineLevel="0" collapsed="false">
      <c r="A319" s="11" t="n">
        <v>6</v>
      </c>
      <c r="B319" s="1" t="n">
        <f aca="false">Изделия1!A39</f>
        <v>20</v>
      </c>
      <c r="C319" s="11" t="str">
        <f aca="false">Изделия1!G39</f>
        <v>ВН-51-К5(а)</v>
      </c>
      <c r="D319" s="11" t="n">
        <v>1</v>
      </c>
    </row>
    <row r="320" customFormat="false" ht="12.8" hidden="false" customHeight="false" outlineLevel="0" collapsed="false">
      <c r="A320" s="11" t="n">
        <v>6</v>
      </c>
      <c r="B320" s="1" t="n">
        <f aca="false">Изделия1!A40</f>
        <v>19</v>
      </c>
      <c r="C320" s="11" t="str">
        <f aca="false">Изделия1!G40</f>
        <v>ВН-45-К5(а)</v>
      </c>
      <c r="D320" s="11" t="n">
        <v>1</v>
      </c>
    </row>
    <row r="321" customFormat="false" ht="12.8" hidden="false" customHeight="false" outlineLevel="0" collapsed="false">
      <c r="A321" s="11" t="n">
        <v>6</v>
      </c>
      <c r="B321" s="1" t="n">
        <f aca="false">Изделия1!A41</f>
        <v>18</v>
      </c>
      <c r="C321" s="11" t="str">
        <f aca="false">Изделия1!G41</f>
        <v>ВН-33-К5(а)</v>
      </c>
      <c r="D321" s="11" t="n">
        <v>1</v>
      </c>
    </row>
    <row r="322" customFormat="false" ht="12.8" hidden="false" customHeight="false" outlineLevel="0" collapsed="false">
      <c r="A322" s="11" t="n">
        <v>6</v>
      </c>
      <c r="B322" s="1" t="n">
        <f aca="false">Изделия1!A42</f>
        <v>17</v>
      </c>
      <c r="C322" s="11" t="str">
        <f aca="false">Изделия1!G42</f>
        <v>ВН-39-К5(а)</v>
      </c>
      <c r="D322" s="11" t="n">
        <v>1</v>
      </c>
    </row>
    <row r="323" customFormat="false" ht="12.8" hidden="false" customHeight="false" outlineLevel="0" collapsed="false">
      <c r="A323" s="11" t="n">
        <v>6</v>
      </c>
      <c r="B323" s="1" t="n">
        <f aca="false">Изделия1!A43</f>
        <v>16</v>
      </c>
      <c r="C323" s="11" t="str">
        <f aca="false">Изделия1!G43</f>
        <v>ВН-33-К5(а)</v>
      </c>
      <c r="D323" s="11" t="n">
        <v>1</v>
      </c>
    </row>
    <row r="324" customFormat="false" ht="12.8" hidden="false" customHeight="false" outlineLevel="0" collapsed="false">
      <c r="A324" s="11" t="n">
        <v>6</v>
      </c>
      <c r="B324" s="1" t="n">
        <f aca="false">Изделия1!A44</f>
        <v>15</v>
      </c>
      <c r="C324" s="11" t="str">
        <f aca="false">Изделия1!G44</f>
        <v>ВН-39-К5(а)</v>
      </c>
      <c r="D324" s="11" t="n">
        <v>1</v>
      </c>
    </row>
    <row r="325" customFormat="false" ht="12.8" hidden="false" customHeight="false" outlineLevel="0" collapsed="false">
      <c r="A325" s="11" t="n">
        <v>6</v>
      </c>
      <c r="B325" s="1" t="n">
        <f aca="false">Изделия1!A45</f>
        <v>14</v>
      </c>
      <c r="C325" s="11" t="str">
        <f aca="false">Изделия1!G45</f>
        <v>ВН-33-К5(а)</v>
      </c>
      <c r="D325" s="11" t="n">
        <v>1</v>
      </c>
    </row>
    <row r="326" customFormat="false" ht="12.8" hidden="false" customHeight="false" outlineLevel="0" collapsed="false">
      <c r="A326" s="11" t="n">
        <v>6</v>
      </c>
      <c r="B326" s="1" t="n">
        <f aca="false">Изделия1!A46</f>
        <v>13</v>
      </c>
      <c r="C326" s="11" t="str">
        <f aca="false">Изделия1!G46</f>
        <v>ВН-39-К5(а)</v>
      </c>
      <c r="D326" s="11" t="n">
        <v>1</v>
      </c>
    </row>
    <row r="327" customFormat="false" ht="12.8" hidden="false" customHeight="false" outlineLevel="0" collapsed="false">
      <c r="A327" s="11" t="n">
        <v>6</v>
      </c>
      <c r="B327" s="1" t="n">
        <f aca="false">Изделия1!A47</f>
        <v>12</v>
      </c>
      <c r="C327" s="11" t="str">
        <f aca="false">Изделия1!G47</f>
        <v>ВН-33-К5(а)</v>
      </c>
      <c r="D327" s="11" t="n">
        <v>1</v>
      </c>
    </row>
    <row r="328" customFormat="false" ht="12.8" hidden="false" customHeight="false" outlineLevel="0" collapsed="false">
      <c r="A328" s="11" t="n">
        <v>6</v>
      </c>
      <c r="B328" s="1" t="n">
        <f aca="false">Изделия1!A48</f>
        <v>11</v>
      </c>
      <c r="C328" s="11" t="str">
        <f aca="false">Изделия1!G48</f>
        <v>ВН-39-К5(а)</v>
      </c>
      <c r="D328" s="11" t="n">
        <v>1</v>
      </c>
    </row>
    <row r="329" customFormat="false" ht="12.8" hidden="false" customHeight="false" outlineLevel="0" collapsed="false">
      <c r="A329" s="11" t="n">
        <v>6</v>
      </c>
      <c r="B329" s="1" t="n">
        <f aca="false">Изделия1!A49</f>
        <v>10</v>
      </c>
      <c r="C329" s="11" t="str">
        <f aca="false">Изделия1!G49</f>
        <v>ВН-33-К5(а)</v>
      </c>
      <c r="D329" s="11" t="n">
        <v>1</v>
      </c>
    </row>
    <row r="330" customFormat="false" ht="12.8" hidden="false" customHeight="false" outlineLevel="0" collapsed="false">
      <c r="A330" s="11" t="n">
        <v>6</v>
      </c>
      <c r="B330" s="1" t="n">
        <f aca="false">Изделия1!A50</f>
        <v>9</v>
      </c>
      <c r="C330" s="11" t="str">
        <f aca="false">Изделия1!G50</f>
        <v>ВН-39-К5(а)</v>
      </c>
      <c r="D330" s="11" t="n">
        <v>1</v>
      </c>
    </row>
    <row r="331" customFormat="false" ht="12.8" hidden="false" customHeight="false" outlineLevel="0" collapsed="false">
      <c r="A331" s="11" t="n">
        <v>6</v>
      </c>
      <c r="B331" s="1" t="n">
        <f aca="false">Изделия1!A51</f>
        <v>8</v>
      </c>
      <c r="C331" s="11" t="str">
        <f aca="false">Изделия1!G51</f>
        <v>ВН-33-К5(а)</v>
      </c>
      <c r="D331" s="11" t="n">
        <v>1</v>
      </c>
    </row>
    <row r="332" customFormat="false" ht="12.8" hidden="false" customHeight="false" outlineLevel="0" collapsed="false">
      <c r="A332" s="11" t="n">
        <v>6</v>
      </c>
      <c r="B332" s="1" t="n">
        <f aca="false">Изделия1!A52</f>
        <v>7</v>
      </c>
      <c r="C332" s="11" t="str">
        <f aca="false">Изделия1!G52</f>
        <v>ВН-39-К5(а)</v>
      </c>
      <c r="D332" s="11" t="n">
        <v>1</v>
      </c>
    </row>
    <row r="333" customFormat="false" ht="12.8" hidden="false" customHeight="false" outlineLevel="0" collapsed="false">
      <c r="A333" s="11" t="n">
        <v>6</v>
      </c>
      <c r="B333" s="1" t="n">
        <f aca="false">Изделия1!A53</f>
        <v>6</v>
      </c>
      <c r="C333" s="11" t="str">
        <f aca="false">Изделия1!G53</f>
        <v>ВН-33-К5(а)</v>
      </c>
      <c r="D333" s="11" t="n">
        <v>1</v>
      </c>
    </row>
    <row r="334" customFormat="false" ht="12.8" hidden="false" customHeight="false" outlineLevel="0" collapsed="false">
      <c r="A334" s="11" t="n">
        <v>6</v>
      </c>
      <c r="B334" s="1" t="n">
        <f aca="false">Изделия1!A54</f>
        <v>5</v>
      </c>
      <c r="C334" s="11" t="str">
        <f aca="false">Изделия1!G54</f>
        <v>ВН-39-К5(а)</v>
      </c>
      <c r="D334" s="11" t="n">
        <v>1</v>
      </c>
    </row>
    <row r="335" customFormat="false" ht="12.8" hidden="false" customHeight="false" outlineLevel="0" collapsed="false">
      <c r="A335" s="11" t="n">
        <v>6</v>
      </c>
      <c r="B335" s="1" t="n">
        <f aca="false">Изделия1!A55</f>
        <v>4</v>
      </c>
      <c r="C335" s="11" t="str">
        <f aca="false">Изделия1!G55</f>
        <v>ВН-33-К5(а)</v>
      </c>
      <c r="D335" s="11" t="n">
        <v>1</v>
      </c>
    </row>
    <row r="336" customFormat="false" ht="12.8" hidden="false" customHeight="false" outlineLevel="0" collapsed="false">
      <c r="A336" s="11" t="n">
        <v>6</v>
      </c>
      <c r="B336" s="1" t="n">
        <f aca="false">Изделия1!A56</f>
        <v>3</v>
      </c>
      <c r="C336" s="11" t="str">
        <f aca="false">Изделия1!G56</f>
        <v>ВН-39-К5(а)</v>
      </c>
      <c r="D336" s="11" t="n">
        <v>1</v>
      </c>
    </row>
    <row r="337" customFormat="false" ht="12.8" hidden="false" customHeight="false" outlineLevel="0" collapsed="false">
      <c r="A337" s="11" t="n">
        <v>6</v>
      </c>
      <c r="B337" s="1" t="n">
        <f aca="false">Изделия1!A57</f>
        <v>2</v>
      </c>
      <c r="C337" s="11" t="str">
        <f aca="false">Изделия1!G57</f>
        <v>ВН-26-К5(а)-2</v>
      </c>
      <c r="D337" s="11" t="n">
        <v>1</v>
      </c>
    </row>
    <row r="338" customFormat="false" ht="12.8" hidden="false" customHeight="false" outlineLevel="0" collapsed="false">
      <c r="A338" s="11" t="n">
        <v>7</v>
      </c>
      <c r="B338" s="1" t="n">
        <f aca="false">Изделия1!A2</f>
        <v>57</v>
      </c>
      <c r="C338" s="11" t="str">
        <f aca="false">Изделия1!H2</f>
        <v>ВН-58-К5(а)</v>
      </c>
      <c r="D338" s="11" t="n">
        <v>1</v>
      </c>
    </row>
    <row r="339" customFormat="false" ht="12.8" hidden="false" customHeight="false" outlineLevel="0" collapsed="false">
      <c r="A339" s="11" t="n">
        <v>7</v>
      </c>
      <c r="B339" s="1" t="n">
        <f aca="false">Изделия1!A3</f>
        <v>56</v>
      </c>
      <c r="C339" s="11" t="str">
        <f aca="false">Изделия1!H3</f>
        <v>ВН-34-К5(а)</v>
      </c>
      <c r="D339" s="11" t="n">
        <v>1</v>
      </c>
    </row>
    <row r="340" customFormat="false" ht="12.8" hidden="false" customHeight="false" outlineLevel="0" collapsed="false">
      <c r="A340" s="11" t="n">
        <v>7</v>
      </c>
      <c r="B340" s="1" t="n">
        <f aca="false">Изделия1!A4</f>
        <v>55</v>
      </c>
      <c r="C340" s="11" t="str">
        <f aca="false">Изделия1!H4</f>
        <v>ВН-40-К5(а)</v>
      </c>
      <c r="D340" s="11" t="n">
        <v>1</v>
      </c>
    </row>
    <row r="341" customFormat="false" ht="12.8" hidden="false" customHeight="false" outlineLevel="0" collapsed="false">
      <c r="A341" s="11" t="n">
        <v>7</v>
      </c>
      <c r="B341" s="1" t="n">
        <f aca="false">Изделия1!A5</f>
        <v>54</v>
      </c>
      <c r="C341" s="11" t="str">
        <f aca="false">Изделия1!H5</f>
        <v>ВН-34-К5(а)</v>
      </c>
      <c r="D341" s="11" t="n">
        <v>1</v>
      </c>
    </row>
    <row r="342" customFormat="false" ht="12.8" hidden="false" customHeight="false" outlineLevel="0" collapsed="false">
      <c r="A342" s="11" t="n">
        <v>7</v>
      </c>
      <c r="B342" s="1" t="n">
        <f aca="false">Изделия1!A6</f>
        <v>53</v>
      </c>
      <c r="C342" s="11" t="str">
        <f aca="false">Изделия1!H6</f>
        <v>ВН-40-К5(а)</v>
      </c>
      <c r="D342" s="11" t="n">
        <v>1</v>
      </c>
    </row>
    <row r="343" customFormat="false" ht="12.8" hidden="false" customHeight="false" outlineLevel="0" collapsed="false">
      <c r="A343" s="11" t="n">
        <v>7</v>
      </c>
      <c r="B343" s="1" t="n">
        <f aca="false">Изделия1!A7</f>
        <v>52</v>
      </c>
      <c r="C343" s="11" t="str">
        <f aca="false">Изделия1!H7</f>
        <v>ВН-34-К5(а)</v>
      </c>
      <c r="D343" s="11" t="n">
        <v>1</v>
      </c>
    </row>
    <row r="344" customFormat="false" ht="12.8" hidden="false" customHeight="false" outlineLevel="0" collapsed="false">
      <c r="A344" s="11" t="n">
        <v>7</v>
      </c>
      <c r="B344" s="1" t="n">
        <f aca="false">Изделия1!A8</f>
        <v>51</v>
      </c>
      <c r="C344" s="11" t="str">
        <f aca="false">Изделия1!H8</f>
        <v>ВН-40-К5(а)</v>
      </c>
      <c r="D344" s="11" t="n">
        <v>1</v>
      </c>
    </row>
    <row r="345" customFormat="false" ht="12.8" hidden="false" customHeight="false" outlineLevel="0" collapsed="false">
      <c r="A345" s="11" t="n">
        <v>7</v>
      </c>
      <c r="B345" s="1" t="n">
        <f aca="false">Изделия1!A9</f>
        <v>50</v>
      </c>
      <c r="C345" s="11" t="str">
        <f aca="false">Изделия1!H9</f>
        <v>ВН-34-К5(а)</v>
      </c>
      <c r="D345" s="11" t="n">
        <v>1</v>
      </c>
    </row>
    <row r="346" customFormat="false" ht="12.8" hidden="false" customHeight="false" outlineLevel="0" collapsed="false">
      <c r="A346" s="11" t="n">
        <v>7</v>
      </c>
      <c r="B346" s="1" t="n">
        <f aca="false">Изделия1!A10</f>
        <v>49</v>
      </c>
      <c r="C346" s="11" t="str">
        <f aca="false">Изделия1!H10</f>
        <v>ВН-40-К5(а)</v>
      </c>
      <c r="D346" s="11" t="n">
        <v>1</v>
      </c>
    </row>
    <row r="347" customFormat="false" ht="12.8" hidden="false" customHeight="false" outlineLevel="0" collapsed="false">
      <c r="A347" s="11" t="n">
        <v>7</v>
      </c>
      <c r="B347" s="1" t="n">
        <f aca="false">Изделия1!A11</f>
        <v>48</v>
      </c>
      <c r="C347" s="11" t="str">
        <f aca="false">Изделия1!H11</f>
        <v>ВН-34-К5(а)</v>
      </c>
      <c r="D347" s="11" t="n">
        <v>1</v>
      </c>
    </row>
    <row r="348" customFormat="false" ht="12.8" hidden="false" customHeight="false" outlineLevel="0" collapsed="false">
      <c r="A348" s="11" t="n">
        <v>7</v>
      </c>
      <c r="B348" s="1" t="n">
        <f aca="false">Изделия1!A12</f>
        <v>47</v>
      </c>
      <c r="C348" s="11" t="str">
        <f aca="false">Изделия1!H12</f>
        <v>ВН-40-К5(а)</v>
      </c>
      <c r="D348" s="11" t="n">
        <v>1</v>
      </c>
    </row>
    <row r="349" customFormat="false" ht="12.8" hidden="false" customHeight="false" outlineLevel="0" collapsed="false">
      <c r="A349" s="11" t="n">
        <v>7</v>
      </c>
      <c r="B349" s="1" t="n">
        <f aca="false">Изделия1!A13</f>
        <v>46</v>
      </c>
      <c r="C349" s="11" t="str">
        <f aca="false">Изделия1!H13</f>
        <v>ВН-34-К5(а)</v>
      </c>
      <c r="D349" s="11" t="n">
        <v>1</v>
      </c>
    </row>
    <row r="350" customFormat="false" ht="12.8" hidden="false" customHeight="false" outlineLevel="0" collapsed="false">
      <c r="A350" s="11" t="n">
        <v>7</v>
      </c>
      <c r="B350" s="1" t="n">
        <f aca="false">Изделия1!A14</f>
        <v>45</v>
      </c>
      <c r="C350" s="11" t="str">
        <f aca="false">Изделия1!H14</f>
        <v>ВН-40-К5(а)</v>
      </c>
      <c r="D350" s="11" t="n">
        <v>1</v>
      </c>
    </row>
    <row r="351" customFormat="false" ht="12.8" hidden="false" customHeight="false" outlineLevel="0" collapsed="false">
      <c r="A351" s="11" t="n">
        <v>7</v>
      </c>
      <c r="B351" s="1" t="n">
        <f aca="false">Изделия1!A15</f>
        <v>44</v>
      </c>
      <c r="C351" s="11" t="str">
        <f aca="false">Изделия1!H15</f>
        <v>ВН-34-К5(а)</v>
      </c>
      <c r="D351" s="11" t="n">
        <v>1</v>
      </c>
    </row>
    <row r="352" customFormat="false" ht="12.8" hidden="false" customHeight="false" outlineLevel="0" collapsed="false">
      <c r="A352" s="11" t="n">
        <v>7</v>
      </c>
      <c r="B352" s="1" t="n">
        <f aca="false">Изделия1!A16</f>
        <v>43</v>
      </c>
      <c r="C352" s="11" t="str">
        <f aca="false">Изделия1!H16</f>
        <v>ВН-40-К5(а)</v>
      </c>
      <c r="D352" s="11" t="n">
        <v>1</v>
      </c>
    </row>
    <row r="353" customFormat="false" ht="12.8" hidden="false" customHeight="false" outlineLevel="0" collapsed="false">
      <c r="A353" s="11" t="n">
        <v>7</v>
      </c>
      <c r="B353" s="1" t="n">
        <f aca="false">Изделия1!A17</f>
        <v>42</v>
      </c>
      <c r="C353" s="11" t="str">
        <f aca="false">Изделия1!H17</f>
        <v>ВН-34-К5(а)</v>
      </c>
      <c r="D353" s="11" t="n">
        <v>1</v>
      </c>
    </row>
    <row r="354" customFormat="false" ht="12.8" hidden="false" customHeight="false" outlineLevel="0" collapsed="false">
      <c r="A354" s="11" t="n">
        <v>7</v>
      </c>
      <c r="B354" s="1" t="n">
        <f aca="false">Изделия1!A18</f>
        <v>41</v>
      </c>
      <c r="C354" s="11" t="str">
        <f aca="false">Изделия1!H18</f>
        <v>ВН-40-К5(а)</v>
      </c>
      <c r="D354" s="11" t="n">
        <v>1</v>
      </c>
    </row>
    <row r="355" customFormat="false" ht="12.8" hidden="false" customHeight="false" outlineLevel="0" collapsed="false">
      <c r="A355" s="11" t="n">
        <v>7</v>
      </c>
      <c r="B355" s="1" t="n">
        <f aca="false">Изделия1!A19</f>
        <v>40</v>
      </c>
      <c r="C355" s="11" t="str">
        <f aca="false">Изделия1!H19</f>
        <v>ВН-52-К5(а)</v>
      </c>
      <c r="D355" s="11" t="n">
        <v>1</v>
      </c>
    </row>
    <row r="356" customFormat="false" ht="12.8" hidden="false" customHeight="false" outlineLevel="0" collapsed="false">
      <c r="A356" s="11" t="n">
        <v>7</v>
      </c>
      <c r="B356" s="1" t="n">
        <f aca="false">Изделия1!A20</f>
        <v>39</v>
      </c>
      <c r="C356" s="11" t="str">
        <f aca="false">Изделия1!H20</f>
        <v>ВН-46-К5(а)</v>
      </c>
      <c r="D356" s="11" t="n">
        <v>1</v>
      </c>
    </row>
    <row r="357" customFormat="false" ht="12.8" hidden="false" customHeight="false" outlineLevel="0" collapsed="false">
      <c r="A357" s="11" t="n">
        <v>7</v>
      </c>
      <c r="B357" s="1" t="n">
        <f aca="false">Изделия1!A21</f>
        <v>38</v>
      </c>
      <c r="C357" s="11" t="str">
        <f aca="false">Изделия1!H21</f>
        <v>ВН-34-К5(а)</v>
      </c>
      <c r="D357" s="11" t="n">
        <v>1</v>
      </c>
    </row>
    <row r="358" customFormat="false" ht="12.8" hidden="false" customHeight="false" outlineLevel="0" collapsed="false">
      <c r="A358" s="11" t="n">
        <v>7</v>
      </c>
      <c r="B358" s="1" t="n">
        <f aca="false">Изделия1!A22</f>
        <v>37</v>
      </c>
      <c r="C358" s="11" t="str">
        <f aca="false">Изделия1!H22</f>
        <v>ВН-40-К5(а)</v>
      </c>
      <c r="D358" s="11" t="n">
        <v>1</v>
      </c>
    </row>
    <row r="359" customFormat="false" ht="12.8" hidden="false" customHeight="false" outlineLevel="0" collapsed="false">
      <c r="A359" s="11" t="n">
        <v>7</v>
      </c>
      <c r="B359" s="1" t="n">
        <f aca="false">Изделия1!A23</f>
        <v>36</v>
      </c>
      <c r="C359" s="11" t="str">
        <f aca="false">Изделия1!H23</f>
        <v>ВН-34-К5(а)</v>
      </c>
      <c r="D359" s="11" t="n">
        <v>1</v>
      </c>
    </row>
    <row r="360" customFormat="false" ht="12.8" hidden="false" customHeight="false" outlineLevel="0" collapsed="false">
      <c r="A360" s="11" t="n">
        <v>7</v>
      </c>
      <c r="B360" s="1" t="n">
        <f aca="false">Изделия1!A24</f>
        <v>35</v>
      </c>
      <c r="C360" s="11" t="str">
        <f aca="false">Изделия1!H24</f>
        <v>ВН-40-К5(а)</v>
      </c>
      <c r="D360" s="11" t="n">
        <v>1</v>
      </c>
    </row>
    <row r="361" customFormat="false" ht="12.8" hidden="false" customHeight="false" outlineLevel="0" collapsed="false">
      <c r="A361" s="11" t="n">
        <v>7</v>
      </c>
      <c r="B361" s="1" t="n">
        <f aca="false">Изделия1!A25</f>
        <v>34</v>
      </c>
      <c r="C361" s="11" t="str">
        <f aca="false">Изделия1!H25</f>
        <v>ВН-34-К5(а)</v>
      </c>
      <c r="D361" s="11" t="n">
        <v>1</v>
      </c>
    </row>
    <row r="362" customFormat="false" ht="12.8" hidden="false" customHeight="false" outlineLevel="0" collapsed="false">
      <c r="A362" s="11" t="n">
        <v>7</v>
      </c>
      <c r="B362" s="1" t="n">
        <f aca="false">Изделия1!A26</f>
        <v>33</v>
      </c>
      <c r="C362" s="11" t="str">
        <f aca="false">Изделия1!H26</f>
        <v>ВН-40-К5(а)</v>
      </c>
      <c r="D362" s="11" t="n">
        <v>1</v>
      </c>
    </row>
    <row r="363" customFormat="false" ht="12.8" hidden="false" customHeight="false" outlineLevel="0" collapsed="false">
      <c r="A363" s="11" t="n">
        <v>7</v>
      </c>
      <c r="B363" s="1" t="n">
        <f aca="false">Изделия1!A27</f>
        <v>32</v>
      </c>
      <c r="C363" s="11" t="str">
        <f aca="false">Изделия1!H27</f>
        <v>ВН-34-К5(а)</v>
      </c>
      <c r="D363" s="11" t="n">
        <v>1</v>
      </c>
    </row>
    <row r="364" customFormat="false" ht="12.8" hidden="false" customHeight="false" outlineLevel="0" collapsed="false">
      <c r="A364" s="11" t="n">
        <v>7</v>
      </c>
      <c r="B364" s="1" t="n">
        <f aca="false">Изделия1!A28</f>
        <v>31</v>
      </c>
      <c r="C364" s="11" t="str">
        <f aca="false">Изделия1!H28</f>
        <v>ВН-40-К5(а)</v>
      </c>
      <c r="D364" s="11" t="n">
        <v>1</v>
      </c>
    </row>
    <row r="365" customFormat="false" ht="12.8" hidden="false" customHeight="false" outlineLevel="0" collapsed="false">
      <c r="A365" s="11" t="n">
        <v>7</v>
      </c>
      <c r="B365" s="1" t="n">
        <f aca="false">Изделия1!A29</f>
        <v>30</v>
      </c>
      <c r="C365" s="11" t="str">
        <f aca="false">Изделия1!H29</f>
        <v>ВН-34-К5(а)</v>
      </c>
      <c r="D365" s="11" t="n">
        <v>1</v>
      </c>
    </row>
    <row r="366" customFormat="false" ht="12.8" hidden="false" customHeight="false" outlineLevel="0" collapsed="false">
      <c r="A366" s="11" t="n">
        <v>7</v>
      </c>
      <c r="B366" s="1" t="n">
        <f aca="false">Изделия1!A30</f>
        <v>29</v>
      </c>
      <c r="C366" s="11" t="str">
        <f aca="false">Изделия1!H30</f>
        <v>ВН-40-К5(а)</v>
      </c>
      <c r="D366" s="11" t="n">
        <v>1</v>
      </c>
    </row>
    <row r="367" customFormat="false" ht="12.8" hidden="false" customHeight="false" outlineLevel="0" collapsed="false">
      <c r="A367" s="11" t="n">
        <v>7</v>
      </c>
      <c r="B367" s="1" t="n">
        <f aca="false">Изделия1!A31</f>
        <v>28</v>
      </c>
      <c r="C367" s="11" t="str">
        <f aca="false">Изделия1!H31</f>
        <v>ВН-34-К5(а)</v>
      </c>
      <c r="D367" s="11" t="n">
        <v>1</v>
      </c>
    </row>
    <row r="368" customFormat="false" ht="12.8" hidden="false" customHeight="false" outlineLevel="0" collapsed="false">
      <c r="A368" s="11" t="n">
        <v>7</v>
      </c>
      <c r="B368" s="1" t="n">
        <f aca="false">Изделия1!A32</f>
        <v>27</v>
      </c>
      <c r="C368" s="11" t="str">
        <f aca="false">Изделия1!H32</f>
        <v>ВН-40-К5(а)</v>
      </c>
      <c r="D368" s="11" t="n">
        <v>1</v>
      </c>
    </row>
    <row r="369" customFormat="false" ht="12.8" hidden="false" customHeight="false" outlineLevel="0" collapsed="false">
      <c r="A369" s="11" t="n">
        <v>7</v>
      </c>
      <c r="B369" s="1" t="n">
        <f aca="false">Изделия1!A33</f>
        <v>26</v>
      </c>
      <c r="C369" s="11" t="str">
        <f aca="false">Изделия1!H33</f>
        <v>ВН-34-К5(а)</v>
      </c>
      <c r="D369" s="11" t="n">
        <v>1</v>
      </c>
    </row>
    <row r="370" customFormat="false" ht="12.8" hidden="false" customHeight="false" outlineLevel="0" collapsed="false">
      <c r="A370" s="11" t="n">
        <v>7</v>
      </c>
      <c r="B370" s="1" t="n">
        <f aca="false">Изделия1!A34</f>
        <v>25</v>
      </c>
      <c r="C370" s="11" t="str">
        <f aca="false">Изделия1!H34</f>
        <v>ВН-40-К5(а)</v>
      </c>
      <c r="D370" s="11" t="n">
        <v>1</v>
      </c>
    </row>
    <row r="371" customFormat="false" ht="12.8" hidden="false" customHeight="false" outlineLevel="0" collapsed="false">
      <c r="A371" s="11" t="n">
        <v>7</v>
      </c>
      <c r="B371" s="1" t="n">
        <f aca="false">Изделия1!A35</f>
        <v>24</v>
      </c>
      <c r="C371" s="11" t="str">
        <f aca="false">Изделия1!H35</f>
        <v>ВН-34-К5(а)</v>
      </c>
      <c r="D371" s="11" t="n">
        <v>1</v>
      </c>
    </row>
    <row r="372" customFormat="false" ht="12.8" hidden="false" customHeight="false" outlineLevel="0" collapsed="false">
      <c r="A372" s="11" t="n">
        <v>7</v>
      </c>
      <c r="B372" s="1" t="n">
        <f aca="false">Изделия1!A36</f>
        <v>23</v>
      </c>
      <c r="C372" s="11" t="str">
        <f aca="false">Изделия1!H36</f>
        <v>ВН-40-К5(а)</v>
      </c>
      <c r="D372" s="11" t="n">
        <v>1</v>
      </c>
    </row>
    <row r="373" customFormat="false" ht="12.8" hidden="false" customHeight="false" outlineLevel="0" collapsed="false">
      <c r="A373" s="11" t="n">
        <v>7</v>
      </c>
      <c r="B373" s="1" t="n">
        <f aca="false">Изделия1!A37</f>
        <v>22</v>
      </c>
      <c r="C373" s="11" t="str">
        <f aca="false">Изделия1!H37</f>
        <v>ВН-34-К5(а)</v>
      </c>
      <c r="D373" s="11" t="n">
        <v>1</v>
      </c>
    </row>
    <row r="374" customFormat="false" ht="12.8" hidden="false" customHeight="false" outlineLevel="0" collapsed="false">
      <c r="A374" s="11" t="n">
        <v>7</v>
      </c>
      <c r="B374" s="1" t="n">
        <f aca="false">Изделия1!A38</f>
        <v>21</v>
      </c>
      <c r="C374" s="11" t="str">
        <f aca="false">Изделия1!H38</f>
        <v>ВН-40-К5(а)</v>
      </c>
      <c r="D374" s="11" t="n">
        <v>1</v>
      </c>
    </row>
    <row r="375" customFormat="false" ht="12.8" hidden="false" customHeight="false" outlineLevel="0" collapsed="false">
      <c r="A375" s="11" t="n">
        <v>7</v>
      </c>
      <c r="B375" s="1" t="n">
        <f aca="false">Изделия1!A39</f>
        <v>20</v>
      </c>
      <c r="C375" s="11" t="str">
        <f aca="false">Изделия1!H39</f>
        <v>ВН-52-К5(а)</v>
      </c>
      <c r="D375" s="11" t="n">
        <v>1</v>
      </c>
    </row>
    <row r="376" customFormat="false" ht="12.8" hidden="false" customHeight="false" outlineLevel="0" collapsed="false">
      <c r="A376" s="11" t="n">
        <v>7</v>
      </c>
      <c r="B376" s="1" t="n">
        <f aca="false">Изделия1!A40</f>
        <v>19</v>
      </c>
      <c r="C376" s="11" t="str">
        <f aca="false">Изделия1!H40</f>
        <v>ВН-46-К5(а)</v>
      </c>
      <c r="D376" s="11" t="n">
        <v>1</v>
      </c>
    </row>
    <row r="377" customFormat="false" ht="12.8" hidden="false" customHeight="false" outlineLevel="0" collapsed="false">
      <c r="A377" s="11" t="n">
        <v>7</v>
      </c>
      <c r="B377" s="1" t="n">
        <f aca="false">Изделия1!A41</f>
        <v>18</v>
      </c>
      <c r="C377" s="11" t="str">
        <f aca="false">Изделия1!H41</f>
        <v>ВН-34-К5(а)</v>
      </c>
      <c r="D377" s="11" t="n">
        <v>1</v>
      </c>
    </row>
    <row r="378" customFormat="false" ht="12.8" hidden="false" customHeight="false" outlineLevel="0" collapsed="false">
      <c r="A378" s="11" t="n">
        <v>7</v>
      </c>
      <c r="B378" s="1" t="n">
        <f aca="false">Изделия1!A42</f>
        <v>17</v>
      </c>
      <c r="C378" s="11" t="str">
        <f aca="false">Изделия1!H42</f>
        <v>ВН-40-К5(а)</v>
      </c>
      <c r="D378" s="11" t="n">
        <v>1</v>
      </c>
    </row>
    <row r="379" customFormat="false" ht="12.8" hidden="false" customHeight="false" outlineLevel="0" collapsed="false">
      <c r="A379" s="11" t="n">
        <v>7</v>
      </c>
      <c r="B379" s="1" t="n">
        <f aca="false">Изделия1!A43</f>
        <v>16</v>
      </c>
      <c r="C379" s="11" t="str">
        <f aca="false">Изделия1!H43</f>
        <v>ВН-34-К5(а)</v>
      </c>
      <c r="D379" s="11" t="n">
        <v>1</v>
      </c>
    </row>
    <row r="380" customFormat="false" ht="12.8" hidden="false" customHeight="false" outlineLevel="0" collapsed="false">
      <c r="A380" s="11" t="n">
        <v>7</v>
      </c>
      <c r="B380" s="1" t="n">
        <f aca="false">Изделия1!A44</f>
        <v>15</v>
      </c>
      <c r="C380" s="11" t="str">
        <f aca="false">Изделия1!H44</f>
        <v>ВН-40-К5(а)</v>
      </c>
      <c r="D380" s="11" t="n">
        <v>1</v>
      </c>
    </row>
    <row r="381" customFormat="false" ht="12.8" hidden="false" customHeight="false" outlineLevel="0" collapsed="false">
      <c r="A381" s="11" t="n">
        <v>7</v>
      </c>
      <c r="B381" s="1" t="n">
        <f aca="false">Изделия1!A45</f>
        <v>14</v>
      </c>
      <c r="C381" s="11" t="str">
        <f aca="false">Изделия1!H45</f>
        <v>ВН-34-К5(а)</v>
      </c>
      <c r="D381" s="11" t="n">
        <v>1</v>
      </c>
    </row>
    <row r="382" customFormat="false" ht="12.8" hidden="false" customHeight="false" outlineLevel="0" collapsed="false">
      <c r="A382" s="11" t="n">
        <v>7</v>
      </c>
      <c r="B382" s="1" t="n">
        <f aca="false">Изделия1!A46</f>
        <v>13</v>
      </c>
      <c r="C382" s="11" t="str">
        <f aca="false">Изделия1!H46</f>
        <v>ВН-40-К5(а)</v>
      </c>
      <c r="D382" s="11" t="n">
        <v>1</v>
      </c>
    </row>
    <row r="383" customFormat="false" ht="12.8" hidden="false" customHeight="false" outlineLevel="0" collapsed="false">
      <c r="A383" s="11" t="n">
        <v>7</v>
      </c>
      <c r="B383" s="1" t="n">
        <f aca="false">Изделия1!A47</f>
        <v>12</v>
      </c>
      <c r="C383" s="11" t="str">
        <f aca="false">Изделия1!H47</f>
        <v>ВН-34-К5(а)</v>
      </c>
      <c r="D383" s="11" t="n">
        <v>1</v>
      </c>
    </row>
    <row r="384" customFormat="false" ht="12.8" hidden="false" customHeight="false" outlineLevel="0" collapsed="false">
      <c r="A384" s="11" t="n">
        <v>7</v>
      </c>
      <c r="B384" s="1" t="n">
        <f aca="false">Изделия1!A48</f>
        <v>11</v>
      </c>
      <c r="C384" s="11" t="str">
        <f aca="false">Изделия1!H48</f>
        <v>ВН-40-К5(а)</v>
      </c>
      <c r="D384" s="11" t="n">
        <v>1</v>
      </c>
    </row>
    <row r="385" customFormat="false" ht="12.8" hidden="false" customHeight="false" outlineLevel="0" collapsed="false">
      <c r="A385" s="11" t="n">
        <v>7</v>
      </c>
      <c r="B385" s="1" t="n">
        <f aca="false">Изделия1!A49</f>
        <v>10</v>
      </c>
      <c r="C385" s="11" t="str">
        <f aca="false">Изделия1!H49</f>
        <v>ВН-34-К5(а)</v>
      </c>
      <c r="D385" s="11" t="n">
        <v>1</v>
      </c>
    </row>
    <row r="386" customFormat="false" ht="12.8" hidden="false" customHeight="false" outlineLevel="0" collapsed="false">
      <c r="A386" s="11" t="n">
        <v>7</v>
      </c>
      <c r="B386" s="1" t="n">
        <f aca="false">Изделия1!A50</f>
        <v>9</v>
      </c>
      <c r="C386" s="11" t="str">
        <f aca="false">Изделия1!H50</f>
        <v>ВН-40-К5(а)</v>
      </c>
      <c r="D386" s="11" t="n">
        <v>1</v>
      </c>
    </row>
    <row r="387" customFormat="false" ht="12.8" hidden="false" customHeight="false" outlineLevel="0" collapsed="false">
      <c r="A387" s="11" t="n">
        <v>7</v>
      </c>
      <c r="B387" s="1" t="n">
        <f aca="false">Изделия1!A51</f>
        <v>8</v>
      </c>
      <c r="C387" s="11" t="str">
        <f aca="false">Изделия1!H51</f>
        <v>ВН-34-К5(а)</v>
      </c>
      <c r="D387" s="11" t="n">
        <v>1</v>
      </c>
    </row>
    <row r="388" customFormat="false" ht="12.8" hidden="false" customHeight="false" outlineLevel="0" collapsed="false">
      <c r="A388" s="11" t="n">
        <v>7</v>
      </c>
      <c r="B388" s="1" t="n">
        <f aca="false">Изделия1!A52</f>
        <v>7</v>
      </c>
      <c r="C388" s="11" t="str">
        <f aca="false">Изделия1!H52</f>
        <v>ВН-40-К5(а)</v>
      </c>
      <c r="D388" s="11" t="n">
        <v>1</v>
      </c>
    </row>
    <row r="389" customFormat="false" ht="12.8" hidden="false" customHeight="false" outlineLevel="0" collapsed="false">
      <c r="A389" s="11" t="n">
        <v>7</v>
      </c>
      <c r="B389" s="1" t="n">
        <f aca="false">Изделия1!A53</f>
        <v>6</v>
      </c>
      <c r="C389" s="11" t="str">
        <f aca="false">Изделия1!H53</f>
        <v>ВН-34-К5(а)</v>
      </c>
      <c r="D389" s="11" t="n">
        <v>1</v>
      </c>
    </row>
    <row r="390" customFormat="false" ht="12.8" hidden="false" customHeight="false" outlineLevel="0" collapsed="false">
      <c r="A390" s="11" t="n">
        <v>7</v>
      </c>
      <c r="B390" s="1" t="n">
        <f aca="false">Изделия1!A54</f>
        <v>5</v>
      </c>
      <c r="C390" s="11" t="str">
        <f aca="false">Изделия1!H54</f>
        <v>ВН-40-К5(а)</v>
      </c>
      <c r="D390" s="11" t="n">
        <v>1</v>
      </c>
    </row>
    <row r="391" customFormat="false" ht="12.8" hidden="false" customHeight="false" outlineLevel="0" collapsed="false">
      <c r="A391" s="11" t="n">
        <v>7</v>
      </c>
      <c r="B391" s="1" t="n">
        <f aca="false">Изделия1!A55</f>
        <v>4</v>
      </c>
      <c r="C391" s="11" t="str">
        <f aca="false">Изделия1!H55</f>
        <v>ВН-34-К5(а)</v>
      </c>
      <c r="D391" s="11" t="n">
        <v>1</v>
      </c>
    </row>
    <row r="392" customFormat="false" ht="12.8" hidden="false" customHeight="false" outlineLevel="0" collapsed="false">
      <c r="A392" s="11" t="n">
        <v>7</v>
      </c>
      <c r="B392" s="1" t="n">
        <f aca="false">Изделия1!A56</f>
        <v>3</v>
      </c>
      <c r="C392" s="11" t="str">
        <f aca="false">Изделия1!H56</f>
        <v>ВН-40-К5(а)</v>
      </c>
      <c r="D392" s="11" t="n">
        <v>1</v>
      </c>
    </row>
    <row r="393" customFormat="false" ht="12.8" hidden="false" customHeight="false" outlineLevel="0" collapsed="false">
      <c r="A393" s="11" t="n">
        <v>7</v>
      </c>
      <c r="B393" s="1" t="n">
        <f aca="false">Изделия1!A57</f>
        <v>2</v>
      </c>
      <c r="C393" s="11" t="str">
        <f aca="false">Изделия1!H57</f>
        <v>ВН-25-К5(а)-2</v>
      </c>
      <c r="D393" s="11" t="n">
        <v>1</v>
      </c>
    </row>
  </sheetData>
  <sheetProtection sheet="true" objects="true" scenarios="true"/>
  <autoFilter ref="A1:D393"/>
  <printOptions headings="false" gridLines="false" gridLinesSet="true" horizontalCentered="false" verticalCentered="false"/>
  <pageMargins left="0.7875" right="0.7875" top="1.05277777777778" bottom="1.05277777777778" header="0.7875" footer="0.7875"/>
  <pageSetup paperSize="9" scale="100" fitToWidth="1" fitToHeight="1" pageOrder="downThenOver" orientation="portrait" blackAndWhite="false" draft="false" cellComments="none" horizontalDpi="300" verticalDpi="300" copies="1"/>
  <headerFooter differentFirst="false" differentOddEven="false">
    <oddHeader>&amp;C&amp;"Times New Roman,Обычный"&amp;12&amp;A</oddHeader>
    <oddFooter>&amp;C&amp;"Times New Roman,Обычный"&amp;12Страница &amp;P</oddFooter>
  </headerFooter>
  <drawing r:id="rId1"/>
</worksheet>
</file>

<file path=xl/worksheets/sheet10.xml><?xml version="1.0" encoding="utf-8"?>
<worksheet xmlns="http://schemas.openxmlformats.org/spreadsheetml/2006/main" xmlns:r="http://schemas.openxmlformats.org/officeDocument/2006/relationships" xmlns:xdr="http://schemas.openxmlformats.org/drawingml/2006/spreadsheetDrawing" xmlns:x14="http://schemas.microsoft.com/office/spreadsheetml/2009/9/main" xmlns:xr2="http://schemas.microsoft.com/office/spreadsheetml/2015/revision2" xmlns:mc="http://schemas.openxmlformats.org/markup-compatibility/2006">
  <sheetPr filterMode="false">
    <pageSetUpPr fitToPage="false"/>
  </sheetPr>
  <dimension ref="A1:B39"/>
  <sheetViews>
    <sheetView showFormulas="false" showGridLines="true" showRowColHeaders="true" showZeros="true" rightToLeft="false" tabSelected="false" showOutlineSymbols="true" defaultGridColor="true" view="normal" topLeftCell="A7" colorId="64" zoomScale="100" zoomScaleNormal="100" zoomScalePageLayoutView="100" workbookViewId="0">
      <selection pane="topLeft" activeCell="D28" activeCellId="0" sqref="A2:K31"/>
    </sheetView>
  </sheetViews>
  <sheetFormatPr defaultColWidth="11.53515625" defaultRowHeight="12.8" customHeight="true" zeroHeight="false" outlineLevelRow="0" outlineLevelCol="0"/>
  <cols>
    <col collapsed="false" customWidth="true" hidden="false" outlineLevel="0" max="1" min="1" style="11" width="20.85"/>
    <col collapsed="false" customWidth="true" hidden="false" outlineLevel="0" max="2" min="2" style="11" width="17.95"/>
  </cols>
  <sheetData>
    <row r="1" customFormat="false" ht="12.8" hidden="false" customHeight="false" outlineLevel="0" collapsed="false">
      <c r="A1" s="54" t="s">
        <v>142</v>
      </c>
      <c r="B1" s="55" t="s">
        <v>144</v>
      </c>
    </row>
    <row r="2" customFormat="false" ht="12.8" hidden="false" customHeight="false" outlineLevel="0" collapsed="false">
      <c r="A2" s="56" t="s">
        <v>119</v>
      </c>
      <c r="B2" s="57" t="n">
        <v>1</v>
      </c>
    </row>
    <row r="3" customFormat="false" ht="12.8" hidden="false" customHeight="false" outlineLevel="0" collapsed="false">
      <c r="A3" s="58" t="s">
        <v>129</v>
      </c>
      <c r="B3" s="59" t="n">
        <v>1</v>
      </c>
    </row>
    <row r="4" customFormat="false" ht="12.8" hidden="false" customHeight="false" outlineLevel="0" collapsed="false">
      <c r="A4" s="58" t="s">
        <v>134</v>
      </c>
      <c r="B4" s="59" t="n">
        <v>1</v>
      </c>
    </row>
    <row r="5" customFormat="false" ht="12.8" hidden="false" customHeight="false" outlineLevel="0" collapsed="false">
      <c r="A5" s="58" t="s">
        <v>130</v>
      </c>
      <c r="B5" s="59" t="n">
        <v>1</v>
      </c>
    </row>
    <row r="6" customFormat="false" ht="12.8" hidden="false" customHeight="false" outlineLevel="0" collapsed="false">
      <c r="A6" s="58" t="s">
        <v>133</v>
      </c>
      <c r="B6" s="59" t="n">
        <v>1</v>
      </c>
    </row>
    <row r="7" customFormat="false" ht="12.8" hidden="false" customHeight="false" outlineLevel="0" collapsed="false">
      <c r="A7" s="58" t="s">
        <v>131</v>
      </c>
      <c r="B7" s="59" t="n">
        <v>2</v>
      </c>
    </row>
    <row r="8" customFormat="false" ht="12.8" hidden="false" customHeight="false" outlineLevel="0" collapsed="false">
      <c r="A8" s="58" t="s">
        <v>132</v>
      </c>
      <c r="B8" s="59" t="n">
        <v>1</v>
      </c>
    </row>
    <row r="9" customFormat="false" ht="12.8" hidden="false" customHeight="false" outlineLevel="0" collapsed="false">
      <c r="A9" s="58" t="s">
        <v>104</v>
      </c>
      <c r="B9" s="59" t="n">
        <v>25</v>
      </c>
    </row>
    <row r="10" customFormat="false" ht="12.8" hidden="false" customHeight="false" outlineLevel="0" collapsed="false">
      <c r="A10" s="58" t="s">
        <v>105</v>
      </c>
      <c r="B10" s="59" t="n">
        <v>25</v>
      </c>
    </row>
    <row r="11" customFormat="false" ht="12.8" hidden="false" customHeight="false" outlineLevel="0" collapsed="false">
      <c r="A11" s="58" t="s">
        <v>106</v>
      </c>
      <c r="B11" s="59" t="n">
        <v>50</v>
      </c>
    </row>
    <row r="12" customFormat="false" ht="12.8" hidden="false" customHeight="false" outlineLevel="0" collapsed="false">
      <c r="A12" s="58" t="s">
        <v>107</v>
      </c>
      <c r="B12" s="59" t="n">
        <v>25</v>
      </c>
    </row>
    <row r="13" customFormat="false" ht="12.8" hidden="false" customHeight="false" outlineLevel="0" collapsed="false">
      <c r="A13" s="58" t="s">
        <v>108</v>
      </c>
      <c r="B13" s="59" t="n">
        <v>25</v>
      </c>
    </row>
    <row r="14" customFormat="false" ht="12.8" hidden="false" customHeight="false" outlineLevel="0" collapsed="false">
      <c r="A14" s="58" t="s">
        <v>109</v>
      </c>
      <c r="B14" s="59" t="n">
        <v>25</v>
      </c>
    </row>
    <row r="15" customFormat="false" ht="12.8" hidden="false" customHeight="false" outlineLevel="0" collapsed="false">
      <c r="A15" s="58" t="s">
        <v>110</v>
      </c>
      <c r="B15" s="59" t="n">
        <v>25</v>
      </c>
    </row>
    <row r="16" customFormat="false" ht="12.8" hidden="false" customHeight="false" outlineLevel="0" collapsed="false">
      <c r="A16" s="58" t="s">
        <v>111</v>
      </c>
      <c r="B16" s="59" t="n">
        <v>25</v>
      </c>
    </row>
    <row r="17" customFormat="false" ht="12.8" hidden="false" customHeight="false" outlineLevel="0" collapsed="false">
      <c r="A17" s="58" t="s">
        <v>112</v>
      </c>
      <c r="B17" s="59" t="n">
        <v>50</v>
      </c>
    </row>
    <row r="18" customFormat="false" ht="12.8" hidden="false" customHeight="false" outlineLevel="0" collapsed="false">
      <c r="A18" s="58" t="s">
        <v>113</v>
      </c>
      <c r="B18" s="59" t="n">
        <v>25</v>
      </c>
    </row>
    <row r="19" customFormat="false" ht="12.8" hidden="false" customHeight="false" outlineLevel="0" collapsed="false">
      <c r="A19" s="58" t="s">
        <v>114</v>
      </c>
      <c r="B19" s="59" t="n">
        <v>25</v>
      </c>
    </row>
    <row r="20" customFormat="false" ht="12.8" hidden="false" customHeight="false" outlineLevel="0" collapsed="false">
      <c r="A20" s="58" t="s">
        <v>115</v>
      </c>
      <c r="B20" s="59" t="n">
        <v>25</v>
      </c>
    </row>
    <row r="21" customFormat="false" ht="12.8" hidden="false" customHeight="false" outlineLevel="0" collapsed="false">
      <c r="A21" s="58" t="s">
        <v>122</v>
      </c>
      <c r="B21" s="59" t="n">
        <v>2</v>
      </c>
    </row>
    <row r="22" customFormat="false" ht="12.8" hidden="false" customHeight="false" outlineLevel="0" collapsed="false">
      <c r="A22" s="58" t="s">
        <v>123</v>
      </c>
      <c r="B22" s="59" t="n">
        <v>2</v>
      </c>
    </row>
    <row r="23" customFormat="false" ht="12.8" hidden="false" customHeight="false" outlineLevel="0" collapsed="false">
      <c r="A23" s="58" t="s">
        <v>124</v>
      </c>
      <c r="B23" s="59" t="n">
        <v>4</v>
      </c>
    </row>
    <row r="24" customFormat="false" ht="12.8" hidden="false" customHeight="false" outlineLevel="0" collapsed="false">
      <c r="A24" s="58" t="s">
        <v>125</v>
      </c>
      <c r="B24" s="59" t="n">
        <v>2</v>
      </c>
    </row>
    <row r="25" customFormat="false" ht="12.8" hidden="false" customHeight="false" outlineLevel="0" collapsed="false">
      <c r="A25" s="58" t="s">
        <v>126</v>
      </c>
      <c r="B25" s="59" t="n">
        <v>2</v>
      </c>
    </row>
    <row r="26" customFormat="false" ht="12.8" hidden="false" customHeight="false" outlineLevel="0" collapsed="false">
      <c r="A26" s="58" t="s">
        <v>127</v>
      </c>
      <c r="B26" s="59" t="n">
        <v>2</v>
      </c>
    </row>
    <row r="27" customFormat="false" ht="12.8" hidden="false" customHeight="false" outlineLevel="0" collapsed="false">
      <c r="A27" s="58" t="s">
        <v>116</v>
      </c>
      <c r="B27" s="59" t="n">
        <v>2</v>
      </c>
    </row>
    <row r="28" customFormat="false" ht="12.8" hidden="false" customHeight="false" outlineLevel="0" collapsed="false">
      <c r="A28" s="58" t="s">
        <v>117</v>
      </c>
      <c r="B28" s="59" t="n">
        <v>2</v>
      </c>
    </row>
    <row r="29" customFormat="false" ht="12.8" hidden="false" customHeight="false" outlineLevel="0" collapsed="false">
      <c r="A29" s="58" t="s">
        <v>118</v>
      </c>
      <c r="B29" s="59" t="n">
        <v>4</v>
      </c>
    </row>
    <row r="30" customFormat="false" ht="12.8" hidden="false" customHeight="false" outlineLevel="0" collapsed="false">
      <c r="A30" s="58" t="s">
        <v>128</v>
      </c>
      <c r="B30" s="59" t="n">
        <v>1</v>
      </c>
    </row>
    <row r="31" customFormat="false" ht="12.8" hidden="false" customHeight="false" outlineLevel="0" collapsed="false">
      <c r="A31" s="58" t="s">
        <v>120</v>
      </c>
      <c r="B31" s="59" t="n">
        <v>2</v>
      </c>
    </row>
    <row r="32" customFormat="false" ht="12.8" hidden="false" customHeight="false" outlineLevel="0" collapsed="false">
      <c r="A32" s="58" t="s">
        <v>121</v>
      </c>
      <c r="B32" s="59" t="n">
        <v>2</v>
      </c>
    </row>
    <row r="33" customFormat="false" ht="12.8" hidden="false" customHeight="false" outlineLevel="0" collapsed="false">
      <c r="A33" s="58" t="s">
        <v>98</v>
      </c>
      <c r="B33" s="59" t="n">
        <v>1</v>
      </c>
    </row>
    <row r="34" customFormat="false" ht="12.8" hidden="false" customHeight="false" outlineLevel="0" collapsed="false">
      <c r="A34" s="58" t="s">
        <v>99</v>
      </c>
      <c r="B34" s="59" t="n">
        <v>1</v>
      </c>
    </row>
    <row r="35" customFormat="false" ht="12.8" hidden="false" customHeight="false" outlineLevel="0" collapsed="false">
      <c r="A35" s="58" t="s">
        <v>100</v>
      </c>
      <c r="B35" s="59" t="n">
        <v>2</v>
      </c>
    </row>
    <row r="36" customFormat="false" ht="12.8" hidden="false" customHeight="false" outlineLevel="0" collapsed="false">
      <c r="A36" s="58" t="s">
        <v>101</v>
      </c>
      <c r="B36" s="59" t="n">
        <v>1</v>
      </c>
    </row>
    <row r="37" customFormat="false" ht="12.8" hidden="false" customHeight="false" outlineLevel="0" collapsed="false">
      <c r="A37" s="58" t="s">
        <v>102</v>
      </c>
      <c r="B37" s="59" t="n">
        <v>1</v>
      </c>
    </row>
    <row r="38" customFormat="false" ht="12.8" hidden="false" customHeight="false" outlineLevel="0" collapsed="false">
      <c r="A38" s="58" t="s">
        <v>103</v>
      </c>
      <c r="B38" s="60" t="n">
        <v>1</v>
      </c>
    </row>
    <row r="39" customFormat="false" ht="12.8" hidden="false" customHeight="true" outlineLevel="0" collapsed="false">
      <c r="A39" s="61" t="s">
        <v>145</v>
      </c>
      <c r="B39" s="62" t="n">
        <v>392</v>
      </c>
    </row>
  </sheetData>
  <printOptions headings="false" gridLines="false" gridLinesSet="true" horizontalCentered="false" verticalCentered="false"/>
  <pageMargins left="0.7875" right="0.7875" top="1.05277777777778" bottom="1.05277777777778" header="0.7875" footer="0.7875"/>
  <pageSetup paperSize="9" scale="100" fitToWidth="1" fitToHeight="1" pageOrder="downThenOver" orientation="portrait" blackAndWhite="false" draft="false" cellComments="none" horizontalDpi="300" verticalDpi="300" copies="1"/>
  <headerFooter differentFirst="false" differentOddEven="false">
    <oddHeader>&amp;C&amp;"Times New Roman,Обычный"&amp;12&amp;A</oddHeader>
    <oddFooter>&amp;C&amp;"Times New Roman,Обычный"&amp;12Страница &amp;P</oddFooter>
  </headerFooter>
</worksheet>
</file>

<file path=xl/worksheets/sheet11.xml><?xml version="1.0" encoding="utf-8"?>
<worksheet xmlns="http://schemas.openxmlformats.org/spreadsheetml/2006/main" xmlns:r="http://schemas.openxmlformats.org/officeDocument/2006/relationships" xmlns:xdr="http://schemas.openxmlformats.org/drawingml/2006/spreadsheetDrawing" xmlns:x14="http://schemas.microsoft.com/office/spreadsheetml/2009/9/main" xmlns:xr2="http://schemas.microsoft.com/office/spreadsheetml/2015/revision2" xmlns:mc="http://schemas.openxmlformats.org/markup-compatibility/2006">
  <sheetPr filterMode="false">
    <pageSetUpPr fitToPage="false"/>
  </sheetPr>
  <dimension ref="B1:T41"/>
  <sheetViews>
    <sheetView showFormulas="false" showGridLines="true" showRowColHeaders="true" showZeros="true" rightToLeft="false" tabSelected="false" showOutlineSymbols="true" defaultGridColor="true" view="normal" topLeftCell="A1" colorId="64" zoomScale="100" zoomScaleNormal="100" zoomScalePageLayoutView="100" workbookViewId="0">
      <selection pane="topLeft" activeCell="N37" activeCellId="1" sqref="A2:K31 N37"/>
    </sheetView>
  </sheetViews>
  <sheetFormatPr defaultColWidth="11.53515625" defaultRowHeight="12.8" customHeight="true" zeroHeight="false" outlineLevelRow="0" outlineLevelCol="0"/>
  <cols>
    <col collapsed="false" customWidth="true" hidden="false" outlineLevel="0" max="4" min="4" style="1" width="20.54"/>
    <col collapsed="false" customWidth="false" hidden="false" outlineLevel="0" max="5" min="5" style="1" width="11.53"/>
    <col collapsed="false" customWidth="true" hidden="false" outlineLevel="0" max="6" min="6" style="1" width="14.98"/>
    <col collapsed="false" customWidth="false" hidden="false" outlineLevel="0" max="7" min="7" style="1" width="11.53"/>
    <col collapsed="false" customWidth="true" hidden="false" outlineLevel="0" max="8" min="8" style="1" width="17.76"/>
    <col collapsed="false" customWidth="false" hidden="false" outlineLevel="0" max="10" min="9" style="1" width="11.53"/>
    <col collapsed="false" customWidth="false" hidden="false" outlineLevel="0" max="11" min="11" style="11" width="11.53"/>
    <col collapsed="false" customWidth="true" hidden="false" outlineLevel="0" max="12" min="12" style="11" width="13.27"/>
    <col collapsed="false" customWidth="true" hidden="false" outlineLevel="0" max="14" min="14" style="11" width="17.76"/>
    <col collapsed="false" customWidth="true" hidden="false" outlineLevel="0" max="20" min="20" style="11" width="14.87"/>
  </cols>
  <sheetData>
    <row r="1" customFormat="false" ht="12.8" hidden="false" customHeight="false" outlineLevel="0" collapsed="false">
      <c r="B1" s="63" t="s">
        <v>146</v>
      </c>
      <c r="D1" s="63" t="s">
        <v>77</v>
      </c>
      <c r="E1" s="64"/>
      <c r="F1" s="63" t="s">
        <v>78</v>
      </c>
      <c r="G1" s="64"/>
      <c r="H1" s="63" t="s">
        <v>79</v>
      </c>
      <c r="I1" s="64"/>
      <c r="J1" s="53" t="s">
        <v>80</v>
      </c>
      <c r="L1" s="63" t="s">
        <v>147</v>
      </c>
      <c r="N1" s="63" t="s">
        <v>148</v>
      </c>
      <c r="P1" s="63" t="s">
        <v>149</v>
      </c>
      <c r="R1" s="63" t="s">
        <v>80</v>
      </c>
      <c r="T1" s="63" t="s">
        <v>150</v>
      </c>
    </row>
    <row r="2" customFormat="false" ht="12.8" hidden="false" customHeight="false" outlineLevel="0" collapsed="false">
      <c r="B2" s="11" t="s">
        <v>33</v>
      </c>
      <c r="D2" s="12" t="s">
        <v>14</v>
      </c>
      <c r="E2" s="12"/>
      <c r="F2" s="12" t="s">
        <v>36</v>
      </c>
      <c r="G2" s="12"/>
      <c r="H2" s="65" t="s">
        <v>38</v>
      </c>
      <c r="I2" s="12"/>
      <c r="J2" s="12" t="s">
        <v>61</v>
      </c>
      <c r="L2" s="11" t="s">
        <v>151</v>
      </c>
      <c r="N2" s="11" t="s">
        <v>49</v>
      </c>
      <c r="P2" s="11" t="s">
        <v>149</v>
      </c>
      <c r="R2" s="11" t="s">
        <v>59</v>
      </c>
      <c r="T2" s="11" t="s">
        <v>52</v>
      </c>
    </row>
    <row r="3" customFormat="false" ht="12.8" hidden="false" customHeight="false" outlineLevel="0" collapsed="false">
      <c r="B3" s="11" t="s">
        <v>152</v>
      </c>
      <c r="D3" s="12" t="s">
        <v>15</v>
      </c>
      <c r="E3" s="12"/>
      <c r="F3" s="12" t="s">
        <v>37</v>
      </c>
      <c r="G3" s="12"/>
      <c r="H3" s="11" t="s">
        <v>39</v>
      </c>
      <c r="I3" s="12"/>
      <c r="J3" s="12" t="s">
        <v>59</v>
      </c>
      <c r="L3" s="11" t="s">
        <v>153</v>
      </c>
      <c r="N3" s="11" t="s">
        <v>46</v>
      </c>
      <c r="R3" s="11" t="s">
        <v>64</v>
      </c>
      <c r="T3" s="11" t="s">
        <v>53</v>
      </c>
    </row>
    <row r="4" customFormat="false" ht="12.8" hidden="false" customHeight="false" outlineLevel="0" collapsed="false">
      <c r="B4" s="11" t="s">
        <v>28</v>
      </c>
      <c r="D4" s="12" t="s">
        <v>16</v>
      </c>
      <c r="E4" s="12"/>
      <c r="F4" s="12" t="s">
        <v>40</v>
      </c>
      <c r="G4" s="12"/>
      <c r="H4" s="65" t="s">
        <v>42</v>
      </c>
      <c r="I4" s="12"/>
      <c r="J4" s="12" t="s">
        <v>64</v>
      </c>
      <c r="L4" s="11" t="s">
        <v>154</v>
      </c>
      <c r="N4" s="11" t="s">
        <v>47</v>
      </c>
      <c r="R4" s="11" t="s">
        <v>61</v>
      </c>
      <c r="T4" s="11" t="s">
        <v>54</v>
      </c>
    </row>
    <row r="5" customFormat="false" ht="12.8" hidden="false" customHeight="false" outlineLevel="0" collapsed="false">
      <c r="B5" s="11" t="s">
        <v>155</v>
      </c>
      <c r="D5" s="12" t="s">
        <v>17</v>
      </c>
      <c r="E5" s="12"/>
      <c r="F5" s="12" t="s">
        <v>41</v>
      </c>
      <c r="G5" s="12"/>
      <c r="H5" s="65" t="s">
        <v>43</v>
      </c>
      <c r="I5" s="12"/>
      <c r="J5" s="12" t="s">
        <v>63</v>
      </c>
      <c r="L5" s="11" t="s">
        <v>156</v>
      </c>
      <c r="N5" s="11" t="s">
        <v>157</v>
      </c>
      <c r="R5" s="11" t="s">
        <v>158</v>
      </c>
      <c r="T5" s="11" t="s">
        <v>55</v>
      </c>
    </row>
    <row r="6" customFormat="false" ht="12.8" hidden="false" customHeight="false" outlineLevel="0" collapsed="false">
      <c r="B6" s="11" t="s">
        <v>32</v>
      </c>
      <c r="D6" s="12" t="s">
        <v>18</v>
      </c>
      <c r="E6" s="12"/>
      <c r="F6" s="12" t="s">
        <v>44</v>
      </c>
      <c r="G6" s="12"/>
      <c r="H6" s="11"/>
      <c r="I6" s="12"/>
      <c r="J6" s="12" t="s">
        <v>67</v>
      </c>
      <c r="L6" s="11" t="s">
        <v>159</v>
      </c>
      <c r="N6" s="11" t="s">
        <v>160</v>
      </c>
      <c r="R6" s="11" t="s">
        <v>161</v>
      </c>
      <c r="T6" s="11" t="s">
        <v>56</v>
      </c>
    </row>
    <row r="7" customFormat="false" ht="12.8" hidden="false" customHeight="false" outlineLevel="0" collapsed="false">
      <c r="B7" s="11" t="s">
        <v>162</v>
      </c>
      <c r="D7" s="12" t="s">
        <v>19</v>
      </c>
      <c r="E7" s="12"/>
      <c r="F7" s="12" t="s">
        <v>45</v>
      </c>
      <c r="G7" s="12"/>
      <c r="H7" s="65" t="s">
        <v>163</v>
      </c>
      <c r="I7" s="12"/>
      <c r="J7" s="12" t="s">
        <v>158</v>
      </c>
      <c r="L7" s="11" t="s">
        <v>164</v>
      </c>
      <c r="N7" s="11" t="s">
        <v>51</v>
      </c>
      <c r="R7" s="11" t="s">
        <v>67</v>
      </c>
    </row>
    <row r="8" customFormat="false" ht="12.8" hidden="false" customHeight="false" outlineLevel="0" collapsed="false">
      <c r="B8" s="11" t="s">
        <v>165</v>
      </c>
      <c r="D8" s="12" t="s">
        <v>20</v>
      </c>
      <c r="E8" s="12"/>
      <c r="F8" s="11"/>
      <c r="G8" s="12"/>
      <c r="H8" s="65" t="s">
        <v>166</v>
      </c>
      <c r="I8" s="12"/>
      <c r="J8" s="12" t="s">
        <v>161</v>
      </c>
      <c r="L8" s="11" t="s">
        <v>167</v>
      </c>
      <c r="N8" s="11" t="s">
        <v>168</v>
      </c>
      <c r="T8" s="11" t="s">
        <v>57</v>
      </c>
    </row>
    <row r="9" customFormat="false" ht="12.8" hidden="false" customHeight="false" outlineLevel="0" collapsed="false">
      <c r="B9" s="11" t="s">
        <v>169</v>
      </c>
      <c r="D9" s="12" t="s">
        <v>21</v>
      </c>
      <c r="E9" s="12"/>
      <c r="F9" s="11"/>
      <c r="G9" s="12"/>
      <c r="H9" s="65" t="s">
        <v>170</v>
      </c>
      <c r="I9" s="12"/>
      <c r="J9" s="1" t="s">
        <v>62</v>
      </c>
      <c r="L9" s="11" t="s">
        <v>171</v>
      </c>
      <c r="N9" s="11" t="s">
        <v>50</v>
      </c>
      <c r="T9" s="11" t="s">
        <v>58</v>
      </c>
    </row>
    <row r="10" customFormat="false" ht="12.8" hidden="false" customHeight="false" outlineLevel="0" collapsed="false">
      <c r="B10" s="11" t="s">
        <v>27</v>
      </c>
      <c r="D10" s="12" t="s">
        <v>172</v>
      </c>
      <c r="E10" s="12"/>
      <c r="F10" s="12" t="s">
        <v>173</v>
      </c>
      <c r="G10" s="12"/>
      <c r="H10" s="12"/>
      <c r="I10" s="12"/>
      <c r="J10" s="12" t="s">
        <v>60</v>
      </c>
    </row>
    <row r="11" customFormat="false" ht="12.8" hidden="false" customHeight="false" outlineLevel="0" collapsed="false">
      <c r="B11" s="11" t="s">
        <v>174</v>
      </c>
      <c r="D11" s="12" t="s">
        <v>175</v>
      </c>
      <c r="E11" s="6"/>
      <c r="F11" s="12" t="s">
        <v>176</v>
      </c>
      <c r="G11" s="6"/>
      <c r="H11" s="6"/>
      <c r="I11" s="6"/>
      <c r="J11" s="12" t="s">
        <v>65</v>
      </c>
    </row>
    <row r="12" customFormat="false" ht="12.8" hidden="false" customHeight="false" outlineLevel="0" collapsed="false">
      <c r="B12" s="11" t="s">
        <v>26</v>
      </c>
      <c r="D12" s="12" t="s">
        <v>177</v>
      </c>
      <c r="E12" s="12"/>
      <c r="F12" s="12" t="s">
        <v>178</v>
      </c>
      <c r="G12" s="12"/>
      <c r="H12" s="12"/>
      <c r="I12" s="12"/>
      <c r="J12" s="12" t="s">
        <v>66</v>
      </c>
    </row>
    <row r="13" customFormat="false" ht="12.8" hidden="false" customHeight="false" outlineLevel="0" collapsed="false">
      <c r="B13" s="11" t="s">
        <v>22</v>
      </c>
      <c r="D13" s="12" t="s">
        <v>179</v>
      </c>
      <c r="E13" s="12"/>
      <c r="F13" s="12" t="s">
        <v>180</v>
      </c>
      <c r="G13" s="12"/>
      <c r="H13" s="12"/>
      <c r="I13" s="12"/>
      <c r="J13" s="12" t="s">
        <v>68</v>
      </c>
    </row>
    <row r="14" customFormat="false" ht="12.8" hidden="false" customHeight="false" outlineLevel="0" collapsed="false">
      <c r="B14" s="11" t="s">
        <v>31</v>
      </c>
      <c r="D14" s="12" t="s">
        <v>181</v>
      </c>
      <c r="E14" s="12"/>
      <c r="F14" s="11"/>
      <c r="G14" s="12"/>
      <c r="H14" s="12"/>
      <c r="I14" s="12"/>
      <c r="J14" s="12"/>
    </row>
    <row r="15" customFormat="false" ht="12.8" hidden="false" customHeight="false" outlineLevel="0" collapsed="false">
      <c r="B15" s="11" t="s">
        <v>25</v>
      </c>
      <c r="D15" s="12" t="s">
        <v>182</v>
      </c>
      <c r="E15" s="12"/>
      <c r="F15" s="12" t="s">
        <v>22</v>
      </c>
      <c r="G15" s="12"/>
      <c r="H15" s="12"/>
      <c r="I15" s="12"/>
      <c r="J15" s="12"/>
    </row>
    <row r="16" customFormat="false" ht="12.8" hidden="false" customHeight="false" outlineLevel="0" collapsed="false">
      <c r="B16" s="11" t="s">
        <v>24</v>
      </c>
      <c r="D16" s="11"/>
      <c r="E16" s="6"/>
      <c r="F16" s="6"/>
      <c r="G16" s="6"/>
      <c r="H16" s="6"/>
      <c r="I16" s="6"/>
      <c r="J16" s="6"/>
    </row>
    <row r="17" customFormat="false" ht="12.8" hidden="false" customHeight="false" outlineLevel="0" collapsed="false">
      <c r="B17" s="11" t="s">
        <v>30</v>
      </c>
      <c r="D17" s="12" t="s">
        <v>22</v>
      </c>
      <c r="E17" s="6"/>
      <c r="F17" s="6"/>
      <c r="G17" s="6"/>
      <c r="H17" s="6"/>
      <c r="I17" s="6"/>
      <c r="J17" s="6"/>
    </row>
    <row r="18" customFormat="false" ht="12.8" hidden="false" customHeight="true" outlineLevel="0" collapsed="false">
      <c r="B18" s="11" t="s">
        <v>29</v>
      </c>
      <c r="D18" s="12" t="s">
        <v>23</v>
      </c>
      <c r="E18" s="12"/>
      <c r="F18" s="12"/>
      <c r="G18" s="12"/>
      <c r="H18" s="12"/>
      <c r="I18" s="12"/>
      <c r="J18" s="12"/>
    </row>
    <row r="19" customFormat="false" ht="12.8" hidden="false" customHeight="true" outlineLevel="0" collapsed="false">
      <c r="D19" s="11"/>
      <c r="E19" s="12"/>
      <c r="F19" s="12"/>
      <c r="G19" s="12"/>
      <c r="H19" s="12"/>
      <c r="I19" s="12"/>
      <c r="J19" s="12"/>
    </row>
    <row r="20" customFormat="false" ht="12.8" hidden="false" customHeight="true" outlineLevel="0" collapsed="false">
      <c r="D20" s="11"/>
      <c r="E20" s="12"/>
      <c r="F20" s="12"/>
      <c r="G20" s="12"/>
      <c r="H20" s="12"/>
      <c r="I20" s="12"/>
      <c r="J20" s="12"/>
    </row>
    <row r="21" customFormat="false" ht="12.8" hidden="false" customHeight="true" outlineLevel="0" collapsed="false">
      <c r="D21" s="11"/>
      <c r="E21" s="12"/>
      <c r="F21" s="12"/>
      <c r="G21" s="12"/>
      <c r="H21" s="12"/>
      <c r="I21" s="12"/>
      <c r="J21" s="12"/>
    </row>
    <row r="22" customFormat="false" ht="12.8" hidden="false" customHeight="true" outlineLevel="0" collapsed="false">
      <c r="D22" s="11"/>
      <c r="E22" s="12"/>
      <c r="F22" s="12"/>
      <c r="G22" s="12"/>
      <c r="H22" s="12"/>
      <c r="I22" s="12"/>
      <c r="J22" s="12"/>
    </row>
    <row r="23" customFormat="false" ht="12.8" hidden="false" customHeight="true" outlineLevel="0" collapsed="false">
      <c r="D23" s="11"/>
      <c r="E23" s="12"/>
      <c r="F23" s="12"/>
      <c r="G23" s="12"/>
      <c r="H23" s="12"/>
      <c r="I23" s="12"/>
      <c r="J23" s="12"/>
    </row>
    <row r="24" customFormat="false" ht="12.8" hidden="false" customHeight="true" outlineLevel="0" collapsed="false">
      <c r="D24" s="11"/>
      <c r="E24" s="12"/>
      <c r="F24" s="12"/>
      <c r="G24" s="12"/>
      <c r="H24" s="12"/>
      <c r="I24" s="12"/>
      <c r="J24" s="12"/>
    </row>
    <row r="25" customFormat="false" ht="12.8" hidden="false" customHeight="true" outlineLevel="0" collapsed="false">
      <c r="D25" s="11"/>
      <c r="E25" s="12"/>
      <c r="F25" s="12"/>
      <c r="G25" s="12"/>
      <c r="H25" s="12"/>
      <c r="I25" s="12"/>
      <c r="J25" s="12"/>
    </row>
    <row r="26" customFormat="false" ht="12.8" hidden="false" customHeight="true" outlineLevel="0" collapsed="false">
      <c r="D26" s="11"/>
      <c r="E26" s="12"/>
      <c r="F26" s="12"/>
      <c r="G26" s="12"/>
      <c r="H26" s="12"/>
      <c r="I26" s="12"/>
      <c r="J26" s="12"/>
    </row>
    <row r="27" customFormat="false" ht="12.8" hidden="false" customHeight="true" outlineLevel="0" collapsed="false">
      <c r="D27" s="11"/>
      <c r="E27" s="11"/>
      <c r="F27" s="11"/>
      <c r="G27" s="11"/>
      <c r="H27" s="11"/>
      <c r="I27" s="11"/>
      <c r="J27" s="11"/>
    </row>
    <row r="28" customFormat="false" ht="12.8" hidden="false" customHeight="true" outlineLevel="0" collapsed="false">
      <c r="D28" s="11"/>
      <c r="E28" s="11"/>
      <c r="F28" s="11"/>
      <c r="G28" s="11"/>
      <c r="H28" s="11"/>
      <c r="I28" s="11"/>
      <c r="J28" s="11"/>
    </row>
    <row r="29" customFormat="false" ht="12.8" hidden="false" customHeight="true" outlineLevel="0" collapsed="false">
      <c r="D29" s="11"/>
      <c r="E29" s="11"/>
      <c r="F29" s="11"/>
      <c r="G29" s="11"/>
      <c r="H29" s="11"/>
      <c r="I29" s="11"/>
      <c r="J29" s="11"/>
    </row>
    <row r="30" customFormat="false" ht="12.8" hidden="false" customHeight="true" outlineLevel="0" collapsed="false">
      <c r="D30" s="11"/>
      <c r="E30" s="11"/>
      <c r="F30" s="11"/>
      <c r="G30" s="11"/>
      <c r="H30" s="11"/>
      <c r="I30" s="11"/>
      <c r="J30" s="11"/>
    </row>
    <row r="31" customFormat="false" ht="12.8" hidden="false" customHeight="true" outlineLevel="0" collapsed="false">
      <c r="D31" s="11"/>
      <c r="E31" s="11"/>
      <c r="F31" s="11"/>
      <c r="G31" s="11"/>
      <c r="H31" s="11"/>
      <c r="I31" s="11"/>
      <c r="J31" s="11"/>
    </row>
    <row r="32" customFormat="false" ht="12.8" hidden="false" customHeight="true" outlineLevel="0" collapsed="false">
      <c r="D32" s="11"/>
      <c r="E32" s="11"/>
      <c r="F32" s="11"/>
      <c r="G32" s="11"/>
      <c r="H32" s="11"/>
      <c r="I32" s="11"/>
      <c r="J32" s="11"/>
    </row>
    <row r="35" customFormat="false" ht="12.8" hidden="false" customHeight="true" outlineLevel="0" collapsed="false">
      <c r="D35" s="12"/>
      <c r="E35" s="12"/>
      <c r="F35" s="12"/>
      <c r="G35" s="12"/>
      <c r="H35" s="12"/>
      <c r="I35" s="12"/>
      <c r="J35" s="12"/>
    </row>
    <row r="36" customFormat="false" ht="12.8" hidden="false" customHeight="true" outlineLevel="0" collapsed="false">
      <c r="D36" s="12"/>
      <c r="E36" s="12"/>
      <c r="F36" s="12"/>
      <c r="G36" s="12"/>
      <c r="H36" s="12"/>
      <c r="I36" s="12"/>
      <c r="J36" s="12"/>
    </row>
    <row r="37" customFormat="false" ht="12.8" hidden="false" customHeight="true" outlineLevel="0" collapsed="false">
      <c r="D37" s="12"/>
      <c r="E37" s="12"/>
      <c r="F37" s="12"/>
      <c r="G37" s="12"/>
      <c r="H37" s="12"/>
      <c r="I37" s="12"/>
      <c r="J37" s="12"/>
    </row>
    <row r="38" customFormat="false" ht="12.8" hidden="false" customHeight="true" outlineLevel="0" collapsed="false">
      <c r="D38" s="12"/>
      <c r="E38" s="12"/>
      <c r="F38" s="12"/>
      <c r="G38" s="12"/>
      <c r="H38" s="12"/>
      <c r="I38" s="12"/>
      <c r="J38" s="12"/>
    </row>
    <row r="39" customFormat="false" ht="12.8" hidden="false" customHeight="true" outlineLevel="0" collapsed="false">
      <c r="D39" s="12"/>
      <c r="E39" s="12"/>
      <c r="F39" s="12"/>
      <c r="G39" s="12"/>
      <c r="H39" s="12"/>
      <c r="I39" s="12"/>
      <c r="J39" s="12"/>
    </row>
    <row r="40" customFormat="false" ht="12.8" hidden="false" customHeight="true" outlineLevel="0" collapsed="false">
      <c r="D40" s="12"/>
      <c r="E40" s="12"/>
      <c r="F40" s="12"/>
      <c r="G40" s="12"/>
      <c r="H40" s="12"/>
      <c r="I40" s="12"/>
      <c r="J40" s="12"/>
    </row>
    <row r="41" customFormat="false" ht="12.8" hidden="false" customHeight="true" outlineLevel="0" collapsed="false">
      <c r="D41" s="12"/>
      <c r="E41" s="12"/>
      <c r="F41" s="12"/>
      <c r="G41" s="12"/>
      <c r="H41" s="12"/>
      <c r="I41" s="12"/>
      <c r="J41" s="12"/>
    </row>
  </sheetData>
  <printOptions headings="false" gridLines="false" gridLinesSet="true" horizontalCentered="false" verticalCentered="false"/>
  <pageMargins left="0.7875" right="0.7875" top="1.05277777777778" bottom="1.05277777777778" header="0.7875" footer="0.7875"/>
  <pageSetup paperSize="9" scale="100" fitToWidth="1" fitToHeight="1" pageOrder="downThenOver" orientation="portrait" blackAndWhite="false" draft="false" cellComments="none" horizontalDpi="300" verticalDpi="300" copies="1"/>
  <headerFooter differentFirst="false" differentOddEven="false">
    <oddHeader>&amp;C&amp;"Times New Roman,Обычный"&amp;12&amp;A</oddHeader>
    <oddFooter>&amp;C&amp;"Times New Roman,Обычный"&amp;12Страница &amp;P</oddFooter>
  </headerFooter>
</worksheet>
</file>

<file path=docProps/app.xml><?xml version="1.0" encoding="utf-8"?>
<Properties xmlns="http://schemas.openxmlformats.org/officeDocument/2006/extended-properties" xmlns:vt="http://schemas.openxmlformats.org/officeDocument/2006/docPropsVTypes">
  <Template/>
  <TotalTime>6100</TotalTime>
  <Application>LibreOffice/25.8.5.2$Windows_X86_64 LibreOffice_project/9c8b85f387cc00a89945a79c9e6239f32e450ac2</Application>
  <AppVersion>15.0000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dcterms:created xsi:type="dcterms:W3CDTF">2025-11-16T23:15:15Z</dcterms:created>
  <dc:creator/>
  <dc:description/>
  <dc:language>ru-RU</dc:language>
  <cp:lastModifiedBy/>
  <dcterms:modified xsi:type="dcterms:W3CDTF">2026-03-19T18:33:40Z</dcterms:modified>
  <cp:revision>155</cp:revision>
  <dc:subject/>
  <dc:title/>
</cp:coreProperties>
</file>

<file path=docProps/custom.xml><?xml version="1.0" encoding="utf-8"?>
<Properties xmlns="http://schemas.openxmlformats.org/officeDocument/2006/custom-properties" xmlns:vt="http://schemas.openxmlformats.org/officeDocument/2006/docPropsVTypes"/>
</file>