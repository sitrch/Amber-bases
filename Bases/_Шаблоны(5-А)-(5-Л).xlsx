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8.xml" ContentType="application/vnd.openxmlformats-officedocument.drawing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drawing6.xml" ContentType="application/vnd.openxmlformats-officedocument.drawing+xml"/>
  <Override PartName="/xl/drawings/drawing7.xml" ContentType="application/vnd.openxmlformats-officedocument.drawing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РядыСтоек3" sheetId="1" state="visible" r:id="rId3"/>
    <sheet name="РядыЗаполнений3" sheetId="2" state="visible" r:id="rId4"/>
    <sheet name="РядыКреплений3" sheetId="3" state="visible" r:id="rId5"/>
    <sheet name="РядыОпор3" sheetId="4" state="visible" r:id="rId6"/>
    <sheet name="РядыРигелей3" sheetId="5" state="visible" r:id="rId7"/>
    <sheet name="ГраницыИзделий3" sheetId="6" state="visible" r:id="rId8"/>
    <sheet name="Изделия3" sheetId="7" state="visible" r:id="rId9"/>
    <sheet name="Размещение изделий3" sheetId="8" state="visible" r:id="rId10"/>
    <sheet name="Подсчёт изделий3" sheetId="9" state="visible" r:id="rId11"/>
    <sheet name="Сводная таблица_Подсчёт изделий" sheetId="10" state="visible" r:id="rId12"/>
    <sheet name="Data" sheetId="11" state="visible" r:id="rId13"/>
  </sheets>
  <definedNames>
    <definedName function="false" hidden="true" localSheetId="5" name="_xlnm._FilterDatabase" vbProcedure="false">ГраницыИзделий3!$A$1:$C$30</definedName>
    <definedName function="false" hidden="true" localSheetId="6" name="_xlnm._FilterDatabase" vbProcedure="false">Изделия3!$A$1:$B$57</definedName>
    <definedName function="false" hidden="true" localSheetId="8" name="_xlnm._FilterDatabase" vbProcedure="false">'Подсчёт изделий3'!$A$1:$D$57</definedName>
    <definedName function="false" hidden="true" localSheetId="1" name="_xlnm._FilterDatabase" vbProcedure="false">РядыЗаполнений3!$A$1:$G$37</definedName>
    <definedName function="false" hidden="true" localSheetId="2" name="_xlnm._FilterDatabase" vbProcedure="false">РядыКреплений3!$A$1:$H$31</definedName>
    <definedName function="false" hidden="true" localSheetId="3" name="_xlnm._FilterDatabase" vbProcedure="false">РядыОпор3!$B$1:$G$36</definedName>
    <definedName function="false" hidden="true" localSheetId="4" name="_xlnm._FilterDatabase" vbProcedure="false">РядыРигелей3!$A$1:$Q$114</definedName>
    <definedName function="false" hidden="true" localSheetId="0" name="_xlnm._FilterDatabase" vbProcedure="false">РядыСтоек3!$B$1:$I$71</definedName>
  </definedNames>
  <calcPr iterateCount="100" refMode="A1" iterate="false" iterateDelta="0.001"/>
  <pivotCaches>
    <pivotCache cacheId="1" r:id="rId15"/>
  </pivotCaches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B1" authorId="0">
      <text>
        <r>
          <rPr>
            <sz val="10"/>
            <rFont val="Arial"/>
            <family val="2"/>
            <charset val="204"/>
          </rPr>
          <t xml:space="preserve">Плоскость 5-1-5-6</t>
        </r>
      </text>
    </comment>
    <comment ref="C1" authorId="0">
      <text>
        <r>
          <rPr>
            <sz val="10"/>
            <rFont val="Arial"/>
            <family val="2"/>
            <charset val="204"/>
          </rPr>
          <t xml:space="preserve">Плоскость 5-1-5-6</t>
        </r>
      </text>
    </comment>
    <comment ref="D1" authorId="0">
      <text>
        <r>
          <rPr>
            <sz val="10"/>
            <rFont val="Arial"/>
            <family val="2"/>
            <charset val="204"/>
          </rPr>
          <t xml:space="preserve">Плоскость 5-1-5-6</t>
        </r>
      </text>
    </comment>
    <comment ref="E1" authorId="0">
      <text>
        <r>
          <rPr>
            <sz val="10"/>
            <rFont val="Arial"/>
            <family val="2"/>
            <charset val="204"/>
          </rPr>
          <t xml:space="preserve">Плоскость 5-1-5-6</t>
        </r>
      </text>
    </comment>
    <comment ref="F1" authorId="0">
      <text>
        <r>
          <rPr>
            <sz val="10"/>
            <rFont val="Arial"/>
            <family val="2"/>
            <charset val="204"/>
          </rPr>
          <t xml:space="preserve">Плоскость 5-1-5-6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A1" authorId="0">
      <text>
        <r>
          <rPr>
            <sz val="10"/>
            <rFont val="Arial"/>
            <family val="2"/>
            <charset val="204"/>
          </rPr>
          <t xml:space="preserve">Плоскость 5-1-5-6</t>
        </r>
      </text>
    </comment>
    <comment ref="B1" authorId="0">
      <text>
        <r>
          <rPr>
            <sz val="10"/>
            <rFont val="Arial"/>
            <family val="2"/>
            <charset val="204"/>
          </rPr>
          <t xml:space="preserve">Плоскость 5-1-5-6</t>
        </r>
      </text>
    </comment>
    <comment ref="D1" authorId="0">
      <text>
        <r>
          <rPr>
            <sz val="10"/>
            <rFont val="Arial"/>
            <family val="2"/>
            <charset val="204"/>
          </rPr>
          <t xml:space="preserve">Крепления ригеля</t>
        </r>
      </text>
    </comment>
    <comment ref="E1" authorId="0">
      <text>
        <r>
          <rPr>
            <sz val="10"/>
            <rFont val="Arial"/>
            <family val="2"/>
            <charset val="204"/>
          </rPr>
          <t xml:space="preserve">Крепления ригеля</t>
        </r>
      </text>
    </comment>
    <comment ref="F1" authorId="0">
      <text>
        <r>
          <rPr>
            <sz val="10"/>
            <rFont val="Arial"/>
            <family val="2"/>
            <charset val="204"/>
          </rPr>
          <t xml:space="preserve">Крепления ригеля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A1" authorId="0">
      <text>
        <r>
          <rPr>
            <sz val="10"/>
            <rFont val="Arial"/>
            <family val="2"/>
            <charset val="204"/>
          </rPr>
          <t xml:space="preserve">Плоскость 5-1-5-6</t>
        </r>
      </text>
    </comment>
    <comment ref="B1" authorId="0">
      <text>
        <r>
          <rPr>
            <sz val="10"/>
            <rFont val="Arial"/>
            <family val="2"/>
            <charset val="204"/>
          </rPr>
          <t xml:space="preserve">Крепления ригеля</t>
        </r>
      </text>
    </comment>
    <comment ref="C1" authorId="0">
      <text>
        <r>
          <rPr>
            <sz val="10"/>
            <rFont val="Arial"/>
            <family val="2"/>
            <charset val="204"/>
          </rPr>
          <t xml:space="preserve">Крепления ригеля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J113" authorId="0">
      <text>
        <r>
          <rPr>
            <sz val="10"/>
            <rFont val="Arial"/>
            <family val="2"/>
            <charset val="204"/>
          </rPr>
          <t xml:space="preserve">Плоскость 5-1-5-6</t>
        </r>
      </text>
    </comment>
  </commentList>
</comments>
</file>

<file path=xl/sharedStrings.xml><?xml version="1.0" encoding="utf-8"?>
<sst xmlns="http://schemas.openxmlformats.org/spreadsheetml/2006/main" count="1325" uniqueCount="163">
  <si>
    <t xml:space="preserve">Плоскость</t>
  </si>
  <si>
    <t xml:space="preserve">тип</t>
  </si>
  <si>
    <t xml:space="preserve">стойка</t>
  </si>
  <si>
    <t xml:space="preserve">поЦентрам</t>
  </si>
  <si>
    <t xml:space="preserve">Установка</t>
  </si>
  <si>
    <t xml:space="preserve">ДопСтойка</t>
  </si>
  <si>
    <t xml:space="preserve">(5-А)-(5-Л)</t>
  </si>
  <si>
    <t xml:space="preserve">5-Б</t>
  </si>
  <si>
    <t xml:space="preserve">5-В</t>
  </si>
  <si>
    <t xml:space="preserve">5-Г</t>
  </si>
  <si>
    <t xml:space="preserve">5-Д</t>
  </si>
  <si>
    <t xml:space="preserve">5-Е</t>
  </si>
  <si>
    <t xml:space="preserve">5-Ж</t>
  </si>
  <si>
    <t xml:space="preserve">5-И</t>
  </si>
  <si>
    <t xml:space="preserve">5-К</t>
  </si>
  <si>
    <t xml:space="preserve">чертёж</t>
  </si>
  <si>
    <t xml:space="preserve">Стойка</t>
  </si>
  <si>
    <t xml:space="preserve">Зап2</t>
  </si>
  <si>
    <t xml:space="preserve">Зап30</t>
  </si>
  <si>
    <t xml:space="preserve">Зап3</t>
  </si>
  <si>
    <t xml:space="preserve">Зап29</t>
  </si>
  <si>
    <t xml:space="preserve">Зап57</t>
  </si>
  <si>
    <t xml:space="preserve">ЗапНизВерх</t>
  </si>
  <si>
    <t xml:space="preserve">Лист 2 мм</t>
  </si>
  <si>
    <t xml:space="preserve">5а</t>
  </si>
  <si>
    <t xml:space="preserve">5б</t>
  </si>
  <si>
    <t xml:space="preserve">ОК-1</t>
  </si>
  <si>
    <t xml:space="preserve">ОК-1.1</t>
  </si>
  <si>
    <t xml:space="preserve">Тип 10</t>
  </si>
  <si>
    <t xml:space="preserve">3а</t>
  </si>
  <si>
    <t xml:space="preserve">3б</t>
  </si>
  <si>
    <t xml:space="preserve">1б</t>
  </si>
  <si>
    <t xml:space="preserve">6а</t>
  </si>
  <si>
    <t xml:space="preserve">6б</t>
  </si>
  <si>
    <t xml:space="preserve">Креп2</t>
  </si>
  <si>
    <t xml:space="preserve">Креп3</t>
  </si>
  <si>
    <t xml:space="preserve">КрепВерх</t>
  </si>
  <si>
    <t xml:space="preserve">Подпорка2</t>
  </si>
  <si>
    <t xml:space="preserve">Подпорка3</t>
  </si>
  <si>
    <t xml:space="preserve">с2</t>
  </si>
  <si>
    <t xml:space="preserve">6а2</t>
  </si>
  <si>
    <t xml:space="preserve">ВС</t>
  </si>
  <si>
    <t xml:space="preserve">с3</t>
  </si>
  <si>
    <t xml:space="preserve">Опора2</t>
  </si>
  <si>
    <t xml:space="preserve">Опора30</t>
  </si>
  <si>
    <t xml:space="preserve">Опора3</t>
  </si>
  <si>
    <t xml:space="preserve">Опора29</t>
  </si>
  <si>
    <t xml:space="preserve">Опора57</t>
  </si>
  <si>
    <t xml:space="preserve">о2прав</t>
  </si>
  <si>
    <t xml:space="preserve">о1</t>
  </si>
  <si>
    <t xml:space="preserve">о3</t>
  </si>
  <si>
    <t xml:space="preserve">о2</t>
  </si>
  <si>
    <t xml:space="preserve">о1лев</t>
  </si>
  <si>
    <t xml:space="preserve">с правой стороны продолжение опоры о4</t>
  </si>
  <si>
    <t xml:space="preserve">о4</t>
  </si>
  <si>
    <t xml:space="preserve">о1прав</t>
  </si>
  <si>
    <t xml:space="preserve">о3лев</t>
  </si>
  <si>
    <t xml:space="preserve">Этаж</t>
  </si>
  <si>
    <t xml:space="preserve">НизСтойки</t>
  </si>
  <si>
    <t xml:space="preserve">ВысотаСтойки</t>
  </si>
  <si>
    <t xml:space="preserve">Зазор</t>
  </si>
  <si>
    <t xml:space="preserve">РядИзделия</t>
  </si>
  <si>
    <t xml:space="preserve">РядФасада</t>
  </si>
  <si>
    <t xml:space="preserve">ПоЦентрам</t>
  </si>
  <si>
    <t xml:space="preserve">ТипРядовСтоек</t>
  </si>
  <si>
    <t xml:space="preserve">ТипРядовЗаполнений</t>
  </si>
  <si>
    <t xml:space="preserve">ТипКреплений</t>
  </si>
  <si>
    <t xml:space="preserve">Подпорки</t>
  </si>
  <si>
    <t xml:space="preserve">Опоры</t>
  </si>
  <si>
    <t xml:space="preserve">Уровень ЧП</t>
  </si>
  <si>
    <t xml:space="preserve">Низ Окна</t>
  </si>
  <si>
    <t xml:space="preserve">РучкаотНизаОкна</t>
  </si>
  <si>
    <t xml:space="preserve">Ригель</t>
  </si>
  <si>
    <t xml:space="preserve">чп</t>
  </si>
  <si>
    <t xml:space="preserve">ОтЦентра</t>
  </si>
  <si>
    <t xml:space="preserve">низОкна</t>
  </si>
  <si>
    <t xml:space="preserve">ЛеваяСтойка</t>
  </si>
  <si>
    <t xml:space="preserve">ПраваяСтойка</t>
  </si>
  <si>
    <t xml:space="preserve">НомерИзделия</t>
  </si>
  <si>
    <t xml:space="preserve">с1</t>
  </si>
  <si>
    <t xml:space="preserve">ВН-24-К5(б)-1</t>
  </si>
  <si>
    <t xml:space="preserve">ВН-22-К5(б)-1</t>
  </si>
  <si>
    <t xml:space="preserve">ВН-23-К5(б)-1</t>
  </si>
  <si>
    <t xml:space="preserve">ВН-23-К5(б)-2</t>
  </si>
  <si>
    <t xml:space="preserve">ВН-22-К5(а)-1</t>
  </si>
  <si>
    <t xml:space="preserve">ВН-23-К5(а)-1</t>
  </si>
  <si>
    <t xml:space="preserve">ВН-23-К5(а)-2</t>
  </si>
  <si>
    <t xml:space="preserve">пп</t>
  </si>
  <si>
    <t xml:space="preserve">Изделие</t>
  </si>
  <si>
    <t xml:space="preserve">Этажи</t>
  </si>
  <si>
    <t xml:space="preserve">Кол-во изделий</t>
  </si>
  <si>
    <t xml:space="preserve">Чётные 2,4,…,28</t>
  </si>
  <si>
    <t xml:space="preserve">Нечётные 3,5,…,17,21,…,27</t>
  </si>
  <si>
    <t xml:space="preserve">Нечётные 29,31,…,37,41,…,55</t>
  </si>
  <si>
    <t xml:space="preserve">Чётные 30,32,…,56</t>
  </si>
  <si>
    <t xml:space="preserve">РядИзделий</t>
  </si>
  <si>
    <t xml:space="preserve">Количество</t>
  </si>
  <si>
    <t xml:space="preserve">Сумма - Количество</t>
  </si>
  <si>
    <t xml:space="preserve">Итог Результат</t>
  </si>
  <si>
    <t xml:space="preserve">Заполнения</t>
  </si>
  <si>
    <t xml:space="preserve">Термомосты</t>
  </si>
  <si>
    <t xml:space="preserve">Крепление ригеля</t>
  </si>
  <si>
    <t xml:space="preserve">Подставка</t>
  </si>
  <si>
    <t xml:space="preserve">Ряды опор</t>
  </si>
  <si>
    <t xml:space="preserve">Зап1</t>
  </si>
  <si>
    <t xml:space="preserve">Креп1</t>
  </si>
  <si>
    <t xml:space="preserve">Подпорка1</t>
  </si>
  <si>
    <t xml:space="preserve">т0</t>
  </si>
  <si>
    <t xml:space="preserve">ОпораМ</t>
  </si>
  <si>
    <t xml:space="preserve">Зап1_20</t>
  </si>
  <si>
    <t xml:space="preserve">Креп1_20</t>
  </si>
  <si>
    <t xml:space="preserve">Подпорка1_20</t>
  </si>
  <si>
    <t xml:space="preserve">тСтойка</t>
  </si>
  <si>
    <t xml:space="preserve">ОпораМ_Ус</t>
  </si>
  <si>
    <t xml:space="preserve">т13</t>
  </si>
  <si>
    <t xml:space="preserve">Опора1</t>
  </si>
  <si>
    <t xml:space="preserve">Зап2_57</t>
  </si>
  <si>
    <t xml:space="preserve">Креп2_57</t>
  </si>
  <si>
    <t xml:space="preserve">Подпорка2_57</t>
  </si>
  <si>
    <t xml:space="preserve">т24</t>
  </si>
  <si>
    <t xml:space="preserve">с4</t>
  </si>
  <si>
    <t xml:space="preserve">о2лев</t>
  </si>
  <si>
    <t xml:space="preserve">Опора1_20</t>
  </si>
  <si>
    <t xml:space="preserve">Межэтажка</t>
  </si>
  <si>
    <t xml:space="preserve">КрепМ</t>
  </si>
  <si>
    <t xml:space="preserve">т1</t>
  </si>
  <si>
    <t xml:space="preserve">с2ус</t>
  </si>
  <si>
    <t xml:space="preserve">Опора1_40</t>
  </si>
  <si>
    <t xml:space="preserve">Базовый</t>
  </si>
  <si>
    <t xml:space="preserve">КрепМ_Ус</t>
  </si>
  <si>
    <t xml:space="preserve">пл2_Подпорка1</t>
  </si>
  <si>
    <t xml:space="preserve">т2</t>
  </si>
  <si>
    <t xml:space="preserve">с6</t>
  </si>
  <si>
    <t xml:space="preserve">пл2_Подпорка2</t>
  </si>
  <si>
    <t xml:space="preserve">т3</t>
  </si>
  <si>
    <t xml:space="preserve">с7</t>
  </si>
  <si>
    <t xml:space="preserve">Термомост</t>
  </si>
  <si>
    <t xml:space="preserve">пл2_Подпорка2_57</t>
  </si>
  <si>
    <t xml:space="preserve">т4</t>
  </si>
  <si>
    <t xml:space="preserve">с80</t>
  </si>
  <si>
    <t xml:space="preserve">Опора2_57</t>
  </si>
  <si>
    <t xml:space="preserve">пл2_Зап1</t>
  </si>
  <si>
    <t xml:space="preserve">пл2_Креп1</t>
  </si>
  <si>
    <t xml:space="preserve">о3прав</t>
  </si>
  <si>
    <t xml:space="preserve">1а</t>
  </si>
  <si>
    <t xml:space="preserve">пл2_Зап2</t>
  </si>
  <si>
    <t xml:space="preserve">пл2_Креп2</t>
  </si>
  <si>
    <t xml:space="preserve">пл2_Зап2_57</t>
  </si>
  <si>
    <t xml:space="preserve">пл2_КрепМ</t>
  </si>
  <si>
    <t xml:space="preserve">о5</t>
  </si>
  <si>
    <t xml:space="preserve">пл2_Межэтажка</t>
  </si>
  <si>
    <t xml:space="preserve">пл2_КрепМУс</t>
  </si>
  <si>
    <t xml:space="preserve">о4лев</t>
  </si>
  <si>
    <t xml:space="preserve">пл2_Базовый</t>
  </si>
  <si>
    <t xml:space="preserve">o4прав</t>
  </si>
  <si>
    <t xml:space="preserve">пл2_ЗапНизВерх</t>
  </si>
  <si>
    <t xml:space="preserve">Тип 8</t>
  </si>
  <si>
    <t xml:space="preserve">7б</t>
  </si>
  <si>
    <t xml:space="preserve">ххх</t>
  </si>
  <si>
    <t xml:space="preserve">СН</t>
  </si>
  <si>
    <t xml:space="preserve">Лист 1 мм</t>
  </si>
  <si>
    <t xml:space="preserve">Продлить</t>
  </si>
  <si>
    <t xml:space="preserve">НВС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</si>
</sst>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  <font>
      <sz val="10"/>
      <name val="Times New Roman"/>
      <family val="1"/>
      <charset val="204"/>
    </font>
    <font>
      <b val="true"/>
      <i val="true"/>
      <sz val="1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rgb="FFDDDDDD"/>
        <bgColor rgb="FFDEDCE6"/>
      </patternFill>
    </fill>
    <fill>
      <patternFill patternType="solid">
        <fgColor rgb="FFDEE6EF"/>
        <bgColor rgb="FFDEDCE6"/>
      </patternFill>
    </fill>
    <fill>
      <patternFill patternType="solid">
        <fgColor rgb="FFDEDCE6"/>
        <bgColor rgb="FFDDDDDD"/>
      </patternFill>
    </fill>
    <fill>
      <patternFill patternType="solid">
        <fgColor rgb="FFFFF5CE"/>
        <bgColor rgb="FFEEEEEE"/>
      </patternFill>
    </fill>
    <fill>
      <patternFill patternType="solid">
        <fgColor rgb="FF81ACA6"/>
        <bgColor rgb="FF999999"/>
      </patternFill>
    </fill>
    <fill>
      <patternFill patternType="solid">
        <fgColor rgb="FF999999"/>
        <bgColor rgb="FF8E86AE"/>
      </patternFill>
    </fill>
    <fill>
      <patternFill patternType="solid">
        <fgColor rgb="FFFFD7D7"/>
        <bgColor rgb="FFDEDCE6"/>
      </patternFill>
    </fill>
    <fill>
      <patternFill patternType="solid">
        <fgColor rgb="FFFFFF38"/>
        <bgColor rgb="FFFFFF00"/>
      </patternFill>
    </fill>
    <fill>
      <patternFill patternType="solid">
        <fgColor rgb="FFEEEEEE"/>
        <bgColor rgb="FFDEE6EF"/>
      </patternFill>
    </fill>
    <fill>
      <patternFill patternType="solid">
        <fgColor rgb="FF468A1A"/>
        <bgColor rgb="FF5EB91E"/>
      </patternFill>
    </fill>
    <fill>
      <patternFill patternType="solid">
        <fgColor rgb="FFFF5429"/>
        <bgColor rgb="FFFF3838"/>
      </patternFill>
    </fill>
    <fill>
      <patternFill patternType="solid">
        <fgColor rgb="FF5EB91E"/>
        <bgColor rgb="FF81D41A"/>
      </patternFill>
    </fill>
    <fill>
      <patternFill patternType="solid">
        <fgColor rgb="FF3465A4"/>
        <bgColor rgb="FF3366FF"/>
      </patternFill>
    </fill>
    <fill>
      <patternFill patternType="solid">
        <fgColor rgb="FFFF3838"/>
        <bgColor rgb="FFFF5429"/>
      </patternFill>
    </fill>
    <fill>
      <patternFill patternType="solid">
        <fgColor rgb="FFFFB66C"/>
        <bgColor rgb="FFFFAA95"/>
      </patternFill>
    </fill>
    <fill>
      <patternFill patternType="solid">
        <fgColor rgb="FF81D41A"/>
        <bgColor rgb="FF5EB91E"/>
      </patternFill>
    </fill>
    <fill>
      <patternFill patternType="solid">
        <fgColor rgb="FFB4C7DC"/>
        <bgColor rgb="FFB3CAC7"/>
      </patternFill>
    </fill>
    <fill>
      <patternFill patternType="solid">
        <fgColor rgb="FF8E86AE"/>
        <bgColor rgb="FF999999"/>
      </patternFill>
    </fill>
    <fill>
      <patternFill patternType="solid">
        <fgColor rgb="FF00A933"/>
        <bgColor rgb="FF008080"/>
      </patternFill>
    </fill>
    <fill>
      <patternFill patternType="solid">
        <fgColor rgb="FFFFAA95"/>
        <bgColor rgb="FFFFB66C"/>
      </patternFill>
    </fill>
    <fill>
      <patternFill patternType="solid">
        <fgColor rgb="FFFFFF00"/>
        <bgColor rgb="FFFFFF38"/>
      </patternFill>
    </fill>
    <fill>
      <patternFill patternType="solid">
        <fgColor rgb="FFBBE33D"/>
        <bgColor rgb="FF81D41A"/>
      </patternFill>
    </fill>
    <fill>
      <patternFill patternType="solid">
        <fgColor rgb="FFBF819E"/>
        <bgColor rgb="FF8E86AE"/>
      </patternFill>
    </fill>
    <fill>
      <patternFill patternType="solid">
        <fgColor rgb="FFB3CAC7"/>
        <bgColor rgb="FFB4C7D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14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2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17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4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5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25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15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Заглавие сводной таблицы" xfId="20"/>
    <cellStyle name="Значение сводной таблицы" xfId="21"/>
    <cellStyle name="Категория сводной таблицы" xfId="22"/>
    <cellStyle name="Поле сводной таблицы" xfId="23"/>
    <cellStyle name="Результат сводной таблицы" xfId="24"/>
    <cellStyle name="Угол сводной таблицы" xfId="25"/>
  </cellStyles>
  <dxfs count="25">
    <dxf>
      <fill>
        <patternFill patternType="solid">
          <fgColor rgb="FFDDDDDD"/>
          <bgColor rgb="FF000000"/>
        </patternFill>
      </fill>
    </dxf>
    <dxf>
      <fill>
        <patternFill patternType="solid">
          <fgColor rgb="FFDEE6EF"/>
          <bgColor rgb="FF000000"/>
        </patternFill>
      </fill>
    </dxf>
    <dxf>
      <fill>
        <patternFill patternType="solid">
          <fgColor rgb="FFFFF5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EDCE6"/>
          <bgColor rgb="FF000000"/>
        </patternFill>
      </fill>
    </dxf>
    <dxf>
      <fill>
        <patternFill patternType="solid">
          <fgColor rgb="FF5EB91E"/>
          <bgColor rgb="FF000000"/>
        </patternFill>
      </fill>
    </dxf>
    <dxf>
      <fill>
        <patternFill patternType="solid">
          <fgColor rgb="FF81ACA6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FFD7D7"/>
          <bgColor rgb="FF000000"/>
        </patternFill>
      </fill>
    </dxf>
    <dxf>
      <fill>
        <patternFill patternType="solid">
          <fgColor rgb="FF3465A4"/>
          <bgColor rgb="FF000000"/>
        </patternFill>
      </fill>
    </dxf>
    <dxf>
      <fill>
        <patternFill patternType="solid">
          <fgColor rgb="FF468A1A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FFFF38"/>
          <bgColor rgb="FF000000"/>
        </patternFill>
      </fill>
    </dxf>
    <dxf>
      <fill>
        <patternFill patternType="solid">
          <fgColor rgb="FFFF5429"/>
          <bgColor rgb="FF000000"/>
        </patternFill>
      </fill>
    </dxf>
    <dxf>
      <fill>
        <patternFill patternType="solid">
          <fgColor rgb="FFFF3838"/>
          <bgColor rgb="FF000000"/>
        </patternFill>
      </fill>
    </dxf>
    <dxf>
      <fill>
        <patternFill patternType="solid">
          <fgColor rgb="FFFFB66C"/>
          <bgColor rgb="FF000000"/>
        </patternFill>
      </fill>
    </dxf>
    <dxf>
      <fill>
        <patternFill patternType="solid">
          <fgColor rgb="FFB4C7DC"/>
          <bgColor rgb="FF000000"/>
        </patternFill>
      </fill>
    </dxf>
    <dxf>
      <fill>
        <patternFill patternType="solid">
          <fgColor rgb="FF8E86AE"/>
          <bgColor rgb="FF000000"/>
        </patternFill>
      </fill>
    </dxf>
    <dxf>
      <fill>
        <patternFill patternType="solid">
          <fgColor rgb="FF00A933"/>
          <bgColor rgb="FF000000"/>
        </patternFill>
      </fill>
    </dxf>
    <dxf>
      <fill>
        <patternFill patternType="solid">
          <fgColor rgb="FF81D41A"/>
          <bgColor rgb="FF000000"/>
        </patternFill>
      </fill>
    </dxf>
    <dxf>
      <fill>
        <patternFill patternType="solid">
          <fgColor rgb="FFFFAA95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B3CAC7"/>
          <bgColor rgb="FF000000"/>
        </patternFill>
      </fill>
    </dxf>
    <dxf>
      <fill>
        <patternFill patternType="solid">
          <fgColor rgb="FFBBE33D"/>
          <bgColor rgb="FF000000"/>
        </patternFill>
      </fill>
    </dxf>
    <dxf>
      <fill>
        <patternFill patternType="solid">
          <fgColor rgb="FFBF819E"/>
          <bgColor rgb="FF000000"/>
        </patternFill>
      </fill>
    </dxf>
  </dxfs>
  <colors>
    <indexedColors>
      <rgbColor rgb="FF000000"/>
      <rgbColor rgb="FFEEEEEE"/>
      <rgbColor rgb="FFFF3838"/>
      <rgbColor rgb="FF00FF00"/>
      <rgbColor rgb="FF0000FF"/>
      <rgbColor rgb="FFFFFF00"/>
      <rgbColor rgb="FFFF00FF"/>
      <rgbColor rgb="FF00FFFF"/>
      <rgbColor rgb="FF800000"/>
      <rgbColor rgb="FF00A933"/>
      <rgbColor rgb="FF000080"/>
      <rgbColor rgb="FF5EB91E"/>
      <rgbColor rgb="FF800080"/>
      <rgbColor rgb="FF008080"/>
      <rgbColor rgb="FFB3CAC7"/>
      <rgbColor rgb="FF8E86AE"/>
      <rgbColor rgb="FF81ACA6"/>
      <rgbColor rgb="FF993366"/>
      <rgbColor rgb="FFFFF5CE"/>
      <rgbColor rgb="FFDEE6EF"/>
      <rgbColor rgb="FF660066"/>
      <rgbColor rgb="FFBF819E"/>
      <rgbColor rgb="FF0066CC"/>
      <rgbColor rgb="FFDEDCE6"/>
      <rgbColor rgb="FF000080"/>
      <rgbColor rgb="FFFF00FF"/>
      <rgbColor rgb="FFFFFF38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BBE33D"/>
      <rgbColor rgb="FFB4C7DC"/>
      <rgbColor rgb="FFFFAA95"/>
      <rgbColor rgb="FFCC99FF"/>
      <rgbColor rgb="FFFFD7D7"/>
      <rgbColor rgb="FF3366FF"/>
      <rgbColor rgb="FF33CCCC"/>
      <rgbColor rgb="FF81D41A"/>
      <rgbColor rgb="FFFFB66C"/>
      <rgbColor rgb="FFFF9900"/>
      <rgbColor rgb="FFFF5429"/>
      <rgbColor rgb="FF3465A4"/>
      <rgbColor rgb="FF999999"/>
      <rgbColor rgb="FF003366"/>
      <rgbColor rgb="FF468A1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<Relationship Id="rId15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6" createdVersion="3">
  <cacheSource type="worksheet">
    <worksheetSource ref="A1:D57" sheet="Подсчёт изделий3"/>
  </cacheSource>
  <cacheFields count="4">
    <cacheField name="РядИзделий" numFmtId="0">
      <sharedItems containsSemiMixedTypes="0" containsString="0" containsNumber="1" containsInteger="1" minValue="1" maxValue="1" count="1">
        <n v="1"/>
      </sharedItems>
    </cacheField>
    <cacheField name="Этаж" numFmtId="0">
      <sharedItems containsSemiMixedTypes="0" containsString="0" containsNumber="1" containsInteger="1" minValue="2" maxValue="57" count="56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</sharedItems>
    </cacheField>
    <cacheField name="Изделие" numFmtId="0">
      <sharedItems count="7">
        <s v="ВН-22-К5(а)-1"/>
        <s v="ВН-22-К5(б)-1"/>
        <s v="ВН-23-К5(а)-1"/>
        <s v="ВН-23-К5(а)-2"/>
        <s v="ВН-23-К5(б)-1"/>
        <s v="ВН-23-К5(б)-2"/>
        <s v="ВН-24-К5(б)-1"/>
      </sharedItems>
    </cacheField>
    <cacheField name="Количество" numFmtId="0">
      <sharedItems containsSemiMixedTypes="0" containsString="0" containsNumber="1" containsInteger="1" minValue="1" maxValue="1" count="1"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6">
  <r>
    <x v="0"/>
    <x v="55"/>
    <x v="6"/>
    <x v="0"/>
  </r>
  <r>
    <x v="0"/>
    <x v="54"/>
    <x v="1"/>
    <x v="0"/>
  </r>
  <r>
    <x v="0"/>
    <x v="53"/>
    <x v="4"/>
    <x v="0"/>
  </r>
  <r>
    <x v="0"/>
    <x v="52"/>
    <x v="1"/>
    <x v="0"/>
  </r>
  <r>
    <x v="0"/>
    <x v="51"/>
    <x v="4"/>
    <x v="0"/>
  </r>
  <r>
    <x v="0"/>
    <x v="50"/>
    <x v="1"/>
    <x v="0"/>
  </r>
  <r>
    <x v="0"/>
    <x v="49"/>
    <x v="4"/>
    <x v="0"/>
  </r>
  <r>
    <x v="0"/>
    <x v="48"/>
    <x v="1"/>
    <x v="0"/>
  </r>
  <r>
    <x v="0"/>
    <x v="47"/>
    <x v="4"/>
    <x v="0"/>
  </r>
  <r>
    <x v="0"/>
    <x v="46"/>
    <x v="1"/>
    <x v="0"/>
  </r>
  <r>
    <x v="0"/>
    <x v="45"/>
    <x v="4"/>
    <x v="0"/>
  </r>
  <r>
    <x v="0"/>
    <x v="44"/>
    <x v="1"/>
    <x v="0"/>
  </r>
  <r>
    <x v="0"/>
    <x v="43"/>
    <x v="4"/>
    <x v="0"/>
  </r>
  <r>
    <x v="0"/>
    <x v="42"/>
    <x v="1"/>
    <x v="0"/>
  </r>
  <r>
    <x v="0"/>
    <x v="41"/>
    <x v="4"/>
    <x v="0"/>
  </r>
  <r>
    <x v="0"/>
    <x v="40"/>
    <x v="1"/>
    <x v="0"/>
  </r>
  <r>
    <x v="0"/>
    <x v="39"/>
    <x v="4"/>
    <x v="0"/>
  </r>
  <r>
    <x v="0"/>
    <x v="38"/>
    <x v="1"/>
    <x v="0"/>
  </r>
  <r>
    <x v="0"/>
    <x v="37"/>
    <x v="5"/>
    <x v="0"/>
  </r>
  <r>
    <x v="0"/>
    <x v="36"/>
    <x v="1"/>
    <x v="0"/>
  </r>
  <r>
    <x v="0"/>
    <x v="35"/>
    <x v="4"/>
    <x v="0"/>
  </r>
  <r>
    <x v="0"/>
    <x v="34"/>
    <x v="1"/>
    <x v="0"/>
  </r>
  <r>
    <x v="0"/>
    <x v="33"/>
    <x v="4"/>
    <x v="0"/>
  </r>
  <r>
    <x v="0"/>
    <x v="32"/>
    <x v="1"/>
    <x v="0"/>
  </r>
  <r>
    <x v="0"/>
    <x v="31"/>
    <x v="4"/>
    <x v="0"/>
  </r>
  <r>
    <x v="0"/>
    <x v="30"/>
    <x v="1"/>
    <x v="0"/>
  </r>
  <r>
    <x v="0"/>
    <x v="29"/>
    <x v="4"/>
    <x v="0"/>
  </r>
  <r>
    <x v="0"/>
    <x v="28"/>
    <x v="1"/>
    <x v="0"/>
  </r>
  <r>
    <x v="0"/>
    <x v="27"/>
    <x v="4"/>
    <x v="0"/>
  </r>
  <r>
    <x v="0"/>
    <x v="26"/>
    <x v="0"/>
    <x v="0"/>
  </r>
  <r>
    <x v="0"/>
    <x v="25"/>
    <x v="2"/>
    <x v="0"/>
  </r>
  <r>
    <x v="0"/>
    <x v="24"/>
    <x v="0"/>
    <x v="0"/>
  </r>
  <r>
    <x v="0"/>
    <x v="23"/>
    <x v="2"/>
    <x v="0"/>
  </r>
  <r>
    <x v="0"/>
    <x v="22"/>
    <x v="0"/>
    <x v="0"/>
  </r>
  <r>
    <x v="0"/>
    <x v="21"/>
    <x v="2"/>
    <x v="0"/>
  </r>
  <r>
    <x v="0"/>
    <x v="20"/>
    <x v="0"/>
    <x v="0"/>
  </r>
  <r>
    <x v="0"/>
    <x v="19"/>
    <x v="2"/>
    <x v="0"/>
  </r>
  <r>
    <x v="0"/>
    <x v="18"/>
    <x v="0"/>
    <x v="0"/>
  </r>
  <r>
    <x v="0"/>
    <x v="17"/>
    <x v="3"/>
    <x v="0"/>
  </r>
  <r>
    <x v="0"/>
    <x v="16"/>
    <x v="0"/>
    <x v="0"/>
  </r>
  <r>
    <x v="0"/>
    <x v="15"/>
    <x v="2"/>
    <x v="0"/>
  </r>
  <r>
    <x v="0"/>
    <x v="14"/>
    <x v="0"/>
    <x v="0"/>
  </r>
  <r>
    <x v="0"/>
    <x v="13"/>
    <x v="2"/>
    <x v="0"/>
  </r>
  <r>
    <x v="0"/>
    <x v="12"/>
    <x v="0"/>
    <x v="0"/>
  </r>
  <r>
    <x v="0"/>
    <x v="11"/>
    <x v="2"/>
    <x v="0"/>
  </r>
  <r>
    <x v="0"/>
    <x v="10"/>
    <x v="0"/>
    <x v="0"/>
  </r>
  <r>
    <x v="0"/>
    <x v="9"/>
    <x v="2"/>
    <x v="0"/>
  </r>
  <r>
    <x v="0"/>
    <x v="8"/>
    <x v="0"/>
    <x v="0"/>
  </r>
  <r>
    <x v="0"/>
    <x v="7"/>
    <x v="2"/>
    <x v="0"/>
  </r>
  <r>
    <x v="0"/>
    <x v="6"/>
    <x v="0"/>
    <x v="0"/>
  </r>
  <r>
    <x v="0"/>
    <x v="5"/>
    <x v="2"/>
    <x v="0"/>
  </r>
  <r>
    <x v="0"/>
    <x v="4"/>
    <x v="0"/>
    <x v="0"/>
  </r>
  <r>
    <x v="0"/>
    <x v="3"/>
    <x v="2"/>
    <x v="0"/>
  </r>
  <r>
    <x v="0"/>
    <x v="2"/>
    <x v="0"/>
    <x v="0"/>
  </r>
  <r>
    <x v="0"/>
    <x v="1"/>
    <x v="2"/>
    <x v="0"/>
  </r>
  <r>
    <x v="0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9" firstHeaderRow="1" firstDataRow="1" firstDataCol="1"/>
  <pivotFields count="4">
    <pivotField compact="0" showAll="0"/>
    <pivotField compact="0" showAll="0"/>
    <pivotField axis="axisRow" compact="0" showAll="0" defaultSubtotal="0" outline="0">
      <items count="7">
        <item x="0"/>
        <item x="1"/>
        <item x="2"/>
        <item x="3"/>
        <item x="4"/>
        <item x="5"/>
        <item x="6"/>
      </items>
    </pivotField>
    <pivotField dataField="1" compact="0" showAll="0" outline="0"/>
  </pivotFields>
  <rowFields count="1">
    <field x="2"/>
  </rowFields>
  <rowItems count="8">
    <i>
      <x v="0"/>
    </i>
    <i>
      <x v="1"/>
    </i>
    <i>
      <x v="2"/>
    </i>
    <i>
      <x v="3"/>
    </i>
    <i>
      <x v="4"/>
    </i>
    <i>
      <x v="5"/>
    </i>
    <i>
      <x v="6"/>
    </i>
    <i t="grand">
      <x v="7"/>
    </i>
  </rowItems>
  <colItems count="1">
    <i t="grand">
      <x v="0"/>
    </i>
  </colItems>
  <dataFields count="1">
    <dataField name="Сумма - Количество" fld="3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71"/>
  <sheetViews>
    <sheetView showFormulas="false" showGridLines="true" showRowColHeaders="true" showZeros="true" rightToLeft="false" tabSelected="false" showOutlineSymbols="true" defaultGridColor="true" view="normal" topLeftCell="A46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8" min="8" style="1" width="11.53"/>
  </cols>
  <sheetData>
    <row r="1" customFormat="false" ht="12.8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</row>
    <row r="2" customFormat="false" ht="12.8" hidden="false" customHeight="false" outlineLevel="0" collapsed="false">
      <c r="B2" s="4" t="s">
        <v>6</v>
      </c>
      <c r="C2" s="5" t="n">
        <v>2</v>
      </c>
      <c r="D2" s="6" t="n">
        <v>1</v>
      </c>
      <c r="E2" s="6" t="n">
        <v>0</v>
      </c>
      <c r="F2" s="6" t="n">
        <f aca="false">E2</f>
        <v>0</v>
      </c>
      <c r="G2" s="6"/>
    </row>
    <row r="3" customFormat="false" ht="12.8" hidden="false" customHeight="false" outlineLevel="0" collapsed="false">
      <c r="B3" s="4" t="s">
        <v>6</v>
      </c>
      <c r="C3" s="5" t="n">
        <v>2</v>
      </c>
      <c r="D3" s="6" t="n">
        <v>2</v>
      </c>
      <c r="E3" s="6" t="n">
        <f aca="false">700+560</f>
        <v>1260</v>
      </c>
      <c r="F3" s="6" t="n">
        <f aca="false">F2+E3</f>
        <v>1260</v>
      </c>
      <c r="G3" s="6"/>
    </row>
    <row r="4" customFormat="false" ht="12.8" hidden="false" customHeight="false" outlineLevel="0" collapsed="false">
      <c r="B4" s="4" t="s">
        <v>6</v>
      </c>
      <c r="C4" s="5" t="n">
        <v>2</v>
      </c>
      <c r="D4" s="6" t="n">
        <v>3</v>
      </c>
      <c r="E4" s="6" t="n">
        <v>600</v>
      </c>
      <c r="F4" s="6" t="n">
        <f aca="false">F3+E4</f>
        <v>1860</v>
      </c>
      <c r="G4" s="7"/>
    </row>
    <row r="5" customFormat="false" ht="12.8" hidden="false" customHeight="false" outlineLevel="0" collapsed="false">
      <c r="B5" s="4" t="s">
        <v>6</v>
      </c>
      <c r="C5" s="5" t="n">
        <v>2</v>
      </c>
      <c r="D5" s="6" t="n">
        <v>4</v>
      </c>
      <c r="E5" s="6" t="n">
        <v>1430</v>
      </c>
      <c r="F5" s="6" t="n">
        <f aca="false">F4+E5</f>
        <v>3290</v>
      </c>
      <c r="G5" s="6"/>
    </row>
    <row r="6" customFormat="false" ht="12.8" hidden="false" customHeight="false" outlineLevel="0" collapsed="false">
      <c r="B6" s="4" t="s">
        <v>6</v>
      </c>
      <c r="C6" s="5" t="n">
        <v>2</v>
      </c>
      <c r="D6" s="6" t="n">
        <v>5</v>
      </c>
      <c r="E6" s="6" t="n">
        <v>1770</v>
      </c>
      <c r="F6" s="6" t="n">
        <f aca="false">F5+E6</f>
        <v>5060</v>
      </c>
      <c r="G6" s="6" t="n">
        <v>1</v>
      </c>
    </row>
    <row r="7" customFormat="false" ht="12.8" hidden="false" customHeight="false" outlineLevel="0" collapsed="false">
      <c r="B7" s="4" t="s">
        <v>6</v>
      </c>
      <c r="C7" s="5" t="n">
        <v>2</v>
      </c>
      <c r="D7" s="6" t="n">
        <v>6</v>
      </c>
      <c r="E7" s="6" t="n">
        <v>600</v>
      </c>
      <c r="F7" s="6" t="n">
        <f aca="false">F6+E7</f>
        <v>5660</v>
      </c>
      <c r="G7" s="7"/>
    </row>
    <row r="8" customFormat="false" ht="12.8" hidden="false" customHeight="false" outlineLevel="0" collapsed="false">
      <c r="B8" s="4" t="s">
        <v>6</v>
      </c>
      <c r="C8" s="5" t="n">
        <v>2</v>
      </c>
      <c r="D8" s="6" t="n">
        <v>7</v>
      </c>
      <c r="E8" s="6" t="n">
        <v>1330</v>
      </c>
      <c r="F8" s="6" t="n">
        <f aca="false">F7+E8</f>
        <v>6990</v>
      </c>
      <c r="G8" s="6"/>
      <c r="H8" s="8" t="s">
        <v>7</v>
      </c>
    </row>
    <row r="9" customFormat="false" ht="12.8" hidden="false" customHeight="false" outlineLevel="0" collapsed="false">
      <c r="B9" s="4" t="s">
        <v>6</v>
      </c>
      <c r="C9" s="5" t="n">
        <v>2</v>
      </c>
      <c r="D9" s="6" t="n">
        <v>8</v>
      </c>
      <c r="E9" s="6" t="n">
        <v>1470</v>
      </c>
      <c r="F9" s="6" t="n">
        <f aca="false">F8+E9</f>
        <v>8460</v>
      </c>
      <c r="G9" s="6" t="n">
        <v>1</v>
      </c>
    </row>
    <row r="10" customFormat="false" ht="12.8" hidden="false" customHeight="false" outlineLevel="0" collapsed="false">
      <c r="B10" s="4" t="s">
        <v>6</v>
      </c>
      <c r="C10" s="5" t="n">
        <v>2</v>
      </c>
      <c r="D10" s="6" t="n">
        <v>9</v>
      </c>
      <c r="E10" s="6" t="n">
        <v>600</v>
      </c>
      <c r="F10" s="6" t="n">
        <f aca="false">F9+E10</f>
        <v>9060</v>
      </c>
      <c r="G10" s="7"/>
    </row>
    <row r="11" customFormat="false" ht="12.8" hidden="false" customHeight="false" outlineLevel="0" collapsed="false">
      <c r="B11" s="4" t="s">
        <v>6</v>
      </c>
      <c r="C11" s="5" t="n">
        <v>2</v>
      </c>
      <c r="D11" s="6" t="n">
        <v>10</v>
      </c>
      <c r="E11" s="6" t="n">
        <v>1330</v>
      </c>
      <c r="F11" s="6" t="n">
        <f aca="false">F10+E11</f>
        <v>10390</v>
      </c>
      <c r="G11" s="6"/>
    </row>
    <row r="12" customFormat="false" ht="12.8" hidden="false" customHeight="false" outlineLevel="0" collapsed="false">
      <c r="B12" s="4" t="s">
        <v>6</v>
      </c>
      <c r="C12" s="5" t="n">
        <v>2</v>
      </c>
      <c r="D12" s="6" t="n">
        <v>11</v>
      </c>
      <c r="E12" s="6" t="n">
        <v>1470</v>
      </c>
      <c r="F12" s="6" t="n">
        <f aca="false">F11+E12</f>
        <v>11860</v>
      </c>
      <c r="G12" s="6" t="n">
        <v>1</v>
      </c>
    </row>
    <row r="13" customFormat="false" ht="12.8" hidden="false" customHeight="false" outlineLevel="0" collapsed="false">
      <c r="B13" s="4" t="s">
        <v>6</v>
      </c>
      <c r="C13" s="5" t="n">
        <v>2</v>
      </c>
      <c r="D13" s="6" t="n">
        <v>12</v>
      </c>
      <c r="E13" s="6" t="n">
        <v>600</v>
      </c>
      <c r="F13" s="6" t="n">
        <f aca="false">F12+E13</f>
        <v>12460</v>
      </c>
      <c r="G13" s="7"/>
    </row>
    <row r="14" customFormat="false" ht="12.8" hidden="false" customHeight="false" outlineLevel="0" collapsed="false">
      <c r="B14" s="4" t="s">
        <v>6</v>
      </c>
      <c r="C14" s="5" t="n">
        <v>2</v>
      </c>
      <c r="D14" s="6" t="n">
        <v>13</v>
      </c>
      <c r="E14" s="6" t="n">
        <v>1330</v>
      </c>
      <c r="F14" s="6" t="n">
        <f aca="false">F13+E14</f>
        <v>13790</v>
      </c>
      <c r="G14" s="6"/>
      <c r="H14" s="9" t="s">
        <v>8</v>
      </c>
    </row>
    <row r="15" customFormat="false" ht="12.8" hidden="false" customHeight="false" outlineLevel="0" collapsed="false">
      <c r="B15" s="4" t="s">
        <v>6</v>
      </c>
      <c r="C15" s="5" t="n">
        <v>2</v>
      </c>
      <c r="D15" s="6" t="n">
        <v>14</v>
      </c>
      <c r="E15" s="6" t="n">
        <v>2550</v>
      </c>
      <c r="F15" s="6" t="n">
        <f aca="false">F14+E15</f>
        <v>16340</v>
      </c>
      <c r="G15" s="6" t="n">
        <v>1</v>
      </c>
      <c r="H15" s="9" t="s">
        <v>9</v>
      </c>
    </row>
    <row r="16" customFormat="false" ht="12.8" hidden="false" customHeight="false" outlineLevel="0" collapsed="false">
      <c r="B16" s="4" t="s">
        <v>6</v>
      </c>
      <c r="C16" s="5" t="n">
        <v>2</v>
      </c>
      <c r="D16" s="6" t="n">
        <v>15</v>
      </c>
      <c r="E16" s="6" t="n">
        <v>600</v>
      </c>
      <c r="F16" s="6" t="n">
        <f aca="false">F15+E16</f>
        <v>16940</v>
      </c>
      <c r="G16" s="7"/>
      <c r="I16" s="6"/>
    </row>
    <row r="17" customFormat="false" ht="12.8" hidden="false" customHeight="false" outlineLevel="0" collapsed="false">
      <c r="B17" s="4" t="s">
        <v>6</v>
      </c>
      <c r="C17" s="5" t="n">
        <v>2</v>
      </c>
      <c r="D17" s="6" t="n">
        <v>16</v>
      </c>
      <c r="E17" s="6" t="n">
        <v>1350</v>
      </c>
      <c r="F17" s="6" t="n">
        <f aca="false">F16+E17</f>
        <v>18290</v>
      </c>
      <c r="G17" s="6"/>
    </row>
    <row r="18" customFormat="false" ht="12.8" hidden="false" customHeight="false" outlineLevel="0" collapsed="false">
      <c r="B18" s="4" t="s">
        <v>6</v>
      </c>
      <c r="C18" s="5" t="n">
        <v>2</v>
      </c>
      <c r="D18" s="6" t="n">
        <v>17</v>
      </c>
      <c r="E18" s="6" t="n">
        <v>1770</v>
      </c>
      <c r="F18" s="6" t="n">
        <f aca="false">F17+E18</f>
        <v>20060</v>
      </c>
      <c r="G18" s="6" t="n">
        <v>1</v>
      </c>
    </row>
    <row r="19" customFormat="false" ht="12.8" hidden="false" customHeight="false" outlineLevel="0" collapsed="false">
      <c r="B19" s="4" t="s">
        <v>6</v>
      </c>
      <c r="C19" s="5" t="n">
        <v>2</v>
      </c>
      <c r="D19" s="6" t="n">
        <v>18</v>
      </c>
      <c r="E19" s="6" t="n">
        <v>600</v>
      </c>
      <c r="F19" s="6" t="n">
        <f aca="false">F18+E19</f>
        <v>20660</v>
      </c>
      <c r="G19" s="7"/>
    </row>
    <row r="20" customFormat="false" ht="12.8" hidden="false" customHeight="false" outlineLevel="0" collapsed="false">
      <c r="B20" s="4" t="s">
        <v>6</v>
      </c>
      <c r="C20" s="5" t="n">
        <v>2</v>
      </c>
      <c r="D20" s="6" t="n">
        <v>19</v>
      </c>
      <c r="E20" s="6" t="n">
        <v>1580</v>
      </c>
      <c r="F20" s="6" t="n">
        <f aca="false">F19+E20</f>
        <v>22240</v>
      </c>
      <c r="G20" s="6"/>
      <c r="H20" s="8" t="s">
        <v>10</v>
      </c>
    </row>
    <row r="21" customFormat="false" ht="12.8" hidden="false" customHeight="false" outlineLevel="0" collapsed="false">
      <c r="B21" s="4" t="s">
        <v>6</v>
      </c>
      <c r="C21" s="5" t="n">
        <v>2</v>
      </c>
      <c r="D21" s="6" t="n">
        <v>20</v>
      </c>
      <c r="E21" s="6" t="n">
        <v>1020</v>
      </c>
      <c r="F21" s="6" t="n">
        <f aca="false">F20+E21</f>
        <v>23260</v>
      </c>
      <c r="G21" s="6" t="n">
        <v>1</v>
      </c>
    </row>
    <row r="22" customFormat="false" ht="12.8" hidden="false" customHeight="false" outlineLevel="0" collapsed="false">
      <c r="B22" s="4" t="s">
        <v>6</v>
      </c>
      <c r="C22" s="5" t="n">
        <v>2</v>
      </c>
      <c r="D22" s="6" t="n">
        <v>21</v>
      </c>
      <c r="E22" s="6" t="n">
        <v>600</v>
      </c>
      <c r="F22" s="6" t="n">
        <f aca="false">F21+E22</f>
        <v>23860</v>
      </c>
      <c r="G22" s="7"/>
    </row>
    <row r="23" customFormat="false" ht="12.8" hidden="false" customHeight="false" outlineLevel="0" collapsed="false">
      <c r="B23" s="4" t="s">
        <v>6</v>
      </c>
      <c r="C23" s="5" t="n">
        <v>2</v>
      </c>
      <c r="D23" s="6" t="n">
        <v>22</v>
      </c>
      <c r="E23" s="6" t="n">
        <v>1480</v>
      </c>
      <c r="F23" s="6" t="n">
        <f aca="false">F22+E23</f>
        <v>25340</v>
      </c>
      <c r="G23" s="6"/>
    </row>
    <row r="24" customFormat="false" ht="12.8" hidden="false" customHeight="false" outlineLevel="0" collapsed="false">
      <c r="B24" s="4" t="s">
        <v>6</v>
      </c>
      <c r="C24" s="5" t="n">
        <v>2</v>
      </c>
      <c r="D24" s="6" t="n">
        <v>23</v>
      </c>
      <c r="E24" s="6" t="n">
        <v>1470</v>
      </c>
      <c r="F24" s="6" t="n">
        <f aca="false">F23+E24</f>
        <v>26810</v>
      </c>
      <c r="G24" s="6"/>
      <c r="H24" s="9" t="s">
        <v>11</v>
      </c>
    </row>
    <row r="25" customFormat="false" ht="12.8" hidden="false" customHeight="false" outlineLevel="0" collapsed="false">
      <c r="B25" s="4" t="s">
        <v>6</v>
      </c>
      <c r="C25" s="5" t="n">
        <v>2</v>
      </c>
      <c r="D25" s="6" t="n">
        <v>24</v>
      </c>
      <c r="E25" s="6" t="n">
        <v>1330</v>
      </c>
      <c r="F25" s="6" t="n">
        <f aca="false">F24+E25</f>
        <v>28140</v>
      </c>
      <c r="G25" s="6"/>
    </row>
    <row r="26" customFormat="false" ht="12.8" hidden="false" customHeight="false" outlineLevel="0" collapsed="false">
      <c r="B26" s="4" t="s">
        <v>6</v>
      </c>
      <c r="C26" s="5" t="n">
        <v>2</v>
      </c>
      <c r="D26" s="6" t="n">
        <v>25</v>
      </c>
      <c r="E26" s="6" t="n">
        <v>1020</v>
      </c>
      <c r="F26" s="6" t="n">
        <f aca="false">F25+E26</f>
        <v>29160</v>
      </c>
      <c r="G26" s="6" t="n">
        <v>1</v>
      </c>
      <c r="H26" s="10" t="s">
        <v>12</v>
      </c>
    </row>
    <row r="27" customFormat="false" ht="12.8" hidden="false" customHeight="false" outlineLevel="0" collapsed="false">
      <c r="B27" s="4" t="s">
        <v>6</v>
      </c>
      <c r="C27" s="5" t="n">
        <v>2</v>
      </c>
      <c r="D27" s="6" t="n">
        <v>26</v>
      </c>
      <c r="E27" s="6" t="n">
        <v>600</v>
      </c>
      <c r="F27" s="6" t="n">
        <f aca="false">F26+E27</f>
        <v>29760</v>
      </c>
      <c r="G27" s="7"/>
    </row>
    <row r="28" customFormat="false" ht="12.8" hidden="false" customHeight="false" outlineLevel="0" collapsed="false">
      <c r="B28" s="4" t="s">
        <v>6</v>
      </c>
      <c r="C28" s="5" t="n">
        <v>2</v>
      </c>
      <c r="D28" s="6" t="n">
        <v>27</v>
      </c>
      <c r="E28" s="6" t="n">
        <v>1340</v>
      </c>
      <c r="F28" s="6" t="n">
        <f aca="false">F27+E28</f>
        <v>31100</v>
      </c>
      <c r="G28" s="6"/>
    </row>
    <row r="29" customFormat="false" ht="12.8" hidden="false" customHeight="false" outlineLevel="0" collapsed="false">
      <c r="B29" s="4" t="s">
        <v>6</v>
      </c>
      <c r="C29" s="5" t="n">
        <v>2</v>
      </c>
      <c r="D29" s="6" t="n">
        <v>28</v>
      </c>
      <c r="E29" s="6" t="n">
        <v>2550</v>
      </c>
      <c r="F29" s="6" t="n">
        <f aca="false">F28+E29</f>
        <v>33650</v>
      </c>
      <c r="G29" s="6" t="n">
        <v>1</v>
      </c>
      <c r="H29" s="9" t="s">
        <v>13</v>
      </c>
    </row>
    <row r="30" customFormat="false" ht="12.8" hidden="false" customHeight="false" outlineLevel="0" collapsed="false">
      <c r="B30" s="4" t="s">
        <v>6</v>
      </c>
      <c r="C30" s="5" t="n">
        <v>2</v>
      </c>
      <c r="D30" s="6" t="n">
        <v>29</v>
      </c>
      <c r="E30" s="6" t="n">
        <v>600</v>
      </c>
      <c r="F30" s="6" t="n">
        <f aca="false">F29+E30</f>
        <v>34250</v>
      </c>
      <c r="G30" s="7"/>
    </row>
    <row r="31" customFormat="false" ht="12.8" hidden="false" customHeight="false" outlineLevel="0" collapsed="false">
      <c r="B31" s="4" t="s">
        <v>6</v>
      </c>
      <c r="C31" s="5" t="n">
        <v>2</v>
      </c>
      <c r="D31" s="6" t="n">
        <v>30</v>
      </c>
      <c r="E31" s="6" t="n">
        <v>1340</v>
      </c>
      <c r="F31" s="6" t="n">
        <f aca="false">F30+E31</f>
        <v>35590</v>
      </c>
      <c r="G31" s="6"/>
      <c r="H31" s="9" t="s">
        <v>14</v>
      </c>
      <c r="I31" s="6"/>
      <c r="J31" s="6"/>
      <c r="K31" s="6"/>
    </row>
    <row r="32" customFormat="false" ht="12.8" hidden="false" customHeight="false" outlineLevel="0" collapsed="false">
      <c r="B32" s="4" t="s">
        <v>6</v>
      </c>
      <c r="C32" s="5" t="n">
        <v>2</v>
      </c>
      <c r="D32" s="6" t="n">
        <v>31</v>
      </c>
      <c r="E32" s="6" t="n">
        <v>1770</v>
      </c>
      <c r="F32" s="6" t="n">
        <f aca="false">F31+E32</f>
        <v>37360</v>
      </c>
      <c r="G32" s="6" t="n">
        <v>1</v>
      </c>
      <c r="I32" s="6"/>
      <c r="J32" s="6"/>
      <c r="K32" s="6"/>
    </row>
    <row r="33" customFormat="false" ht="12.8" hidden="false" customHeight="false" outlineLevel="0" collapsed="false">
      <c r="B33" s="4" t="s">
        <v>6</v>
      </c>
      <c r="C33" s="5" t="n">
        <v>2</v>
      </c>
      <c r="D33" s="6" t="n">
        <v>32</v>
      </c>
      <c r="E33" s="6" t="n">
        <v>600</v>
      </c>
      <c r="F33" s="6" t="n">
        <f aca="false">F32+E33</f>
        <v>37960</v>
      </c>
      <c r="G33" s="7"/>
      <c r="I33" s="6"/>
      <c r="J33" s="6"/>
      <c r="K33" s="6"/>
    </row>
    <row r="34" customFormat="false" ht="12.8" hidden="false" customHeight="false" outlineLevel="0" collapsed="false">
      <c r="B34" s="4" t="s">
        <v>6</v>
      </c>
      <c r="C34" s="5" t="n">
        <v>2</v>
      </c>
      <c r="D34" s="6" t="n">
        <v>33</v>
      </c>
      <c r="E34" s="6" t="n">
        <v>1340</v>
      </c>
      <c r="F34" s="6" t="n">
        <f aca="false">F33+E34</f>
        <v>39300</v>
      </c>
      <c r="G34" s="6"/>
      <c r="I34" s="6"/>
      <c r="J34" s="6"/>
      <c r="K34" s="6"/>
    </row>
    <row r="35" customFormat="false" ht="12.8" hidden="false" customHeight="false" outlineLevel="0" collapsed="false">
      <c r="B35" s="4" t="s">
        <v>6</v>
      </c>
      <c r="C35" s="5" t="n">
        <v>2</v>
      </c>
      <c r="D35" s="6" t="n">
        <v>34</v>
      </c>
      <c r="E35" s="6" t="n">
        <v>600</v>
      </c>
      <c r="F35" s="6" t="n">
        <f aca="false">F34+E35</f>
        <v>39900</v>
      </c>
      <c r="G35" s="7"/>
      <c r="I35" s="6"/>
      <c r="J35" s="6"/>
      <c r="K35" s="6"/>
    </row>
    <row r="36" customFormat="false" ht="12.8" hidden="false" customHeight="false" outlineLevel="0" collapsed="false">
      <c r="B36" s="4" t="s">
        <v>6</v>
      </c>
      <c r="C36" s="5" t="n">
        <v>2</v>
      </c>
      <c r="D36" s="6" t="n">
        <v>35</v>
      </c>
      <c r="E36" s="6" t="n">
        <f aca="false">1000+700</f>
        <v>1700</v>
      </c>
      <c r="F36" s="6" t="n">
        <f aca="false">F35+E36</f>
        <v>41600</v>
      </c>
      <c r="G36" s="6"/>
      <c r="I36" s="6" t="n">
        <f aca="false">SUM(E2:E36)</f>
        <v>41600</v>
      </c>
      <c r="J36" s="6" t="s">
        <v>15</v>
      </c>
      <c r="K36" s="6" t="n">
        <v>41600</v>
      </c>
    </row>
    <row r="37" customFormat="false" ht="12.8" hidden="false" customHeight="false" outlineLevel="0" collapsed="false">
      <c r="B37" s="11" t="s">
        <v>6</v>
      </c>
      <c r="C37" s="12" t="n">
        <v>3</v>
      </c>
      <c r="D37" s="6" t="n">
        <v>1</v>
      </c>
      <c r="E37" s="6" t="n">
        <v>0</v>
      </c>
      <c r="F37" s="6" t="n">
        <f aca="false">E37</f>
        <v>0</v>
      </c>
      <c r="G37" s="6"/>
      <c r="I37" s="6" t="n">
        <v>0</v>
      </c>
    </row>
    <row r="38" customFormat="false" ht="12.8" hidden="false" customHeight="false" outlineLevel="0" collapsed="false">
      <c r="B38" s="11" t="s">
        <v>6</v>
      </c>
      <c r="C38" s="12" t="n">
        <v>3</v>
      </c>
      <c r="D38" s="6" t="n">
        <v>2</v>
      </c>
      <c r="E38" s="6" t="n">
        <f aca="false">700+560</f>
        <v>1260</v>
      </c>
      <c r="F38" s="6" t="n">
        <f aca="false">F37+E38</f>
        <v>1260</v>
      </c>
      <c r="G38" s="6"/>
      <c r="I38" s="6"/>
    </row>
    <row r="39" customFormat="false" ht="12.8" hidden="false" customHeight="false" outlineLevel="0" collapsed="false">
      <c r="B39" s="11" t="s">
        <v>6</v>
      </c>
      <c r="C39" s="12" t="n">
        <v>3</v>
      </c>
      <c r="D39" s="6" t="n">
        <v>3</v>
      </c>
      <c r="E39" s="6" t="n">
        <v>600</v>
      </c>
      <c r="F39" s="6" t="n">
        <f aca="false">F38+E39</f>
        <v>1860</v>
      </c>
      <c r="G39" s="7"/>
      <c r="I39" s="6"/>
    </row>
    <row r="40" customFormat="false" ht="12.8" hidden="false" customHeight="false" outlineLevel="0" collapsed="false">
      <c r="B40" s="11" t="s">
        <v>6</v>
      </c>
      <c r="C40" s="12" t="n">
        <v>3</v>
      </c>
      <c r="D40" s="6" t="n">
        <v>4</v>
      </c>
      <c r="E40" s="6" t="n">
        <v>1430</v>
      </c>
      <c r="F40" s="6" t="n">
        <f aca="false">F39+E40</f>
        <v>3290</v>
      </c>
      <c r="G40" s="6"/>
      <c r="I40" s="6"/>
    </row>
    <row r="41" customFormat="false" ht="12.8" hidden="false" customHeight="false" outlineLevel="0" collapsed="false">
      <c r="B41" s="11" t="s">
        <v>6</v>
      </c>
      <c r="C41" s="12" t="n">
        <v>3</v>
      </c>
      <c r="D41" s="6" t="n">
        <v>5</v>
      </c>
      <c r="E41" s="6" t="n">
        <v>600</v>
      </c>
      <c r="F41" s="6" t="n">
        <f aca="false">F40+E41</f>
        <v>3890</v>
      </c>
      <c r="G41" s="7" t="n">
        <v>1</v>
      </c>
      <c r="I41" s="6"/>
    </row>
    <row r="42" customFormat="false" ht="12.8" hidden="false" customHeight="false" outlineLevel="0" collapsed="false">
      <c r="B42" s="11" t="s">
        <v>6</v>
      </c>
      <c r="C42" s="12" t="n">
        <v>3</v>
      </c>
      <c r="D42" s="6" t="n">
        <v>6</v>
      </c>
      <c r="E42" s="6" t="n">
        <v>1770</v>
      </c>
      <c r="F42" s="6" t="n">
        <f aca="false">F41+E42</f>
        <v>5660</v>
      </c>
      <c r="G42" s="6"/>
      <c r="I42" s="6"/>
    </row>
    <row r="43" customFormat="false" ht="12.8" hidden="false" customHeight="false" outlineLevel="0" collapsed="false">
      <c r="B43" s="11" t="s">
        <v>6</v>
      </c>
      <c r="C43" s="12" t="n">
        <v>3</v>
      </c>
      <c r="D43" s="6" t="n">
        <v>7</v>
      </c>
      <c r="E43" s="6" t="n">
        <v>1330</v>
      </c>
      <c r="F43" s="6" t="n">
        <f aca="false">F42+E43</f>
        <v>6990</v>
      </c>
      <c r="G43" s="6"/>
      <c r="H43" s="8" t="s">
        <v>7</v>
      </c>
      <c r="I43" s="6"/>
    </row>
    <row r="44" customFormat="false" ht="12.8" hidden="false" customHeight="false" outlineLevel="0" collapsed="false">
      <c r="B44" s="11" t="s">
        <v>6</v>
      </c>
      <c r="C44" s="12" t="n">
        <v>3</v>
      </c>
      <c r="D44" s="6" t="n">
        <v>8</v>
      </c>
      <c r="E44" s="6" t="n">
        <v>600</v>
      </c>
      <c r="F44" s="6" t="n">
        <f aca="false">F43+E44</f>
        <v>7590</v>
      </c>
      <c r="G44" s="7" t="n">
        <v>1</v>
      </c>
      <c r="I44" s="6"/>
    </row>
    <row r="45" customFormat="false" ht="12.8" hidden="false" customHeight="false" outlineLevel="0" collapsed="false">
      <c r="B45" s="11" t="s">
        <v>6</v>
      </c>
      <c r="C45" s="12" t="n">
        <v>3</v>
      </c>
      <c r="D45" s="6" t="n">
        <v>9</v>
      </c>
      <c r="E45" s="6" t="n">
        <v>1470</v>
      </c>
      <c r="F45" s="6" t="n">
        <f aca="false">F44+E45</f>
        <v>9060</v>
      </c>
      <c r="G45" s="6"/>
      <c r="I45" s="6"/>
    </row>
    <row r="46" customFormat="false" ht="12.8" hidden="false" customHeight="false" outlineLevel="0" collapsed="false">
      <c r="B46" s="11" t="s">
        <v>6</v>
      </c>
      <c r="C46" s="12" t="n">
        <v>3</v>
      </c>
      <c r="D46" s="6" t="n">
        <v>10</v>
      </c>
      <c r="E46" s="6" t="n">
        <v>1330</v>
      </c>
      <c r="F46" s="6" t="n">
        <f aca="false">F45+E46</f>
        <v>10390</v>
      </c>
      <c r="G46" s="6"/>
      <c r="I46" s="6"/>
    </row>
    <row r="47" customFormat="false" ht="12.8" hidden="false" customHeight="false" outlineLevel="0" collapsed="false">
      <c r="B47" s="11" t="s">
        <v>6</v>
      </c>
      <c r="C47" s="12" t="n">
        <v>3</v>
      </c>
      <c r="D47" s="6" t="n">
        <v>11</v>
      </c>
      <c r="E47" s="6" t="n">
        <v>600</v>
      </c>
      <c r="F47" s="6" t="n">
        <f aca="false">F46+E47</f>
        <v>10990</v>
      </c>
      <c r="G47" s="7" t="n">
        <v>1</v>
      </c>
      <c r="I47" s="6"/>
    </row>
    <row r="48" customFormat="false" ht="12.8" hidden="false" customHeight="false" outlineLevel="0" collapsed="false">
      <c r="B48" s="11" t="s">
        <v>6</v>
      </c>
      <c r="C48" s="12" t="n">
        <v>3</v>
      </c>
      <c r="D48" s="6" t="n">
        <v>12</v>
      </c>
      <c r="E48" s="6" t="n">
        <v>1470</v>
      </c>
      <c r="F48" s="6" t="n">
        <f aca="false">F47+E48</f>
        <v>12460</v>
      </c>
      <c r="G48" s="6"/>
      <c r="I48" s="6"/>
    </row>
    <row r="49" customFormat="false" ht="12.8" hidden="false" customHeight="false" outlineLevel="0" collapsed="false">
      <c r="B49" s="11" t="s">
        <v>6</v>
      </c>
      <c r="C49" s="12" t="n">
        <v>3</v>
      </c>
      <c r="D49" s="6" t="n">
        <v>13</v>
      </c>
      <c r="E49" s="6" t="n">
        <v>1330</v>
      </c>
      <c r="F49" s="6" t="n">
        <f aca="false">F48+E49</f>
        <v>13790</v>
      </c>
      <c r="G49" s="6"/>
      <c r="H49" s="9" t="s">
        <v>8</v>
      </c>
      <c r="I49" s="6"/>
    </row>
    <row r="50" customFormat="false" ht="12.8" hidden="false" customHeight="false" outlineLevel="0" collapsed="false">
      <c r="B50" s="11" t="s">
        <v>6</v>
      </c>
      <c r="C50" s="12" t="n">
        <v>3</v>
      </c>
      <c r="D50" s="6" t="n">
        <v>14</v>
      </c>
      <c r="E50" s="6" t="n">
        <v>600</v>
      </c>
      <c r="F50" s="6" t="n">
        <f aca="false">F49+E50</f>
        <v>14390</v>
      </c>
      <c r="G50" s="7" t="n">
        <v>1</v>
      </c>
      <c r="H50" s="13"/>
      <c r="I50" s="6"/>
    </row>
    <row r="51" customFormat="false" ht="12.8" hidden="false" customHeight="false" outlineLevel="0" collapsed="false">
      <c r="B51" s="11" t="s">
        <v>6</v>
      </c>
      <c r="C51" s="12" t="n">
        <v>3</v>
      </c>
      <c r="D51" s="6" t="n">
        <v>15</v>
      </c>
      <c r="E51" s="6" t="n">
        <v>2550</v>
      </c>
      <c r="F51" s="6" t="n">
        <f aca="false">F50+E51</f>
        <v>16940</v>
      </c>
      <c r="G51" s="6"/>
      <c r="H51" s="9" t="s">
        <v>9</v>
      </c>
      <c r="I51" s="6"/>
    </row>
    <row r="52" customFormat="false" ht="12.8" hidden="false" customHeight="false" outlineLevel="0" collapsed="false">
      <c r="B52" s="11" t="s">
        <v>6</v>
      </c>
      <c r="C52" s="12" t="n">
        <v>3</v>
      </c>
      <c r="D52" s="6" t="n">
        <v>16</v>
      </c>
      <c r="E52" s="6" t="n">
        <v>1350</v>
      </c>
      <c r="F52" s="6" t="n">
        <f aca="false">F51+E52</f>
        <v>18290</v>
      </c>
      <c r="G52" s="6"/>
      <c r="I52" s="6"/>
    </row>
    <row r="53" customFormat="false" ht="12.8" hidden="false" customHeight="false" outlineLevel="0" collapsed="false">
      <c r="B53" s="11" t="s">
        <v>6</v>
      </c>
      <c r="C53" s="12" t="n">
        <v>3</v>
      </c>
      <c r="D53" s="6" t="n">
        <v>17</v>
      </c>
      <c r="E53" s="6" t="n">
        <v>600</v>
      </c>
      <c r="F53" s="6" t="n">
        <f aca="false">F52+E53</f>
        <v>18890</v>
      </c>
      <c r="G53" s="7" t="n">
        <v>1</v>
      </c>
      <c r="I53" s="6"/>
    </row>
    <row r="54" customFormat="false" ht="12.8" hidden="false" customHeight="false" outlineLevel="0" collapsed="false">
      <c r="B54" s="11" t="s">
        <v>6</v>
      </c>
      <c r="C54" s="12" t="n">
        <v>3</v>
      </c>
      <c r="D54" s="6" t="n">
        <v>18</v>
      </c>
      <c r="E54" s="6" t="n">
        <v>1770</v>
      </c>
      <c r="F54" s="6" t="n">
        <f aca="false">F53+E54</f>
        <v>20660</v>
      </c>
      <c r="G54" s="6"/>
      <c r="I54" s="6"/>
    </row>
    <row r="55" customFormat="false" ht="12.8" hidden="false" customHeight="false" outlineLevel="0" collapsed="false">
      <c r="B55" s="11" t="s">
        <v>6</v>
      </c>
      <c r="C55" s="12" t="n">
        <v>3</v>
      </c>
      <c r="D55" s="6" t="n">
        <v>19</v>
      </c>
      <c r="E55" s="6" t="n">
        <v>1580</v>
      </c>
      <c r="F55" s="6" t="n">
        <f aca="false">F54+E55</f>
        <v>22240</v>
      </c>
      <c r="G55" s="6"/>
      <c r="H55" s="8" t="s">
        <v>10</v>
      </c>
      <c r="I55" s="6"/>
    </row>
    <row r="56" customFormat="false" ht="12.8" hidden="false" customHeight="false" outlineLevel="0" collapsed="false">
      <c r="B56" s="11" t="s">
        <v>6</v>
      </c>
      <c r="C56" s="12" t="n">
        <v>3</v>
      </c>
      <c r="D56" s="6" t="n">
        <v>20</v>
      </c>
      <c r="E56" s="6" t="n">
        <v>600</v>
      </c>
      <c r="F56" s="6" t="n">
        <f aca="false">F55+E56</f>
        <v>22840</v>
      </c>
      <c r="G56" s="7" t="n">
        <v>1</v>
      </c>
      <c r="I56" s="6"/>
    </row>
    <row r="57" customFormat="false" ht="12.8" hidden="false" customHeight="false" outlineLevel="0" collapsed="false">
      <c r="B57" s="11" t="s">
        <v>6</v>
      </c>
      <c r="C57" s="12" t="n">
        <v>3</v>
      </c>
      <c r="D57" s="6" t="n">
        <v>21</v>
      </c>
      <c r="E57" s="6" t="n">
        <v>1020</v>
      </c>
      <c r="F57" s="6" t="n">
        <f aca="false">F56+E57</f>
        <v>23860</v>
      </c>
      <c r="G57" s="6"/>
      <c r="I57" s="6"/>
    </row>
    <row r="58" customFormat="false" ht="12.8" hidden="false" customHeight="false" outlineLevel="0" collapsed="false">
      <c r="B58" s="11" t="s">
        <v>6</v>
      </c>
      <c r="C58" s="12" t="n">
        <v>3</v>
      </c>
      <c r="D58" s="6" t="n">
        <v>22</v>
      </c>
      <c r="E58" s="6" t="n">
        <v>1480</v>
      </c>
      <c r="F58" s="6" t="n">
        <f aca="false">F57+E58</f>
        <v>25340</v>
      </c>
      <c r="G58" s="6"/>
      <c r="I58" s="6"/>
    </row>
    <row r="59" customFormat="false" ht="12.8" hidden="false" customHeight="false" outlineLevel="0" collapsed="false">
      <c r="B59" s="11" t="s">
        <v>6</v>
      </c>
      <c r="C59" s="12" t="n">
        <v>3</v>
      </c>
      <c r="D59" s="6" t="n">
        <v>23</v>
      </c>
      <c r="E59" s="6" t="n">
        <v>1470</v>
      </c>
      <c r="F59" s="6" t="n">
        <f aca="false">F58+E59</f>
        <v>26810</v>
      </c>
      <c r="G59" s="6"/>
      <c r="H59" s="9" t="s">
        <v>11</v>
      </c>
      <c r="I59" s="6"/>
    </row>
    <row r="60" customFormat="false" ht="12.8" hidden="false" customHeight="false" outlineLevel="0" collapsed="false">
      <c r="B60" s="11" t="s">
        <v>6</v>
      </c>
      <c r="C60" s="12" t="n">
        <v>3</v>
      </c>
      <c r="D60" s="6" t="n">
        <v>24</v>
      </c>
      <c r="E60" s="6" t="n">
        <v>1330</v>
      </c>
      <c r="F60" s="6" t="n">
        <f aca="false">F59+E60</f>
        <v>28140</v>
      </c>
      <c r="G60" s="6"/>
      <c r="I60" s="6"/>
    </row>
    <row r="61" customFormat="false" ht="12.8" hidden="false" customHeight="false" outlineLevel="0" collapsed="false">
      <c r="B61" s="11" t="s">
        <v>6</v>
      </c>
      <c r="C61" s="12" t="n">
        <v>3</v>
      </c>
      <c r="D61" s="6" t="n">
        <v>25</v>
      </c>
      <c r="E61" s="6" t="n">
        <v>600</v>
      </c>
      <c r="F61" s="6" t="n">
        <f aca="false">F60+E61</f>
        <v>28740</v>
      </c>
      <c r="G61" s="7" t="n">
        <v>1</v>
      </c>
      <c r="H61" s="13"/>
      <c r="I61" s="6"/>
    </row>
    <row r="62" customFormat="false" ht="12.8" hidden="false" customHeight="false" outlineLevel="0" collapsed="false">
      <c r="B62" s="11" t="s">
        <v>6</v>
      </c>
      <c r="C62" s="12" t="n">
        <v>3</v>
      </c>
      <c r="D62" s="6" t="n">
        <v>26</v>
      </c>
      <c r="E62" s="6" t="n">
        <v>1020</v>
      </c>
      <c r="F62" s="6" t="n">
        <f aca="false">F61+E62</f>
        <v>29760</v>
      </c>
      <c r="G62" s="6"/>
      <c r="H62" s="10" t="s">
        <v>12</v>
      </c>
      <c r="I62" s="6"/>
    </row>
    <row r="63" customFormat="false" ht="12.8" hidden="false" customHeight="false" outlineLevel="0" collapsed="false">
      <c r="B63" s="11" t="s">
        <v>6</v>
      </c>
      <c r="C63" s="12" t="n">
        <v>3</v>
      </c>
      <c r="D63" s="6" t="n">
        <v>27</v>
      </c>
      <c r="E63" s="6" t="n">
        <v>1340</v>
      </c>
      <c r="F63" s="6" t="n">
        <f aca="false">F62+E63</f>
        <v>31100</v>
      </c>
      <c r="G63" s="6"/>
      <c r="I63" s="6"/>
    </row>
    <row r="64" customFormat="false" ht="12.8" hidden="false" customHeight="false" outlineLevel="0" collapsed="false">
      <c r="B64" s="11" t="s">
        <v>6</v>
      </c>
      <c r="C64" s="12" t="n">
        <v>3</v>
      </c>
      <c r="D64" s="6" t="n">
        <v>28</v>
      </c>
      <c r="E64" s="6" t="n">
        <v>600</v>
      </c>
      <c r="F64" s="6" t="n">
        <f aca="false">F63+E64</f>
        <v>31700</v>
      </c>
      <c r="G64" s="7" t="n">
        <v>1</v>
      </c>
      <c r="H64" s="9" t="s">
        <v>13</v>
      </c>
      <c r="I64" s="6"/>
    </row>
    <row r="65" customFormat="false" ht="12.8" hidden="false" customHeight="false" outlineLevel="0" collapsed="false">
      <c r="B65" s="11" t="s">
        <v>6</v>
      </c>
      <c r="C65" s="12" t="n">
        <v>3</v>
      </c>
      <c r="D65" s="6" t="n">
        <v>29</v>
      </c>
      <c r="E65" s="6" t="n">
        <v>2550</v>
      </c>
      <c r="F65" s="6" t="n">
        <f aca="false">F64+E65</f>
        <v>34250</v>
      </c>
      <c r="G65" s="6"/>
      <c r="I65" s="6"/>
    </row>
    <row r="66" customFormat="false" ht="12.8" hidden="false" customHeight="false" outlineLevel="0" collapsed="false">
      <c r="B66" s="11" t="s">
        <v>6</v>
      </c>
      <c r="C66" s="12" t="n">
        <v>3</v>
      </c>
      <c r="D66" s="6" t="n">
        <v>30</v>
      </c>
      <c r="E66" s="6" t="n">
        <v>1340</v>
      </c>
      <c r="F66" s="6" t="n">
        <f aca="false">F65+E66</f>
        <v>35590</v>
      </c>
      <c r="G66" s="6"/>
      <c r="H66" s="9" t="s">
        <v>14</v>
      </c>
      <c r="I66" s="6"/>
    </row>
    <row r="67" customFormat="false" ht="12.8" hidden="false" customHeight="true" outlineLevel="0" collapsed="false">
      <c r="B67" s="11" t="s">
        <v>6</v>
      </c>
      <c r="C67" s="12" t="n">
        <v>3</v>
      </c>
      <c r="D67" s="6" t="n">
        <v>31</v>
      </c>
      <c r="E67" s="6" t="n">
        <v>600</v>
      </c>
      <c r="F67" s="6" t="n">
        <f aca="false">F66+E67</f>
        <v>36190</v>
      </c>
      <c r="G67" s="7" t="n">
        <v>1</v>
      </c>
      <c r="I67" s="6"/>
    </row>
    <row r="68" customFormat="false" ht="12.8" hidden="false" customHeight="true" outlineLevel="0" collapsed="false">
      <c r="B68" s="11" t="s">
        <v>6</v>
      </c>
      <c r="C68" s="12" t="n">
        <v>3</v>
      </c>
      <c r="D68" s="6" t="n">
        <v>32</v>
      </c>
      <c r="E68" s="6" t="n">
        <v>1770</v>
      </c>
      <c r="F68" s="6" t="n">
        <f aca="false">F67+E68</f>
        <v>37960</v>
      </c>
      <c r="G68" s="6"/>
      <c r="I68" s="6"/>
    </row>
    <row r="69" customFormat="false" ht="12.8" hidden="false" customHeight="true" outlineLevel="0" collapsed="false">
      <c r="B69" s="11" t="s">
        <v>6</v>
      </c>
      <c r="C69" s="12" t="n">
        <v>3</v>
      </c>
      <c r="D69" s="6" t="n">
        <v>33</v>
      </c>
      <c r="E69" s="6" t="n">
        <v>1340</v>
      </c>
      <c r="F69" s="6" t="n">
        <f aca="false">F68+E69</f>
        <v>39300</v>
      </c>
      <c r="G69" s="6"/>
      <c r="I69" s="6"/>
    </row>
    <row r="70" customFormat="false" ht="12.8" hidden="false" customHeight="true" outlineLevel="0" collapsed="false">
      <c r="B70" s="11" t="s">
        <v>6</v>
      </c>
      <c r="C70" s="12" t="n">
        <v>3</v>
      </c>
      <c r="D70" s="6" t="n">
        <v>34</v>
      </c>
      <c r="E70" s="6" t="n">
        <v>600</v>
      </c>
      <c r="F70" s="6" t="n">
        <f aca="false">F69+E70</f>
        <v>39900</v>
      </c>
      <c r="G70" s="7"/>
      <c r="I70" s="6"/>
    </row>
    <row r="71" customFormat="false" ht="12.8" hidden="false" customHeight="true" outlineLevel="0" collapsed="false">
      <c r="B71" s="11" t="s">
        <v>6</v>
      </c>
      <c r="C71" s="12" t="n">
        <v>3</v>
      </c>
      <c r="D71" s="6" t="n">
        <v>35</v>
      </c>
      <c r="E71" s="6" t="n">
        <f aca="false">1000+700</f>
        <v>1700</v>
      </c>
      <c r="F71" s="6" t="n">
        <f aca="false">F70+E71</f>
        <v>41600</v>
      </c>
      <c r="G71" s="6"/>
      <c r="I71" s="6" t="n">
        <f aca="false">SUM(E37:E71)</f>
        <v>41600</v>
      </c>
      <c r="J71" s="6" t="s">
        <v>15</v>
      </c>
      <c r="K71" s="13" t="n">
        <v>41600</v>
      </c>
    </row>
  </sheetData>
  <sheetProtection sheet="true" objects="true" scenarios="true"/>
  <autoFilter ref="B1:I7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8" activeCellId="0" sqref="H28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6" min="2" style="1" width="15.17"/>
    <col collapsed="false" customWidth="true" hidden="false" outlineLevel="0" max="7" min="7" style="13" width="15.17"/>
  </cols>
  <sheetData>
    <row r="1" customFormat="false" ht="12.8" hidden="false" customHeight="false" outlineLevel="0" collapsed="false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2" t="s">
        <v>22</v>
      </c>
    </row>
    <row r="2" customFormat="false" ht="12.8" hidden="false" customHeight="false" outlineLevel="0" collapsed="false">
      <c r="A2" s="1" t="n">
        <v>0</v>
      </c>
      <c r="B2" s="14"/>
      <c r="C2" s="14"/>
      <c r="D2" s="14"/>
      <c r="E2" s="14"/>
      <c r="F2" s="14"/>
      <c r="G2" s="14" t="s">
        <v>23</v>
      </c>
    </row>
    <row r="3" customFormat="false" ht="12.8" hidden="false" customHeight="false" outlineLevel="0" collapsed="false">
      <c r="A3" s="1" t="n">
        <v>1</v>
      </c>
      <c r="B3" s="15" t="s">
        <v>24</v>
      </c>
      <c r="C3" s="16" t="s">
        <v>25</v>
      </c>
      <c r="D3" s="15" t="s">
        <v>24</v>
      </c>
      <c r="E3" s="16" t="s">
        <v>25</v>
      </c>
      <c r="F3" s="16" t="s">
        <v>25</v>
      </c>
      <c r="G3" s="14" t="s">
        <v>23</v>
      </c>
    </row>
    <row r="4" customFormat="false" ht="12.8" hidden="false" customHeight="false" outlineLevel="0" collapsed="false">
      <c r="A4" s="1" t="n">
        <v>2</v>
      </c>
      <c r="B4" s="17" t="s">
        <v>26</v>
      </c>
      <c r="C4" s="18" t="s">
        <v>27</v>
      </c>
      <c r="D4" s="17" t="s">
        <v>26</v>
      </c>
      <c r="E4" s="18" t="s">
        <v>27</v>
      </c>
      <c r="F4" s="18" t="s">
        <v>27</v>
      </c>
      <c r="G4" s="14" t="s">
        <v>23</v>
      </c>
    </row>
    <row r="5" customFormat="false" ht="12.8" hidden="false" customHeight="false" outlineLevel="0" collapsed="false">
      <c r="A5" s="1" t="n">
        <v>3</v>
      </c>
      <c r="B5" s="19" t="s">
        <v>28</v>
      </c>
      <c r="C5" s="19" t="s">
        <v>28</v>
      </c>
      <c r="D5" s="19" t="s">
        <v>28</v>
      </c>
      <c r="E5" s="19" t="s">
        <v>28</v>
      </c>
      <c r="F5" s="19" t="s">
        <v>28</v>
      </c>
      <c r="G5" s="14" t="s">
        <v>23</v>
      </c>
    </row>
    <row r="6" customFormat="false" ht="12.8" hidden="false" customHeight="false" outlineLevel="0" collapsed="false">
      <c r="A6" s="1" t="n">
        <v>4</v>
      </c>
      <c r="B6" s="20" t="s">
        <v>29</v>
      </c>
      <c r="C6" s="21" t="s">
        <v>30</v>
      </c>
      <c r="D6" s="17" t="s">
        <v>26</v>
      </c>
      <c r="E6" s="18" t="s">
        <v>27</v>
      </c>
      <c r="F6" s="18" t="s">
        <v>27</v>
      </c>
      <c r="G6" s="14" t="s">
        <v>23</v>
      </c>
    </row>
    <row r="7" customFormat="false" ht="12.8" hidden="false" customHeight="false" outlineLevel="0" collapsed="false">
      <c r="A7" s="1" t="n">
        <v>5</v>
      </c>
      <c r="B7" s="17" t="s">
        <v>26</v>
      </c>
      <c r="C7" s="18" t="s">
        <v>27</v>
      </c>
      <c r="D7" s="20" t="s">
        <v>29</v>
      </c>
      <c r="E7" s="21" t="s">
        <v>30</v>
      </c>
      <c r="F7" s="21" t="s">
        <v>30</v>
      </c>
      <c r="G7" s="14" t="s">
        <v>23</v>
      </c>
    </row>
    <row r="8" customFormat="false" ht="12.8" hidden="false" customHeight="false" outlineLevel="0" collapsed="false">
      <c r="A8" s="1" t="n">
        <v>6</v>
      </c>
      <c r="B8" s="19" t="s">
        <v>28</v>
      </c>
      <c r="C8" s="19" t="s">
        <v>28</v>
      </c>
      <c r="D8" s="19" t="s">
        <v>28</v>
      </c>
      <c r="E8" s="19" t="s">
        <v>28</v>
      </c>
      <c r="F8" s="19" t="s">
        <v>28</v>
      </c>
      <c r="G8" s="14" t="s">
        <v>23</v>
      </c>
    </row>
    <row r="9" customFormat="false" ht="12.8" hidden="false" customHeight="false" outlineLevel="0" collapsed="false">
      <c r="A9" s="1" t="n">
        <v>7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4" t="s">
        <v>23</v>
      </c>
    </row>
    <row r="10" customFormat="false" ht="12.8" hidden="false" customHeight="false" outlineLevel="0" collapsed="false">
      <c r="A10" s="1" t="n">
        <v>8</v>
      </c>
      <c r="B10" s="17" t="s">
        <v>26</v>
      </c>
      <c r="C10" s="18" t="s">
        <v>27</v>
      </c>
      <c r="D10" s="15" t="s">
        <v>24</v>
      </c>
      <c r="E10" s="16" t="s">
        <v>25</v>
      </c>
      <c r="F10" s="16" t="s">
        <v>25</v>
      </c>
      <c r="G10" s="14" t="s">
        <v>23</v>
      </c>
    </row>
    <row r="11" customFormat="false" ht="12.8" hidden="false" customHeight="false" outlineLevel="0" collapsed="false">
      <c r="A11" s="1" t="n">
        <v>9</v>
      </c>
      <c r="B11" s="19" t="s">
        <v>28</v>
      </c>
      <c r="C11" s="19" t="s">
        <v>28</v>
      </c>
      <c r="D11" s="19" t="s">
        <v>28</v>
      </c>
      <c r="E11" s="19" t="s">
        <v>28</v>
      </c>
      <c r="F11" s="19" t="s">
        <v>28</v>
      </c>
      <c r="G11" s="14" t="s">
        <v>23</v>
      </c>
    </row>
    <row r="12" customFormat="false" ht="12.8" hidden="false" customHeight="false" outlineLevel="0" collapsed="false">
      <c r="A12" s="1" t="n">
        <v>10</v>
      </c>
      <c r="B12" s="15" t="s">
        <v>24</v>
      </c>
      <c r="C12" s="16" t="s">
        <v>25</v>
      </c>
      <c r="D12" s="17" t="s">
        <v>26</v>
      </c>
      <c r="E12" s="18" t="s">
        <v>27</v>
      </c>
      <c r="F12" s="18" t="s">
        <v>27</v>
      </c>
      <c r="G12" s="14" t="s">
        <v>23</v>
      </c>
    </row>
    <row r="13" customFormat="false" ht="12.8" hidden="false" customHeight="false" outlineLevel="0" collapsed="false">
      <c r="A13" s="1" t="n">
        <v>11</v>
      </c>
      <c r="B13" s="17" t="s">
        <v>26</v>
      </c>
      <c r="C13" s="18" t="s">
        <v>27</v>
      </c>
      <c r="D13" s="15" t="s">
        <v>24</v>
      </c>
      <c r="E13" s="16" t="s">
        <v>25</v>
      </c>
      <c r="F13" s="16" t="s">
        <v>25</v>
      </c>
      <c r="G13" s="14" t="s">
        <v>23</v>
      </c>
    </row>
    <row r="14" customFormat="false" ht="12.8" hidden="false" customHeight="false" outlineLevel="0" collapsed="false">
      <c r="A14" s="1" t="n">
        <v>12</v>
      </c>
      <c r="B14" s="19" t="s">
        <v>28</v>
      </c>
      <c r="C14" s="19" t="s">
        <v>28</v>
      </c>
      <c r="D14" s="19" t="s">
        <v>28</v>
      </c>
      <c r="E14" s="19" t="s">
        <v>28</v>
      </c>
      <c r="F14" s="19" t="s">
        <v>28</v>
      </c>
      <c r="G14" s="14" t="s">
        <v>23</v>
      </c>
    </row>
    <row r="15" customFormat="false" ht="12.8" hidden="false" customHeight="false" outlineLevel="0" collapsed="false">
      <c r="A15" s="1" t="n">
        <v>13</v>
      </c>
      <c r="B15" s="20" t="s">
        <v>29</v>
      </c>
      <c r="C15" s="21" t="s">
        <v>30</v>
      </c>
      <c r="D15" s="17" t="s">
        <v>26</v>
      </c>
      <c r="E15" s="18" t="s">
        <v>27</v>
      </c>
      <c r="F15" s="18" t="s">
        <v>27</v>
      </c>
      <c r="G15" s="14" t="s">
        <v>23</v>
      </c>
    </row>
    <row r="16" customFormat="false" ht="12.8" hidden="false" customHeight="false" outlineLevel="0" collapsed="false">
      <c r="A16" s="1" t="n">
        <v>14</v>
      </c>
      <c r="B16" s="17" t="s">
        <v>26</v>
      </c>
      <c r="C16" s="18" t="s">
        <v>27</v>
      </c>
      <c r="D16" s="20" t="s">
        <v>29</v>
      </c>
      <c r="E16" s="21" t="s">
        <v>30</v>
      </c>
      <c r="F16" s="22" t="s">
        <v>31</v>
      </c>
      <c r="G16" s="14" t="s">
        <v>23</v>
      </c>
    </row>
    <row r="17" customFormat="false" ht="12.8" hidden="false" customHeight="false" outlineLevel="0" collapsed="false">
      <c r="A17" s="1" t="n">
        <v>15</v>
      </c>
      <c r="B17" s="19" t="s">
        <v>28</v>
      </c>
      <c r="C17" s="19" t="s">
        <v>28</v>
      </c>
      <c r="D17" s="19" t="s">
        <v>28</v>
      </c>
      <c r="E17" s="19" t="s">
        <v>28</v>
      </c>
      <c r="F17" s="19" t="s">
        <v>28</v>
      </c>
      <c r="G17" s="14" t="s">
        <v>23</v>
      </c>
    </row>
    <row r="18" customFormat="false" ht="12.8" hidden="false" customHeight="false" outlineLevel="0" collapsed="false">
      <c r="A18" s="1" t="n">
        <v>16</v>
      </c>
      <c r="B18" s="20" t="s">
        <v>29</v>
      </c>
      <c r="C18" s="21" t="s">
        <v>30</v>
      </c>
      <c r="D18" s="17" t="s">
        <v>26</v>
      </c>
      <c r="E18" s="18" t="s">
        <v>27</v>
      </c>
      <c r="F18" s="18" t="s">
        <v>27</v>
      </c>
      <c r="G18" s="14" t="s">
        <v>23</v>
      </c>
    </row>
    <row r="19" customFormat="false" ht="12.8" hidden="false" customHeight="false" outlineLevel="0" collapsed="false">
      <c r="A19" s="1" t="n">
        <v>17</v>
      </c>
      <c r="B19" s="17" t="s">
        <v>26</v>
      </c>
      <c r="C19" s="18" t="s">
        <v>27</v>
      </c>
      <c r="D19" s="20" t="s">
        <v>29</v>
      </c>
      <c r="E19" s="21" t="s">
        <v>30</v>
      </c>
      <c r="F19" s="21" t="s">
        <v>30</v>
      </c>
      <c r="G19" s="14" t="s">
        <v>23</v>
      </c>
    </row>
    <row r="20" customFormat="false" ht="12.8" hidden="false" customHeight="false" outlineLevel="0" collapsed="false">
      <c r="A20" s="1" t="n">
        <v>18</v>
      </c>
      <c r="B20" s="19" t="s">
        <v>28</v>
      </c>
      <c r="C20" s="19" t="s">
        <v>28</v>
      </c>
      <c r="D20" s="19" t="s">
        <v>28</v>
      </c>
      <c r="E20" s="19" t="s">
        <v>28</v>
      </c>
      <c r="F20" s="19" t="s">
        <v>28</v>
      </c>
      <c r="G20" s="14" t="s">
        <v>23</v>
      </c>
    </row>
    <row r="21" customFormat="false" ht="12.8" hidden="false" customHeight="false" outlineLevel="0" collapsed="false">
      <c r="A21" s="1" t="n">
        <v>19</v>
      </c>
      <c r="B21" s="23" t="s">
        <v>32</v>
      </c>
      <c r="C21" s="24" t="s">
        <v>33</v>
      </c>
      <c r="D21" s="17" t="s">
        <v>26</v>
      </c>
      <c r="E21" s="18" t="s">
        <v>27</v>
      </c>
      <c r="F21" s="18" t="s">
        <v>27</v>
      </c>
      <c r="G21" s="14" t="s">
        <v>23</v>
      </c>
    </row>
    <row r="22" customFormat="false" ht="12.8" hidden="false" customHeight="false" outlineLevel="0" collapsed="false">
      <c r="A22" s="1" t="n">
        <v>20</v>
      </c>
      <c r="B22" s="17" t="s">
        <v>26</v>
      </c>
      <c r="C22" s="18" t="s">
        <v>27</v>
      </c>
      <c r="D22" s="23" t="s">
        <v>32</v>
      </c>
      <c r="E22" s="24" t="s">
        <v>33</v>
      </c>
      <c r="F22" s="24" t="s">
        <v>33</v>
      </c>
      <c r="G22" s="14" t="s">
        <v>23</v>
      </c>
    </row>
    <row r="23" customFormat="false" ht="12.8" hidden="false" customHeight="false" outlineLevel="0" collapsed="false">
      <c r="A23" s="1" t="n">
        <v>21</v>
      </c>
      <c r="B23" s="19" t="s">
        <v>28</v>
      </c>
      <c r="C23" s="19" t="s">
        <v>28</v>
      </c>
      <c r="D23" s="19" t="s">
        <v>28</v>
      </c>
      <c r="E23" s="19" t="s">
        <v>28</v>
      </c>
      <c r="F23" s="19" t="s">
        <v>28</v>
      </c>
      <c r="G23" s="14" t="s">
        <v>23</v>
      </c>
    </row>
    <row r="24" customFormat="false" ht="12.8" hidden="false" customHeight="false" outlineLevel="0" collapsed="false">
      <c r="A24" s="1" t="n">
        <v>22</v>
      </c>
      <c r="B24" s="15" t="s">
        <v>24</v>
      </c>
      <c r="C24" s="16" t="s">
        <v>25</v>
      </c>
      <c r="D24" s="15" t="s">
        <v>24</v>
      </c>
      <c r="E24" s="16" t="s">
        <v>25</v>
      </c>
      <c r="F24" s="16" t="s">
        <v>25</v>
      </c>
      <c r="G24" s="14" t="s">
        <v>23</v>
      </c>
    </row>
    <row r="25" customFormat="false" ht="12.8" hidden="false" customHeight="false" outlineLevel="0" collapsed="false">
      <c r="A25" s="1" t="n">
        <v>23</v>
      </c>
      <c r="B25" s="19" t="s">
        <v>28</v>
      </c>
      <c r="C25" s="19" t="s">
        <v>28</v>
      </c>
      <c r="D25" s="19" t="s">
        <v>28</v>
      </c>
      <c r="E25" s="19" t="s">
        <v>28</v>
      </c>
      <c r="F25" s="19" t="s">
        <v>28</v>
      </c>
      <c r="G25" s="14" t="s">
        <v>23</v>
      </c>
    </row>
    <row r="26" customFormat="false" ht="12.8" hidden="false" customHeight="false" outlineLevel="0" collapsed="false">
      <c r="A26" s="1" t="n">
        <v>24</v>
      </c>
      <c r="B26" s="23" t="s">
        <v>32</v>
      </c>
      <c r="C26" s="24" t="s">
        <v>33</v>
      </c>
      <c r="D26" s="17" t="s">
        <v>26</v>
      </c>
      <c r="E26" s="18" t="s">
        <v>27</v>
      </c>
      <c r="F26" s="18" t="s">
        <v>27</v>
      </c>
      <c r="G26" s="14" t="s">
        <v>23</v>
      </c>
    </row>
    <row r="27" customFormat="false" ht="12.8" hidden="false" customHeight="false" outlineLevel="0" collapsed="false">
      <c r="A27" s="1" t="n">
        <v>25</v>
      </c>
      <c r="B27" s="17" t="s">
        <v>26</v>
      </c>
      <c r="C27" s="18" t="s">
        <v>27</v>
      </c>
      <c r="D27" s="23" t="s">
        <v>32</v>
      </c>
      <c r="E27" s="24" t="s">
        <v>33</v>
      </c>
      <c r="F27" s="24" t="s">
        <v>33</v>
      </c>
      <c r="G27" s="14" t="s">
        <v>23</v>
      </c>
    </row>
    <row r="28" customFormat="false" ht="12.8" hidden="false" customHeight="false" outlineLevel="0" collapsed="false">
      <c r="A28" s="1" t="n">
        <v>26</v>
      </c>
      <c r="B28" s="19" t="s">
        <v>28</v>
      </c>
      <c r="C28" s="19" t="s">
        <v>28</v>
      </c>
      <c r="D28" s="19" t="s">
        <v>28</v>
      </c>
      <c r="E28" s="19" t="s">
        <v>28</v>
      </c>
      <c r="F28" s="19" t="s">
        <v>28</v>
      </c>
      <c r="G28" s="14" t="s">
        <v>23</v>
      </c>
    </row>
    <row r="29" customFormat="false" ht="12.8" hidden="false" customHeight="false" outlineLevel="0" collapsed="false">
      <c r="A29" s="1" t="n">
        <v>27</v>
      </c>
      <c r="B29" s="20" t="s">
        <v>29</v>
      </c>
      <c r="C29" s="21" t="s">
        <v>30</v>
      </c>
      <c r="D29" s="17" t="s">
        <v>26</v>
      </c>
      <c r="E29" s="18" t="s">
        <v>27</v>
      </c>
      <c r="F29" s="18" t="s">
        <v>27</v>
      </c>
      <c r="G29" s="14" t="s">
        <v>23</v>
      </c>
    </row>
    <row r="30" customFormat="false" ht="12.8" hidden="false" customHeight="false" outlineLevel="0" collapsed="false">
      <c r="A30" s="1" t="n">
        <v>28</v>
      </c>
      <c r="B30" s="17" t="s">
        <v>26</v>
      </c>
      <c r="C30" s="18" t="s">
        <v>27</v>
      </c>
      <c r="D30" s="20" t="s">
        <v>29</v>
      </c>
      <c r="E30" s="21" t="s">
        <v>30</v>
      </c>
      <c r="F30" s="22" t="s">
        <v>31</v>
      </c>
      <c r="G30" s="14" t="s">
        <v>23</v>
      </c>
    </row>
    <row r="31" customFormat="false" ht="12.8" hidden="false" customHeight="false" outlineLevel="0" collapsed="false">
      <c r="A31" s="1" t="n">
        <v>29</v>
      </c>
      <c r="B31" s="19" t="s">
        <v>28</v>
      </c>
      <c r="C31" s="19" t="s">
        <v>28</v>
      </c>
      <c r="D31" s="19" t="s">
        <v>28</v>
      </c>
      <c r="E31" s="19" t="s">
        <v>28</v>
      </c>
      <c r="F31" s="19" t="s">
        <v>28</v>
      </c>
      <c r="G31" s="14" t="s">
        <v>23</v>
      </c>
    </row>
    <row r="32" customFormat="false" ht="12.8" hidden="false" customHeight="true" outlineLevel="0" collapsed="false">
      <c r="A32" s="1" t="n">
        <v>30</v>
      </c>
      <c r="B32" s="20" t="s">
        <v>29</v>
      </c>
      <c r="C32" s="21" t="s">
        <v>30</v>
      </c>
      <c r="D32" s="17" t="s">
        <v>26</v>
      </c>
      <c r="E32" s="18" t="s">
        <v>27</v>
      </c>
      <c r="F32" s="18" t="s">
        <v>27</v>
      </c>
      <c r="G32" s="14" t="s">
        <v>23</v>
      </c>
    </row>
    <row r="33" customFormat="false" ht="12.8" hidden="false" customHeight="true" outlineLevel="0" collapsed="false">
      <c r="A33" s="1" t="n">
        <v>31</v>
      </c>
      <c r="B33" s="17" t="s">
        <v>26</v>
      </c>
      <c r="C33" s="18" t="s">
        <v>27</v>
      </c>
      <c r="D33" s="20" t="s">
        <v>29</v>
      </c>
      <c r="E33" s="21" t="s">
        <v>30</v>
      </c>
      <c r="F33" s="21" t="s">
        <v>30</v>
      </c>
      <c r="G33" s="14" t="s">
        <v>23</v>
      </c>
    </row>
    <row r="34" customFormat="false" ht="12.8" hidden="false" customHeight="true" outlineLevel="0" collapsed="false">
      <c r="A34" s="1" t="n">
        <v>32</v>
      </c>
      <c r="B34" s="19" t="s">
        <v>28</v>
      </c>
      <c r="C34" s="19" t="s">
        <v>28</v>
      </c>
      <c r="D34" s="19" t="s">
        <v>28</v>
      </c>
      <c r="E34" s="19" t="s">
        <v>28</v>
      </c>
      <c r="F34" s="19" t="s">
        <v>28</v>
      </c>
      <c r="G34" s="14" t="s">
        <v>23</v>
      </c>
    </row>
    <row r="35" customFormat="false" ht="12.8" hidden="false" customHeight="true" outlineLevel="0" collapsed="false">
      <c r="A35" s="1" t="n">
        <v>33</v>
      </c>
      <c r="B35" s="17" t="s">
        <v>26</v>
      </c>
      <c r="C35" s="18" t="s">
        <v>27</v>
      </c>
      <c r="D35" s="17" t="s">
        <v>26</v>
      </c>
      <c r="E35" s="18" t="s">
        <v>27</v>
      </c>
      <c r="F35" s="18" t="s">
        <v>27</v>
      </c>
      <c r="G35" s="14" t="s">
        <v>23</v>
      </c>
    </row>
    <row r="36" customFormat="false" ht="12.8" hidden="false" customHeight="true" outlineLevel="0" collapsed="false">
      <c r="A36" s="1" t="n">
        <v>34</v>
      </c>
      <c r="B36" s="20" t="s">
        <v>29</v>
      </c>
      <c r="C36" s="21" t="s">
        <v>30</v>
      </c>
      <c r="D36" s="20" t="s">
        <v>29</v>
      </c>
      <c r="E36" s="21" t="s">
        <v>30</v>
      </c>
      <c r="F36" s="21" t="s">
        <v>30</v>
      </c>
      <c r="G36" s="14" t="s">
        <v>23</v>
      </c>
    </row>
    <row r="37" customFormat="false" ht="12.8" hidden="false" customHeight="true" outlineLevel="0" collapsed="false">
      <c r="A37" s="1" t="n">
        <v>35</v>
      </c>
      <c r="B37" s="14"/>
      <c r="C37" s="14"/>
      <c r="E37" s="14"/>
      <c r="F37" s="14"/>
      <c r="G37" s="14" t="s">
        <v>23</v>
      </c>
    </row>
  </sheetData>
  <sheetProtection sheet="true" objects="true" scenarios="true"/>
  <autoFilter ref="A1:G37"/>
  <dataValidations count="2">
    <dataValidation allowBlank="true" errorStyle="stop" operator="equal" showDropDown="false" showErrorMessage="true" showInputMessage="false" sqref="B2:F36 B37:C37 E37:F37" type="list">
      <formula1>Data!$B$2:$B$25</formula1>
      <formula2>0</formula2>
    </dataValidation>
    <dataValidation allowBlank="true" errorStyle="stop" operator="equal" showDropDown="false" showErrorMessage="true" showInputMessage="false" sqref="G2:G37" type="list">
      <formula1>Data!$B$2:$B$25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0" activeCellId="0" sqref="J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1" width="15.17"/>
    <col collapsed="false" customWidth="false" hidden="false" outlineLevel="0" max="3" min="3" style="1" width="11.53"/>
    <col collapsed="false" customWidth="true" hidden="false" outlineLevel="0" max="4" min="4" style="1" width="14.29"/>
    <col collapsed="false" customWidth="true" hidden="false" outlineLevel="0" max="5" min="5" style="1" width="17.23"/>
    <col collapsed="false" customWidth="true" hidden="false" outlineLevel="0" max="6" min="6" style="1" width="14.29"/>
    <col collapsed="false" customWidth="true" hidden="false" outlineLevel="0" max="8" min="7" style="1" width="18.19"/>
  </cols>
  <sheetData>
    <row r="1" customFormat="false" ht="12.8" hidden="false" customHeight="false" outlineLevel="0" collapsed="false">
      <c r="A1" s="25" t="s">
        <v>17</v>
      </c>
      <c r="B1" s="25" t="s">
        <v>19</v>
      </c>
      <c r="C1" s="3" t="s">
        <v>16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</row>
    <row r="2" customFormat="false" ht="12.8" hidden="false" customHeight="false" outlineLevel="0" collapsed="false">
      <c r="A2" s="14"/>
      <c r="B2" s="14"/>
      <c r="C2" s="1" t="n">
        <v>0</v>
      </c>
      <c r="D2" s="14"/>
      <c r="E2" s="14"/>
      <c r="F2" s="14"/>
      <c r="G2" s="14"/>
      <c r="H2" s="14"/>
    </row>
    <row r="3" customFormat="false" ht="12.8" hidden="false" customHeight="false" outlineLevel="0" collapsed="false">
      <c r="A3" s="15" t="s">
        <v>24</v>
      </c>
      <c r="B3" s="15" t="s">
        <v>24</v>
      </c>
      <c r="C3" s="1" t="n">
        <v>1</v>
      </c>
      <c r="D3" s="14" t="s">
        <v>39</v>
      </c>
      <c r="E3" s="14" t="s">
        <v>39</v>
      </c>
      <c r="F3" s="14" t="s">
        <v>39</v>
      </c>
      <c r="G3" s="1" t="n">
        <v>700</v>
      </c>
      <c r="H3" s="1" t="n">
        <v>700</v>
      </c>
    </row>
    <row r="4" customFormat="false" ht="12.8" hidden="false" customHeight="false" outlineLevel="0" collapsed="false">
      <c r="A4" s="17" t="s">
        <v>40</v>
      </c>
      <c r="B4" s="17" t="s">
        <v>41</v>
      </c>
      <c r="C4" s="1" t="n">
        <v>2</v>
      </c>
      <c r="D4" s="14" t="s">
        <v>39</v>
      </c>
      <c r="E4" s="14" t="s">
        <v>39</v>
      </c>
      <c r="F4" s="14" t="s">
        <v>39</v>
      </c>
    </row>
    <row r="5" customFormat="false" ht="12.8" hidden="false" customHeight="false" outlineLevel="0" collapsed="false">
      <c r="A5" s="19" t="s">
        <v>28</v>
      </c>
      <c r="B5" s="19" t="s">
        <v>28</v>
      </c>
      <c r="C5" s="1" t="n">
        <v>3</v>
      </c>
      <c r="D5" s="14" t="s">
        <v>39</v>
      </c>
      <c r="E5" s="14" t="s">
        <v>39</v>
      </c>
      <c r="F5" s="14" t="s">
        <v>39</v>
      </c>
    </row>
    <row r="6" customFormat="false" ht="12.8" hidden="false" customHeight="false" outlineLevel="0" collapsed="false">
      <c r="A6" s="20" t="s">
        <v>29</v>
      </c>
      <c r="B6" s="17" t="s">
        <v>41</v>
      </c>
      <c r="C6" s="1" t="n">
        <v>4</v>
      </c>
      <c r="D6" s="20" t="s">
        <v>42</v>
      </c>
      <c r="E6" s="14" t="s">
        <v>39</v>
      </c>
      <c r="F6" s="14" t="s">
        <v>39</v>
      </c>
    </row>
    <row r="7" customFormat="false" ht="12.8" hidden="false" customHeight="false" outlineLevel="0" collapsed="false">
      <c r="A7" s="17" t="s">
        <v>40</v>
      </c>
      <c r="B7" s="20" t="s">
        <v>29</v>
      </c>
      <c r="C7" s="1" t="n">
        <v>5</v>
      </c>
      <c r="D7" s="14" t="s">
        <v>39</v>
      </c>
      <c r="E7" s="20" t="s">
        <v>42</v>
      </c>
      <c r="F7" s="14" t="s">
        <v>39</v>
      </c>
    </row>
    <row r="8" customFormat="false" ht="12.8" hidden="false" customHeight="false" outlineLevel="0" collapsed="false">
      <c r="A8" s="19" t="s">
        <v>28</v>
      </c>
      <c r="B8" s="19" t="s">
        <v>28</v>
      </c>
      <c r="C8" s="1" t="n">
        <v>6</v>
      </c>
      <c r="D8" s="14" t="s">
        <v>39</v>
      </c>
      <c r="E8" s="14" t="s">
        <v>39</v>
      </c>
      <c r="F8" s="14" t="s">
        <v>39</v>
      </c>
    </row>
    <row r="9" customFormat="false" ht="12.8" hidden="false" customHeight="false" outlineLevel="0" collapsed="false">
      <c r="A9" s="15" t="s">
        <v>24</v>
      </c>
      <c r="B9" s="17" t="s">
        <v>41</v>
      </c>
      <c r="C9" s="1" t="n">
        <v>7</v>
      </c>
      <c r="D9" s="14" t="s">
        <v>39</v>
      </c>
      <c r="E9" s="14" t="s">
        <v>39</v>
      </c>
      <c r="F9" s="14" t="s">
        <v>39</v>
      </c>
    </row>
    <row r="10" customFormat="false" ht="12.8" hidden="false" customHeight="false" outlineLevel="0" collapsed="false">
      <c r="A10" s="17" t="s">
        <v>40</v>
      </c>
      <c r="B10" s="15" t="s">
        <v>24</v>
      </c>
      <c r="C10" s="1" t="n">
        <v>8</v>
      </c>
      <c r="D10" s="14" t="s">
        <v>39</v>
      </c>
      <c r="E10" s="14" t="s">
        <v>39</v>
      </c>
      <c r="F10" s="14" t="s">
        <v>39</v>
      </c>
    </row>
    <row r="11" customFormat="false" ht="12.8" hidden="false" customHeight="false" outlineLevel="0" collapsed="false">
      <c r="A11" s="19" t="s">
        <v>28</v>
      </c>
      <c r="B11" s="19" t="s">
        <v>28</v>
      </c>
      <c r="C11" s="1" t="n">
        <v>9</v>
      </c>
      <c r="D11" s="14" t="s">
        <v>39</v>
      </c>
      <c r="E11" s="14" t="s">
        <v>39</v>
      </c>
      <c r="F11" s="14" t="s">
        <v>39</v>
      </c>
    </row>
    <row r="12" customFormat="false" ht="12.8" hidden="false" customHeight="false" outlineLevel="0" collapsed="false">
      <c r="A12" s="15" t="s">
        <v>24</v>
      </c>
      <c r="B12" s="17" t="s">
        <v>41</v>
      </c>
      <c r="C12" s="1" t="n">
        <v>10</v>
      </c>
      <c r="D12" s="14" t="s">
        <v>39</v>
      </c>
      <c r="E12" s="14" t="s">
        <v>39</v>
      </c>
      <c r="F12" s="14" t="s">
        <v>39</v>
      </c>
    </row>
    <row r="13" customFormat="false" ht="12.8" hidden="false" customHeight="false" outlineLevel="0" collapsed="false">
      <c r="A13" s="17" t="s">
        <v>40</v>
      </c>
      <c r="B13" s="15" t="s">
        <v>24</v>
      </c>
      <c r="C13" s="1" t="n">
        <v>11</v>
      </c>
      <c r="D13" s="14" t="s">
        <v>39</v>
      </c>
      <c r="E13" s="14" t="s">
        <v>39</v>
      </c>
      <c r="F13" s="14" t="s">
        <v>39</v>
      </c>
    </row>
    <row r="14" customFormat="false" ht="12.8" hidden="false" customHeight="false" outlineLevel="0" collapsed="false">
      <c r="A14" s="19" t="s">
        <v>28</v>
      </c>
      <c r="B14" s="19" t="s">
        <v>28</v>
      </c>
      <c r="C14" s="1" t="n">
        <v>12</v>
      </c>
      <c r="D14" s="14" t="s">
        <v>39</v>
      </c>
      <c r="E14" s="14" t="s">
        <v>39</v>
      </c>
      <c r="F14" s="14" t="s">
        <v>39</v>
      </c>
    </row>
    <row r="15" customFormat="false" ht="12.8" hidden="false" customHeight="false" outlineLevel="0" collapsed="false">
      <c r="A15" s="20" t="s">
        <v>29</v>
      </c>
      <c r="B15" s="17" t="s">
        <v>41</v>
      </c>
      <c r="C15" s="1" t="n">
        <v>13</v>
      </c>
      <c r="D15" s="20" t="s">
        <v>42</v>
      </c>
      <c r="E15" s="14" t="s">
        <v>39</v>
      </c>
      <c r="F15" s="14" t="s">
        <v>39</v>
      </c>
      <c r="G15" s="1" t="n">
        <v>1575</v>
      </c>
      <c r="H15" s="13"/>
    </row>
    <row r="16" customFormat="false" ht="12.8" hidden="false" customHeight="false" outlineLevel="0" collapsed="false">
      <c r="A16" s="17" t="s">
        <v>40</v>
      </c>
      <c r="B16" s="20" t="s">
        <v>29</v>
      </c>
      <c r="C16" s="1" t="n">
        <v>14</v>
      </c>
      <c r="D16" s="14" t="s">
        <v>39</v>
      </c>
      <c r="E16" s="20" t="s">
        <v>42</v>
      </c>
      <c r="F16" s="14" t="s">
        <v>39</v>
      </c>
      <c r="H16" s="1" t="n">
        <v>1575</v>
      </c>
    </row>
    <row r="17" customFormat="false" ht="12.8" hidden="false" customHeight="false" outlineLevel="0" collapsed="false">
      <c r="A17" s="19" t="s">
        <v>28</v>
      </c>
      <c r="B17" s="19" t="s">
        <v>28</v>
      </c>
      <c r="C17" s="1" t="n">
        <v>15</v>
      </c>
      <c r="D17" s="14" t="s">
        <v>39</v>
      </c>
      <c r="E17" s="14" t="s">
        <v>39</v>
      </c>
      <c r="F17" s="14" t="s">
        <v>39</v>
      </c>
    </row>
    <row r="18" customFormat="false" ht="12.8" hidden="false" customHeight="false" outlineLevel="0" collapsed="false">
      <c r="A18" s="20" t="s">
        <v>29</v>
      </c>
      <c r="B18" s="17" t="s">
        <v>41</v>
      </c>
      <c r="C18" s="1" t="n">
        <v>16</v>
      </c>
      <c r="D18" s="20" t="s">
        <v>42</v>
      </c>
      <c r="E18" s="14" t="s">
        <v>39</v>
      </c>
      <c r="F18" s="14" t="s">
        <v>39</v>
      </c>
    </row>
    <row r="19" customFormat="false" ht="12.8" hidden="false" customHeight="false" outlineLevel="0" collapsed="false">
      <c r="A19" s="17" t="s">
        <v>40</v>
      </c>
      <c r="B19" s="20" t="s">
        <v>29</v>
      </c>
      <c r="C19" s="1" t="n">
        <v>17</v>
      </c>
      <c r="D19" s="14" t="s">
        <v>39</v>
      </c>
      <c r="E19" s="20" t="s">
        <v>42</v>
      </c>
      <c r="F19" s="14" t="s">
        <v>39</v>
      </c>
    </row>
    <row r="20" customFormat="false" ht="12.8" hidden="false" customHeight="false" outlineLevel="0" collapsed="false">
      <c r="A20" s="19" t="s">
        <v>28</v>
      </c>
      <c r="B20" s="19" t="s">
        <v>28</v>
      </c>
      <c r="C20" s="1" t="n">
        <v>18</v>
      </c>
      <c r="D20" s="14" t="s">
        <v>39</v>
      </c>
      <c r="E20" s="14" t="s">
        <v>39</v>
      </c>
      <c r="F20" s="14" t="s">
        <v>39</v>
      </c>
    </row>
    <row r="21" customFormat="false" ht="12.8" hidden="false" customHeight="false" outlineLevel="0" collapsed="false">
      <c r="A21" s="23" t="s">
        <v>32</v>
      </c>
      <c r="B21" s="17" t="s">
        <v>41</v>
      </c>
      <c r="C21" s="1" t="n">
        <v>19</v>
      </c>
      <c r="D21" s="14" t="s">
        <v>39</v>
      </c>
      <c r="E21" s="14" t="s">
        <v>39</v>
      </c>
      <c r="F21" s="14" t="s">
        <v>39</v>
      </c>
    </row>
    <row r="22" customFormat="false" ht="12.8" hidden="false" customHeight="false" outlineLevel="0" collapsed="false">
      <c r="A22" s="17" t="s">
        <v>40</v>
      </c>
      <c r="B22" s="23" t="s">
        <v>32</v>
      </c>
      <c r="C22" s="1" t="n">
        <v>20</v>
      </c>
      <c r="D22" s="14" t="s">
        <v>39</v>
      </c>
      <c r="E22" s="14" t="s">
        <v>39</v>
      </c>
      <c r="F22" s="14" t="s">
        <v>39</v>
      </c>
    </row>
    <row r="23" customFormat="false" ht="12.8" hidden="false" customHeight="false" outlineLevel="0" collapsed="false">
      <c r="A23" s="19" t="s">
        <v>28</v>
      </c>
      <c r="B23" s="19" t="s">
        <v>28</v>
      </c>
      <c r="C23" s="1" t="n">
        <v>21</v>
      </c>
      <c r="D23" s="14" t="s">
        <v>39</v>
      </c>
      <c r="E23" s="14" t="s">
        <v>39</v>
      </c>
      <c r="F23" s="14" t="s">
        <v>39</v>
      </c>
    </row>
    <row r="24" customFormat="false" ht="12.8" hidden="false" customHeight="false" outlineLevel="0" collapsed="false">
      <c r="A24" s="15" t="s">
        <v>24</v>
      </c>
      <c r="B24" s="15" t="s">
        <v>24</v>
      </c>
      <c r="C24" s="1" t="n">
        <v>22</v>
      </c>
      <c r="D24" s="14" t="s">
        <v>39</v>
      </c>
      <c r="E24" s="14" t="s">
        <v>39</v>
      </c>
      <c r="F24" s="14" t="s">
        <v>39</v>
      </c>
    </row>
    <row r="25" customFormat="false" ht="12.8" hidden="false" customHeight="false" outlineLevel="0" collapsed="false">
      <c r="A25" s="19" t="s">
        <v>28</v>
      </c>
      <c r="B25" s="19" t="s">
        <v>28</v>
      </c>
      <c r="C25" s="1" t="n">
        <v>23</v>
      </c>
      <c r="D25" s="14" t="s">
        <v>39</v>
      </c>
      <c r="E25" s="14" t="s">
        <v>39</v>
      </c>
      <c r="F25" s="14" t="s">
        <v>39</v>
      </c>
    </row>
    <row r="26" customFormat="false" ht="12.8" hidden="false" customHeight="false" outlineLevel="0" collapsed="false">
      <c r="A26" s="23" t="s">
        <v>32</v>
      </c>
      <c r="B26" s="17" t="s">
        <v>41</v>
      </c>
      <c r="C26" s="1" t="n">
        <v>24</v>
      </c>
      <c r="D26" s="14" t="s">
        <v>39</v>
      </c>
      <c r="E26" s="14" t="s">
        <v>39</v>
      </c>
      <c r="F26" s="14" t="s">
        <v>39</v>
      </c>
    </row>
    <row r="27" customFormat="false" ht="12.8" hidden="false" customHeight="false" outlineLevel="0" collapsed="false">
      <c r="A27" s="17" t="s">
        <v>40</v>
      </c>
      <c r="B27" s="23" t="s">
        <v>32</v>
      </c>
      <c r="C27" s="1" t="n">
        <v>25</v>
      </c>
      <c r="D27" s="14" t="s">
        <v>39</v>
      </c>
      <c r="E27" s="14" t="s">
        <v>39</v>
      </c>
      <c r="F27" s="14" t="s">
        <v>39</v>
      </c>
    </row>
    <row r="28" customFormat="false" ht="12.8" hidden="false" customHeight="false" outlineLevel="0" collapsed="false">
      <c r="A28" s="19" t="s">
        <v>28</v>
      </c>
      <c r="B28" s="19" t="s">
        <v>28</v>
      </c>
      <c r="C28" s="1" t="n">
        <v>26</v>
      </c>
      <c r="D28" s="14" t="s">
        <v>39</v>
      </c>
      <c r="E28" s="14" t="s">
        <v>39</v>
      </c>
      <c r="F28" s="14" t="s">
        <v>39</v>
      </c>
    </row>
    <row r="29" customFormat="false" ht="12.8" hidden="false" customHeight="false" outlineLevel="0" collapsed="false">
      <c r="A29" s="20" t="s">
        <v>29</v>
      </c>
      <c r="B29" s="17" t="s">
        <v>41</v>
      </c>
      <c r="C29" s="1" t="n">
        <v>27</v>
      </c>
      <c r="D29" s="20" t="s">
        <v>42</v>
      </c>
      <c r="E29" s="14" t="s">
        <v>39</v>
      </c>
      <c r="F29" s="14" t="s">
        <v>39</v>
      </c>
      <c r="G29" s="1" t="n">
        <v>1275</v>
      </c>
      <c r="H29" s="13"/>
    </row>
    <row r="30" customFormat="false" ht="12.8" hidden="false" customHeight="false" outlineLevel="0" collapsed="false">
      <c r="A30" s="17" t="s">
        <v>40</v>
      </c>
      <c r="B30" s="20" t="s">
        <v>29</v>
      </c>
      <c r="C30" s="1" t="n">
        <v>28</v>
      </c>
      <c r="D30" s="14" t="s">
        <v>39</v>
      </c>
      <c r="E30" s="20" t="s">
        <v>42</v>
      </c>
      <c r="F30" s="14" t="s">
        <v>39</v>
      </c>
      <c r="H30" s="1" t="n">
        <v>1275</v>
      </c>
    </row>
    <row r="31" customFormat="false" ht="12.8" hidden="false" customHeight="false" outlineLevel="0" collapsed="false">
      <c r="A31" s="19" t="s">
        <v>28</v>
      </c>
      <c r="B31" s="19" t="s">
        <v>28</v>
      </c>
      <c r="C31" s="1" t="n">
        <v>29</v>
      </c>
      <c r="D31" s="14" t="s">
        <v>39</v>
      </c>
      <c r="E31" s="14" t="s">
        <v>39</v>
      </c>
      <c r="F31" s="14" t="s">
        <v>39</v>
      </c>
    </row>
    <row r="32" customFormat="false" ht="12.8" hidden="false" customHeight="true" outlineLevel="0" collapsed="false">
      <c r="A32" s="20" t="s">
        <v>29</v>
      </c>
      <c r="B32" s="17" t="s">
        <v>41</v>
      </c>
      <c r="C32" s="1" t="n">
        <v>30</v>
      </c>
      <c r="D32" s="20" t="s">
        <v>42</v>
      </c>
      <c r="E32" s="14" t="s">
        <v>39</v>
      </c>
      <c r="F32" s="14" t="s">
        <v>39</v>
      </c>
    </row>
    <row r="33" customFormat="false" ht="12.8" hidden="false" customHeight="true" outlineLevel="0" collapsed="false">
      <c r="A33" s="17" t="s">
        <v>40</v>
      </c>
      <c r="B33" s="20" t="s">
        <v>29</v>
      </c>
      <c r="C33" s="1" t="n">
        <v>31</v>
      </c>
      <c r="D33" s="14" t="s">
        <v>39</v>
      </c>
      <c r="E33" s="20" t="s">
        <v>42</v>
      </c>
      <c r="F33" s="14" t="s">
        <v>39</v>
      </c>
    </row>
    <row r="34" customFormat="false" ht="12.8" hidden="false" customHeight="true" outlineLevel="0" collapsed="false">
      <c r="A34" s="19" t="s">
        <v>28</v>
      </c>
      <c r="B34" s="19" t="s">
        <v>28</v>
      </c>
      <c r="C34" s="1" t="n">
        <v>32</v>
      </c>
      <c r="D34" s="14" t="s">
        <v>39</v>
      </c>
      <c r="E34" s="14" t="s">
        <v>39</v>
      </c>
      <c r="F34" s="14" t="s">
        <v>39</v>
      </c>
    </row>
    <row r="35" customFormat="false" ht="12.8" hidden="false" customHeight="true" outlineLevel="0" collapsed="false">
      <c r="A35" s="17" t="s">
        <v>40</v>
      </c>
      <c r="B35" s="17" t="s">
        <v>41</v>
      </c>
      <c r="C35" s="1" t="n">
        <v>33</v>
      </c>
      <c r="D35" s="14" t="s">
        <v>39</v>
      </c>
      <c r="E35" s="14" t="s">
        <v>39</v>
      </c>
      <c r="F35" s="14" t="s">
        <v>39</v>
      </c>
    </row>
    <row r="36" customFormat="false" ht="12.8" hidden="false" customHeight="true" outlineLevel="0" collapsed="false">
      <c r="A36" s="20" t="s">
        <v>29</v>
      </c>
      <c r="B36" s="20" t="s">
        <v>29</v>
      </c>
      <c r="C36" s="1" t="n">
        <v>34</v>
      </c>
      <c r="D36" s="20" t="s">
        <v>42</v>
      </c>
      <c r="E36" s="20" t="s">
        <v>42</v>
      </c>
      <c r="F36" s="14" t="s">
        <v>39</v>
      </c>
      <c r="G36" s="1" t="n">
        <v>1000</v>
      </c>
      <c r="H36" s="26" t="n">
        <v>1000</v>
      </c>
    </row>
    <row r="37" customFormat="false" ht="12.8" hidden="false" customHeight="true" outlineLevel="0" collapsed="false">
      <c r="A37" s="14"/>
    </row>
  </sheetData>
  <sheetProtection sheet="true" objects="true" scenarios="true"/>
  <autoFilter ref="A1:H31"/>
  <dataValidations count="4">
    <dataValidation allowBlank="true" errorStyle="stop" operator="equal" showDropDown="false" showErrorMessage="true" showInputMessage="false" sqref="A2:B36 A37" type="list">
      <formula1>Data!$B$2:$B$25</formula1>
      <formula2>0</formula2>
    </dataValidation>
    <dataValidation allowBlank="true" errorStyle="stop" operator="equal" showDropDown="false" showErrorMessage="true" showInputMessage="false" sqref="D2:F2" type="list">
      <formula1>Data!$B$2:$B$25</formula1>
      <formula2>0</formula2>
    </dataValidation>
    <dataValidation allowBlank="true" errorStyle="stop" operator="equal" showDropDown="false" showErrorMessage="true" showInputMessage="false" sqref="D3:F36" type="list">
      <formula1>Data!$N$2:$N$25</formula1>
      <formula2>0</formula2>
    </dataValidation>
    <dataValidation allowBlank="true" errorStyle="stop" operator="equal" showDropDown="false" showErrorMessage="true" showInputMessage="false" sqref="G2:H2" type="list">
      <formula1>Data!$P$2:$P$25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7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17"/>
    <col collapsed="false" customWidth="true" hidden="false" outlineLevel="0" max="2" min="2" style="1" width="14.29"/>
    <col collapsed="false" customWidth="true" hidden="false" outlineLevel="0" max="3" min="3" style="1" width="17.23"/>
    <col collapsed="false" customWidth="true" hidden="false" outlineLevel="0" max="4" min="4" style="1" width="7.27"/>
    <col collapsed="false" customWidth="true" hidden="false" outlineLevel="0" max="6" min="5" style="1" width="14.87"/>
    <col collapsed="false" customWidth="true" hidden="false" outlineLevel="0" max="9" min="7" style="1" width="18.19"/>
    <col collapsed="false" customWidth="true" hidden="false" outlineLevel="0" max="11" min="11" style="13" width="50.5"/>
  </cols>
  <sheetData>
    <row r="1" customFormat="false" ht="12.8" hidden="false" customHeight="false" outlineLevel="0" collapsed="false">
      <c r="A1" s="25" t="s">
        <v>17</v>
      </c>
      <c r="B1" s="25" t="s">
        <v>34</v>
      </c>
      <c r="C1" s="25" t="s">
        <v>35</v>
      </c>
      <c r="D1" s="3" t="s">
        <v>16</v>
      </c>
      <c r="E1" s="3" t="s">
        <v>43</v>
      </c>
      <c r="F1" s="3" t="s">
        <v>44</v>
      </c>
      <c r="G1" s="3" t="s">
        <v>45</v>
      </c>
      <c r="H1" s="3" t="s">
        <v>46</v>
      </c>
      <c r="I1" s="3" t="s">
        <v>47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12.8" hidden="false" customHeight="false" outlineLevel="0" collapsed="false">
      <c r="A2" s="14"/>
      <c r="B2" s="14"/>
      <c r="C2" s="14"/>
      <c r="D2" s="26" t="n">
        <v>0</v>
      </c>
      <c r="E2" s="26"/>
      <c r="F2" s="26"/>
      <c r="G2" s="26"/>
      <c r="H2" s="26"/>
      <c r="I2" s="26"/>
    </row>
    <row r="3" customFormat="false" ht="12.8" hidden="false" customHeight="false" outlineLevel="0" collapsed="false">
      <c r="A3" s="15" t="s">
        <v>24</v>
      </c>
      <c r="B3" s="14" t="s">
        <v>39</v>
      </c>
      <c r="C3" s="14" t="s">
        <v>39</v>
      </c>
      <c r="D3" s="1" t="n">
        <v>1</v>
      </c>
      <c r="E3" s="27" t="s">
        <v>48</v>
      </c>
      <c r="F3" s="27" t="s">
        <v>48</v>
      </c>
      <c r="G3" s="27" t="s">
        <v>48</v>
      </c>
      <c r="H3" s="27" t="s">
        <v>48</v>
      </c>
      <c r="I3" s="27" t="s">
        <v>48</v>
      </c>
    </row>
    <row r="4" customFormat="false" ht="12.8" hidden="false" customHeight="false" outlineLevel="0" collapsed="false">
      <c r="A4" s="17" t="s">
        <v>40</v>
      </c>
      <c r="B4" s="14" t="s">
        <v>39</v>
      </c>
      <c r="C4" s="14" t="s">
        <v>39</v>
      </c>
      <c r="D4" s="1" t="n">
        <v>2</v>
      </c>
      <c r="E4" s="14" t="s">
        <v>49</v>
      </c>
      <c r="F4" s="14" t="s">
        <v>49</v>
      </c>
      <c r="G4" s="14" t="s">
        <v>49</v>
      </c>
      <c r="H4" s="14" t="s">
        <v>49</v>
      </c>
      <c r="I4" s="14" t="s">
        <v>49</v>
      </c>
    </row>
    <row r="5" customFormat="false" ht="12.8" hidden="false" customHeight="false" outlineLevel="0" collapsed="false">
      <c r="A5" s="19" t="s">
        <v>28</v>
      </c>
      <c r="B5" s="14" t="s">
        <v>39</v>
      </c>
      <c r="C5" s="14" t="s">
        <v>39</v>
      </c>
      <c r="D5" s="1" t="n">
        <v>3</v>
      </c>
      <c r="E5" s="14" t="s">
        <v>49</v>
      </c>
      <c r="F5" s="14" t="s">
        <v>49</v>
      </c>
      <c r="G5" s="14" t="s">
        <v>49</v>
      </c>
      <c r="H5" s="14" t="s">
        <v>49</v>
      </c>
      <c r="I5" s="14" t="s">
        <v>49</v>
      </c>
    </row>
    <row r="6" customFormat="false" ht="12.8" hidden="false" customHeight="false" outlineLevel="0" collapsed="false">
      <c r="A6" s="20" t="s">
        <v>29</v>
      </c>
      <c r="B6" s="20" t="s">
        <v>42</v>
      </c>
      <c r="C6" s="14" t="s">
        <v>39</v>
      </c>
      <c r="D6" s="1" t="n">
        <v>4</v>
      </c>
      <c r="E6" s="28" t="s">
        <v>50</v>
      </c>
      <c r="F6" s="27" t="s">
        <v>51</v>
      </c>
      <c r="G6" s="14" t="s">
        <v>49</v>
      </c>
      <c r="H6" s="14" t="s">
        <v>49</v>
      </c>
      <c r="I6" s="14" t="s">
        <v>49</v>
      </c>
    </row>
    <row r="7" customFormat="false" ht="12.8" hidden="false" customHeight="false" outlineLevel="0" collapsed="false">
      <c r="A7" s="17" t="s">
        <v>40</v>
      </c>
      <c r="B7" s="14" t="s">
        <v>39</v>
      </c>
      <c r="C7" s="20" t="s">
        <v>42</v>
      </c>
      <c r="D7" s="1" t="n">
        <v>5</v>
      </c>
      <c r="E7" s="14" t="s">
        <v>49</v>
      </c>
      <c r="F7" s="14" t="s">
        <v>49</v>
      </c>
      <c r="G7" s="28" t="s">
        <v>50</v>
      </c>
      <c r="H7" s="27" t="s">
        <v>51</v>
      </c>
      <c r="I7" s="28" t="s">
        <v>50</v>
      </c>
    </row>
    <row r="8" customFormat="false" ht="12.8" hidden="false" customHeight="false" outlineLevel="0" collapsed="false">
      <c r="A8" s="19" t="s">
        <v>28</v>
      </c>
      <c r="B8" s="14" t="s">
        <v>39</v>
      </c>
      <c r="C8" s="14" t="s">
        <v>39</v>
      </c>
      <c r="D8" s="1" t="n">
        <v>6</v>
      </c>
      <c r="E8" s="14" t="s">
        <v>49</v>
      </c>
      <c r="F8" s="14" t="s">
        <v>49</v>
      </c>
      <c r="G8" s="14" t="s">
        <v>49</v>
      </c>
      <c r="H8" s="14" t="s">
        <v>49</v>
      </c>
      <c r="I8" s="14" t="s">
        <v>49</v>
      </c>
    </row>
    <row r="9" customFormat="false" ht="12.8" hidden="false" customHeight="false" outlineLevel="0" collapsed="false">
      <c r="A9" s="15" t="s">
        <v>24</v>
      </c>
      <c r="B9" s="14" t="s">
        <v>39</v>
      </c>
      <c r="C9" s="14" t="s">
        <v>39</v>
      </c>
      <c r="D9" s="1" t="n">
        <v>7</v>
      </c>
      <c r="E9" s="27" t="s">
        <v>51</v>
      </c>
      <c r="F9" s="27" t="s">
        <v>51</v>
      </c>
      <c r="G9" s="14" t="s">
        <v>49</v>
      </c>
      <c r="H9" s="14" t="s">
        <v>49</v>
      </c>
      <c r="I9" s="14" t="s">
        <v>49</v>
      </c>
    </row>
    <row r="10" customFormat="false" ht="12.8" hidden="false" customHeight="false" outlineLevel="0" collapsed="false">
      <c r="A10" s="17" t="s">
        <v>40</v>
      </c>
      <c r="B10" s="14" t="s">
        <v>39</v>
      </c>
      <c r="C10" s="14" t="s">
        <v>39</v>
      </c>
      <c r="D10" s="1" t="n">
        <v>8</v>
      </c>
      <c r="E10" s="14" t="s">
        <v>49</v>
      </c>
      <c r="F10" s="14" t="s">
        <v>49</v>
      </c>
      <c r="G10" s="27" t="s">
        <v>51</v>
      </c>
      <c r="H10" s="27" t="s">
        <v>51</v>
      </c>
      <c r="I10" s="27" t="s">
        <v>51</v>
      </c>
    </row>
    <row r="11" customFormat="false" ht="12.8" hidden="false" customHeight="false" outlineLevel="0" collapsed="false">
      <c r="A11" s="19" t="s">
        <v>28</v>
      </c>
      <c r="B11" s="14" t="s">
        <v>39</v>
      </c>
      <c r="C11" s="14" t="s">
        <v>39</v>
      </c>
      <c r="D11" s="1" t="n">
        <v>9</v>
      </c>
      <c r="E11" s="14" t="s">
        <v>49</v>
      </c>
      <c r="F11" s="14" t="s">
        <v>49</v>
      </c>
      <c r="G11" s="14" t="s">
        <v>49</v>
      </c>
      <c r="H11" s="14" t="s">
        <v>49</v>
      </c>
      <c r="I11" s="14" t="s">
        <v>49</v>
      </c>
    </row>
    <row r="12" customFormat="false" ht="12.8" hidden="false" customHeight="false" outlineLevel="0" collapsed="false">
      <c r="A12" s="15" t="s">
        <v>24</v>
      </c>
      <c r="B12" s="14" t="s">
        <v>39</v>
      </c>
      <c r="C12" s="14" t="s">
        <v>39</v>
      </c>
      <c r="D12" s="1" t="n">
        <v>10</v>
      </c>
      <c r="E12" s="27" t="s">
        <v>51</v>
      </c>
      <c r="F12" s="27" t="s">
        <v>51</v>
      </c>
      <c r="G12" s="14" t="s">
        <v>49</v>
      </c>
      <c r="H12" s="14" t="s">
        <v>49</v>
      </c>
      <c r="I12" s="14" t="s">
        <v>49</v>
      </c>
    </row>
    <row r="13" customFormat="false" ht="12.8" hidden="false" customHeight="false" outlineLevel="0" collapsed="false">
      <c r="A13" s="17" t="s">
        <v>40</v>
      </c>
      <c r="B13" s="14" t="s">
        <v>39</v>
      </c>
      <c r="C13" s="14" t="s">
        <v>39</v>
      </c>
      <c r="D13" s="1" t="n">
        <v>11</v>
      </c>
      <c r="E13" s="14" t="s">
        <v>49</v>
      </c>
      <c r="F13" s="14" t="s">
        <v>49</v>
      </c>
      <c r="G13" s="27" t="s">
        <v>51</v>
      </c>
      <c r="H13" s="27" t="s">
        <v>51</v>
      </c>
      <c r="I13" s="27" t="s">
        <v>51</v>
      </c>
    </row>
    <row r="14" customFormat="false" ht="12.8" hidden="false" customHeight="false" outlineLevel="0" collapsed="false">
      <c r="A14" s="19" t="s">
        <v>28</v>
      </c>
      <c r="B14" s="14" t="s">
        <v>39</v>
      </c>
      <c r="C14" s="14" t="s">
        <v>39</v>
      </c>
      <c r="D14" s="1" t="n">
        <v>12</v>
      </c>
      <c r="E14" s="14" t="s">
        <v>49</v>
      </c>
      <c r="F14" s="14" t="s">
        <v>49</v>
      </c>
      <c r="G14" s="14" t="s">
        <v>49</v>
      </c>
      <c r="H14" s="14" t="s">
        <v>49</v>
      </c>
      <c r="I14" s="14" t="s">
        <v>49</v>
      </c>
    </row>
    <row r="15" customFormat="false" ht="12.8" hidden="false" customHeight="false" outlineLevel="0" collapsed="false">
      <c r="A15" s="20" t="s">
        <v>29</v>
      </c>
      <c r="B15" s="20" t="s">
        <v>42</v>
      </c>
      <c r="C15" s="14" t="s">
        <v>39</v>
      </c>
      <c r="D15" s="1" t="n">
        <v>13</v>
      </c>
      <c r="E15" s="28" t="s">
        <v>50</v>
      </c>
      <c r="F15" s="28" t="s">
        <v>50</v>
      </c>
      <c r="G15" s="14" t="s">
        <v>49</v>
      </c>
      <c r="H15" s="14" t="s">
        <v>49</v>
      </c>
      <c r="I15" s="17" t="s">
        <v>52</v>
      </c>
      <c r="K15" s="29" t="s">
        <v>53</v>
      </c>
    </row>
    <row r="16" customFormat="false" ht="12.8" hidden="false" customHeight="false" outlineLevel="0" collapsed="false">
      <c r="A16" s="17" t="s">
        <v>40</v>
      </c>
      <c r="B16" s="14" t="s">
        <v>39</v>
      </c>
      <c r="C16" s="20" t="s">
        <v>42</v>
      </c>
      <c r="D16" s="1" t="n">
        <v>14</v>
      </c>
      <c r="E16" s="14" t="s">
        <v>49</v>
      </c>
      <c r="F16" s="14" t="s">
        <v>49</v>
      </c>
      <c r="G16" s="28" t="s">
        <v>50</v>
      </c>
      <c r="H16" s="28" t="s">
        <v>50</v>
      </c>
      <c r="I16" s="25" t="s">
        <v>54</v>
      </c>
    </row>
    <row r="17" customFormat="false" ht="12.8" hidden="false" customHeight="false" outlineLevel="0" collapsed="false">
      <c r="A17" s="19" t="s">
        <v>28</v>
      </c>
      <c r="B17" s="14" t="s">
        <v>39</v>
      </c>
      <c r="C17" s="14" t="s">
        <v>39</v>
      </c>
      <c r="D17" s="1" t="n">
        <v>15</v>
      </c>
      <c r="E17" s="14" t="s">
        <v>49</v>
      </c>
      <c r="F17" s="14" t="s">
        <v>49</v>
      </c>
      <c r="G17" s="14" t="s">
        <v>49</v>
      </c>
      <c r="H17" s="14" t="s">
        <v>49</v>
      </c>
      <c r="I17" s="17" t="s">
        <v>55</v>
      </c>
    </row>
    <row r="18" customFormat="false" ht="12.8" hidden="false" customHeight="false" outlineLevel="0" collapsed="false">
      <c r="A18" s="20" t="s">
        <v>29</v>
      </c>
      <c r="B18" s="20" t="s">
        <v>42</v>
      </c>
      <c r="C18" s="14" t="s">
        <v>39</v>
      </c>
      <c r="D18" s="1" t="n">
        <v>16</v>
      </c>
      <c r="E18" s="28" t="s">
        <v>50</v>
      </c>
      <c r="F18" s="27" t="s">
        <v>51</v>
      </c>
      <c r="G18" s="14" t="s">
        <v>49</v>
      </c>
      <c r="H18" s="14" t="s">
        <v>49</v>
      </c>
      <c r="I18" s="14" t="s">
        <v>49</v>
      </c>
    </row>
    <row r="19" customFormat="false" ht="12.8" hidden="false" customHeight="false" outlineLevel="0" collapsed="false">
      <c r="A19" s="17" t="s">
        <v>40</v>
      </c>
      <c r="B19" s="14" t="s">
        <v>39</v>
      </c>
      <c r="C19" s="20" t="s">
        <v>42</v>
      </c>
      <c r="D19" s="1" t="n">
        <v>17</v>
      </c>
      <c r="E19" s="14" t="s">
        <v>49</v>
      </c>
      <c r="F19" s="14" t="s">
        <v>49</v>
      </c>
      <c r="G19" s="28" t="s">
        <v>50</v>
      </c>
      <c r="H19" s="27" t="s">
        <v>51</v>
      </c>
      <c r="I19" s="28" t="s">
        <v>50</v>
      </c>
    </row>
    <row r="20" customFormat="false" ht="12.8" hidden="false" customHeight="false" outlineLevel="0" collapsed="false">
      <c r="A20" s="19" t="s">
        <v>28</v>
      </c>
      <c r="B20" s="14" t="s">
        <v>39</v>
      </c>
      <c r="C20" s="14" t="s">
        <v>39</v>
      </c>
      <c r="D20" s="1" t="n">
        <v>18</v>
      </c>
      <c r="E20" s="14" t="s">
        <v>49</v>
      </c>
      <c r="F20" s="14" t="s">
        <v>49</v>
      </c>
      <c r="G20" s="14" t="s">
        <v>49</v>
      </c>
      <c r="H20" s="14" t="s">
        <v>49</v>
      </c>
      <c r="I20" s="30" t="s">
        <v>51</v>
      </c>
    </row>
    <row r="21" customFormat="false" ht="12.8" hidden="false" customHeight="false" outlineLevel="0" collapsed="false">
      <c r="A21" s="23" t="s">
        <v>32</v>
      </c>
      <c r="B21" s="14" t="s">
        <v>39</v>
      </c>
      <c r="C21" s="14" t="s">
        <v>39</v>
      </c>
      <c r="D21" s="1" t="n">
        <v>19</v>
      </c>
      <c r="E21" s="14" t="s">
        <v>49</v>
      </c>
      <c r="F21" s="14" t="s">
        <v>49</v>
      </c>
      <c r="G21" s="14" t="s">
        <v>49</v>
      </c>
      <c r="H21" s="14" t="s">
        <v>49</v>
      </c>
      <c r="I21" s="14" t="s">
        <v>49</v>
      </c>
    </row>
    <row r="22" customFormat="false" ht="12.8" hidden="false" customHeight="false" outlineLevel="0" collapsed="false">
      <c r="A22" s="17" t="s">
        <v>40</v>
      </c>
      <c r="B22" s="14" t="s">
        <v>39</v>
      </c>
      <c r="C22" s="14" t="s">
        <v>39</v>
      </c>
      <c r="D22" s="1" t="n">
        <v>20</v>
      </c>
      <c r="E22" s="14" t="s">
        <v>49</v>
      </c>
      <c r="F22" s="14" t="s">
        <v>49</v>
      </c>
      <c r="G22" s="14" t="s">
        <v>49</v>
      </c>
      <c r="H22" s="14" t="s">
        <v>49</v>
      </c>
      <c r="I22" s="14" t="s">
        <v>49</v>
      </c>
    </row>
    <row r="23" customFormat="false" ht="12.8" hidden="false" customHeight="false" outlineLevel="0" collapsed="false">
      <c r="A23" s="19" t="s">
        <v>28</v>
      </c>
      <c r="B23" s="14" t="s">
        <v>39</v>
      </c>
      <c r="C23" s="14" t="s">
        <v>39</v>
      </c>
      <c r="D23" s="1" t="n">
        <v>21</v>
      </c>
      <c r="E23" s="14" t="s">
        <v>49</v>
      </c>
      <c r="F23" s="14" t="s">
        <v>49</v>
      </c>
      <c r="G23" s="14" t="s">
        <v>49</v>
      </c>
      <c r="H23" s="14" t="s">
        <v>49</v>
      </c>
      <c r="I23" s="14" t="s">
        <v>49</v>
      </c>
    </row>
    <row r="24" customFormat="false" ht="12.8" hidden="false" customHeight="false" outlineLevel="0" collapsed="false">
      <c r="A24" s="15" t="s">
        <v>24</v>
      </c>
      <c r="B24" s="14" t="s">
        <v>39</v>
      </c>
      <c r="C24" s="14" t="s">
        <v>39</v>
      </c>
      <c r="D24" s="1" t="n">
        <v>22</v>
      </c>
      <c r="E24" s="27" t="s">
        <v>51</v>
      </c>
      <c r="F24" s="27" t="s">
        <v>51</v>
      </c>
      <c r="G24" s="27" t="s">
        <v>51</v>
      </c>
      <c r="H24" s="27" t="s">
        <v>51</v>
      </c>
      <c r="I24" s="27" t="s">
        <v>51</v>
      </c>
    </row>
    <row r="25" customFormat="false" ht="12.8" hidden="false" customHeight="false" outlineLevel="0" collapsed="false">
      <c r="A25" s="19" t="s">
        <v>28</v>
      </c>
      <c r="B25" s="14" t="s">
        <v>39</v>
      </c>
      <c r="C25" s="14" t="s">
        <v>39</v>
      </c>
      <c r="D25" s="1" t="n">
        <v>23</v>
      </c>
      <c r="E25" s="14" t="s">
        <v>49</v>
      </c>
      <c r="F25" s="14" t="s">
        <v>49</v>
      </c>
      <c r="G25" s="14" t="s">
        <v>49</v>
      </c>
      <c r="H25" s="14" t="s">
        <v>49</v>
      </c>
      <c r="I25" s="14" t="s">
        <v>49</v>
      </c>
    </row>
    <row r="26" customFormat="false" ht="12.8" hidden="false" customHeight="false" outlineLevel="0" collapsed="false">
      <c r="A26" s="23" t="s">
        <v>32</v>
      </c>
      <c r="B26" s="14" t="s">
        <v>39</v>
      </c>
      <c r="C26" s="14" t="s">
        <v>39</v>
      </c>
      <c r="D26" s="1" t="n">
        <v>24</v>
      </c>
      <c r="E26" s="14" t="s">
        <v>49</v>
      </c>
      <c r="F26" s="14" t="s">
        <v>49</v>
      </c>
      <c r="G26" s="14" t="s">
        <v>49</v>
      </c>
      <c r="H26" s="14" t="s">
        <v>49</v>
      </c>
      <c r="I26" s="14" t="s">
        <v>49</v>
      </c>
    </row>
    <row r="27" customFormat="false" ht="12.8" hidden="false" customHeight="false" outlineLevel="0" collapsed="false">
      <c r="A27" s="17" t="s">
        <v>40</v>
      </c>
      <c r="B27" s="14" t="s">
        <v>39</v>
      </c>
      <c r="C27" s="14" t="s">
        <v>39</v>
      </c>
      <c r="D27" s="1" t="n">
        <v>25</v>
      </c>
      <c r="E27" s="14" t="s">
        <v>49</v>
      </c>
      <c r="F27" s="14" t="s">
        <v>49</v>
      </c>
      <c r="G27" s="14" t="s">
        <v>49</v>
      </c>
      <c r="H27" s="14" t="s">
        <v>49</v>
      </c>
      <c r="I27" s="14" t="s">
        <v>49</v>
      </c>
    </row>
    <row r="28" customFormat="false" ht="12.8" hidden="false" customHeight="false" outlineLevel="0" collapsed="false">
      <c r="A28" s="19" t="s">
        <v>28</v>
      </c>
      <c r="B28" s="14" t="s">
        <v>39</v>
      </c>
      <c r="C28" s="14" t="s">
        <v>39</v>
      </c>
      <c r="D28" s="1" t="n">
        <v>26</v>
      </c>
      <c r="E28" s="14" t="s">
        <v>49</v>
      </c>
      <c r="F28" s="14" t="s">
        <v>49</v>
      </c>
      <c r="G28" s="14" t="s">
        <v>49</v>
      </c>
      <c r="H28" s="14" t="s">
        <v>49</v>
      </c>
      <c r="I28" s="14" t="s">
        <v>49</v>
      </c>
    </row>
    <row r="29" customFormat="false" ht="12.8" hidden="false" customHeight="false" outlineLevel="0" collapsed="false">
      <c r="A29" s="20" t="s">
        <v>29</v>
      </c>
      <c r="B29" s="20" t="s">
        <v>42</v>
      </c>
      <c r="C29" s="14" t="s">
        <v>39</v>
      </c>
      <c r="D29" s="1" t="n">
        <v>27</v>
      </c>
      <c r="E29" s="28" t="s">
        <v>50</v>
      </c>
      <c r="F29" s="28" t="s">
        <v>50</v>
      </c>
      <c r="G29" s="14" t="s">
        <v>49</v>
      </c>
      <c r="H29" s="14" t="s">
        <v>49</v>
      </c>
      <c r="I29" s="17" t="s">
        <v>52</v>
      </c>
      <c r="K29" s="29" t="s">
        <v>53</v>
      </c>
    </row>
    <row r="30" customFormat="false" ht="12.8" hidden="false" customHeight="false" outlineLevel="0" collapsed="false">
      <c r="A30" s="17" t="s">
        <v>40</v>
      </c>
      <c r="B30" s="14" t="s">
        <v>39</v>
      </c>
      <c r="C30" s="20" t="s">
        <v>42</v>
      </c>
      <c r="D30" s="1" t="n">
        <v>28</v>
      </c>
      <c r="E30" s="14" t="s">
        <v>49</v>
      </c>
      <c r="F30" s="14" t="s">
        <v>49</v>
      </c>
      <c r="G30" s="28" t="s">
        <v>50</v>
      </c>
      <c r="H30" s="28" t="s">
        <v>50</v>
      </c>
      <c r="I30" s="25" t="s">
        <v>54</v>
      </c>
    </row>
    <row r="31" customFormat="false" ht="12.8" hidden="false" customHeight="false" outlineLevel="0" collapsed="false">
      <c r="A31" s="19" t="s">
        <v>28</v>
      </c>
      <c r="B31" s="14" t="s">
        <v>39</v>
      </c>
      <c r="C31" s="14" t="s">
        <v>39</v>
      </c>
      <c r="D31" s="1" t="n">
        <v>29</v>
      </c>
      <c r="E31" s="14" t="s">
        <v>49</v>
      </c>
      <c r="F31" s="14" t="s">
        <v>49</v>
      </c>
      <c r="G31" s="14" t="s">
        <v>49</v>
      </c>
      <c r="H31" s="14" t="s">
        <v>49</v>
      </c>
      <c r="I31" s="17" t="s">
        <v>55</v>
      </c>
    </row>
    <row r="32" customFormat="false" ht="12.8" hidden="false" customHeight="true" outlineLevel="0" collapsed="false">
      <c r="A32" s="20" t="s">
        <v>29</v>
      </c>
      <c r="B32" s="20" t="s">
        <v>42</v>
      </c>
      <c r="C32" s="14" t="s">
        <v>39</v>
      </c>
      <c r="D32" s="1" t="n">
        <v>30</v>
      </c>
      <c r="E32" s="28" t="s">
        <v>50</v>
      </c>
      <c r="F32" s="27" t="s">
        <v>51</v>
      </c>
      <c r="G32" s="14" t="s">
        <v>49</v>
      </c>
      <c r="H32" s="14" t="s">
        <v>49</v>
      </c>
      <c r="I32" s="14" t="s">
        <v>49</v>
      </c>
    </row>
    <row r="33" customFormat="false" ht="12.8" hidden="false" customHeight="true" outlineLevel="0" collapsed="false">
      <c r="A33" s="17" t="s">
        <v>40</v>
      </c>
      <c r="B33" s="14" t="s">
        <v>39</v>
      </c>
      <c r="C33" s="20" t="s">
        <v>42</v>
      </c>
      <c r="D33" s="1" t="n">
        <v>31</v>
      </c>
      <c r="E33" s="14" t="s">
        <v>49</v>
      </c>
      <c r="F33" s="14" t="s">
        <v>49</v>
      </c>
      <c r="G33" s="28" t="s">
        <v>50</v>
      </c>
      <c r="H33" s="27" t="s">
        <v>51</v>
      </c>
      <c r="I33" s="28" t="s">
        <v>50</v>
      </c>
    </row>
    <row r="34" customFormat="false" ht="12.8" hidden="false" customHeight="true" outlineLevel="0" collapsed="false">
      <c r="A34" s="19" t="s">
        <v>28</v>
      </c>
      <c r="B34" s="14" t="s">
        <v>39</v>
      </c>
      <c r="C34" s="14" t="s">
        <v>39</v>
      </c>
      <c r="D34" s="1" t="n">
        <v>32</v>
      </c>
      <c r="E34" s="14" t="s">
        <v>49</v>
      </c>
      <c r="F34" s="14" t="s">
        <v>49</v>
      </c>
      <c r="G34" s="14" t="s">
        <v>49</v>
      </c>
      <c r="H34" s="14" t="s">
        <v>49</v>
      </c>
      <c r="I34" s="14" t="s">
        <v>49</v>
      </c>
    </row>
    <row r="35" customFormat="false" ht="12.8" hidden="false" customHeight="true" outlineLevel="0" collapsed="false">
      <c r="A35" s="17" t="s">
        <v>40</v>
      </c>
      <c r="B35" s="14" t="s">
        <v>39</v>
      </c>
      <c r="C35" s="14" t="s">
        <v>39</v>
      </c>
      <c r="D35" s="1" t="n">
        <v>33</v>
      </c>
      <c r="E35" s="14" t="s">
        <v>49</v>
      </c>
      <c r="F35" s="14" t="s">
        <v>49</v>
      </c>
      <c r="G35" s="14" t="s">
        <v>49</v>
      </c>
      <c r="H35" s="14" t="s">
        <v>49</v>
      </c>
      <c r="I35" s="14" t="s">
        <v>49</v>
      </c>
    </row>
    <row r="36" customFormat="false" ht="12.8" hidden="false" customHeight="true" outlineLevel="0" collapsed="false">
      <c r="A36" s="20" t="s">
        <v>29</v>
      </c>
      <c r="B36" s="20" t="s">
        <v>42</v>
      </c>
      <c r="C36" s="20" t="s">
        <v>42</v>
      </c>
      <c r="D36" s="1" t="n">
        <v>34</v>
      </c>
      <c r="E36" s="28" t="s">
        <v>56</v>
      </c>
      <c r="F36" s="28" t="s">
        <v>56</v>
      </c>
      <c r="G36" s="28" t="s">
        <v>56</v>
      </c>
      <c r="H36" s="28" t="s">
        <v>56</v>
      </c>
      <c r="I36" s="28" t="s">
        <v>56</v>
      </c>
    </row>
    <row r="37" customFormat="false" ht="12.8" hidden="false" customHeight="true" outlineLevel="0" collapsed="false">
      <c r="A37" s="14"/>
    </row>
  </sheetData>
  <autoFilter ref="B1:G36"/>
  <dataValidations count="4">
    <dataValidation allowBlank="true" errorStyle="stop" operator="equal" showDropDown="false" showErrorMessage="true" showInputMessage="false" sqref="A2:A37" type="list">
      <formula1>Data!$B$2:$B$25</formula1>
      <formula2>0</formula2>
    </dataValidation>
    <dataValidation allowBlank="true" errorStyle="stop" operator="equal" showDropDown="false" showErrorMessage="true" showInputMessage="false" sqref="B2:C2" type="list">
      <formula1>Data!$B$2:$B$25</formula1>
      <formula2>0</formula2>
    </dataValidation>
    <dataValidation allowBlank="true" errorStyle="stop" operator="equal" showDropDown="false" showErrorMessage="true" showInputMessage="false" sqref="E2:I36" type="list">
      <formula1>Data!$J$2:$J$25</formula1>
      <formula2>0</formula2>
    </dataValidation>
    <dataValidation allowBlank="true" errorStyle="stop" operator="equal" showDropDown="false" showErrorMessage="true" showInputMessage="false" sqref="B3:C36" type="list">
      <formula1>Data!$N$2:$N$25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15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K124" activeCellId="0" sqref="K12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3" width="14.13"/>
    <col collapsed="false" customWidth="true" hidden="false" outlineLevel="0" max="3" min="2" style="6" width="14.13"/>
    <col collapsed="false" customWidth="true" hidden="false" outlineLevel="0" max="4" min="4" style="14" width="14.13"/>
    <col collapsed="false" customWidth="true" hidden="false" outlineLevel="0" max="7" min="5" style="6" width="14.13"/>
    <col collapsed="false" customWidth="true" hidden="false" outlineLevel="0" max="9" min="8" style="13" width="14.13"/>
    <col collapsed="false" customWidth="true" hidden="false" outlineLevel="0" max="10" min="10" style="13" width="24.29"/>
    <col collapsed="false" customWidth="true" hidden="false" outlineLevel="0" max="11" min="11" style="1" width="18.41"/>
    <col collapsed="false" customWidth="true" hidden="false" outlineLevel="0" max="12" min="12" style="1" width="20.65"/>
    <col collapsed="false" customWidth="true" hidden="false" outlineLevel="0" max="13" min="13" style="1" width="16.48"/>
    <col collapsed="false" customWidth="true" hidden="false" outlineLevel="0" max="15" min="15" style="13" width="16.91"/>
    <col collapsed="false" customWidth="true" hidden="false" outlineLevel="0" max="17" min="17" style="13" width="17.45"/>
  </cols>
  <sheetData>
    <row r="1" customFormat="false" ht="12.8" hidden="false" customHeight="false" outlineLevel="0" collapsed="false">
      <c r="A1" s="3" t="s">
        <v>57</v>
      </c>
      <c r="B1" s="3" t="s">
        <v>58</v>
      </c>
      <c r="C1" s="3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2" t="s">
        <v>4</v>
      </c>
      <c r="I1" s="3" t="s">
        <v>64</v>
      </c>
      <c r="J1" s="2" t="s">
        <v>65</v>
      </c>
      <c r="K1" s="3" t="s">
        <v>66</v>
      </c>
      <c r="L1" s="3" t="s">
        <v>67</v>
      </c>
      <c r="M1" s="3" t="s">
        <v>68</v>
      </c>
      <c r="O1" s="3" t="s">
        <v>69</v>
      </c>
      <c r="P1" s="3" t="s">
        <v>70</v>
      </c>
      <c r="Q1" s="3" t="s">
        <v>71</v>
      </c>
    </row>
    <row r="2" customFormat="false" ht="12.8" hidden="false" customHeight="false" outlineLevel="0" collapsed="false">
      <c r="A2" s="6" t="n">
        <v>0</v>
      </c>
      <c r="B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26" t="n">
        <v>2</v>
      </c>
      <c r="J2" s="6" t="s">
        <v>22</v>
      </c>
      <c r="K2" s="14"/>
      <c r="L2" s="14"/>
      <c r="M2" s="14"/>
      <c r="N2" s="13"/>
      <c r="P2" s="13"/>
    </row>
    <row r="3" customFormat="false" ht="12.8" hidden="false" customHeight="false" outlineLevel="0" collapsed="false">
      <c r="A3" s="6" t="n">
        <v>2</v>
      </c>
      <c r="B3" s="6" t="n">
        <v>8090</v>
      </c>
      <c r="C3" s="6" t="n">
        <v>3350</v>
      </c>
      <c r="D3" s="14" t="n">
        <v>10</v>
      </c>
      <c r="E3" s="6" t="n">
        <v>1</v>
      </c>
      <c r="F3" s="6" t="n">
        <v>1</v>
      </c>
      <c r="G3" s="6" t="n">
        <v>935</v>
      </c>
      <c r="H3" s="6" t="n">
        <f aca="false">G3+B3</f>
        <v>9025</v>
      </c>
      <c r="I3" s="26" t="n">
        <v>2</v>
      </c>
      <c r="J3" s="31" t="s">
        <v>17</v>
      </c>
      <c r="K3" s="32" t="s">
        <v>34</v>
      </c>
      <c r="L3" s="30" t="s">
        <v>37</v>
      </c>
      <c r="M3" s="20" t="s">
        <v>43</v>
      </c>
      <c r="N3" s="13"/>
      <c r="O3" s="13" t="n">
        <v>8360</v>
      </c>
      <c r="P3" s="13"/>
    </row>
    <row r="4" customFormat="false" ht="12.8" hidden="false" customHeight="false" outlineLevel="0" collapsed="false">
      <c r="A4" s="6" t="n">
        <v>2</v>
      </c>
      <c r="E4" s="6" t="n">
        <v>2</v>
      </c>
      <c r="F4" s="6" t="n">
        <v>2</v>
      </c>
      <c r="G4" s="6" t="n">
        <v>2030</v>
      </c>
      <c r="H4" s="6" t="n">
        <f aca="false">H3+G4</f>
        <v>11055</v>
      </c>
      <c r="J4" s="6" t="s">
        <v>22</v>
      </c>
      <c r="K4" s="14" t="s">
        <v>36</v>
      </c>
      <c r="L4" s="14"/>
      <c r="M4" s="14"/>
      <c r="N4" s="13"/>
      <c r="P4" s="13"/>
      <c r="S4" s="33" t="s">
        <v>57</v>
      </c>
      <c r="T4" s="33" t="s">
        <v>72</v>
      </c>
      <c r="U4" s="33" t="s">
        <v>73</v>
      </c>
      <c r="V4" s="33" t="s">
        <v>74</v>
      </c>
      <c r="W4" s="33" t="s">
        <v>75</v>
      </c>
    </row>
    <row r="5" customFormat="false" ht="12.8" hidden="false" customHeight="false" outlineLevel="0" collapsed="false">
      <c r="A5" s="34" t="n">
        <v>3</v>
      </c>
      <c r="B5" s="34" t="n">
        <v>11450</v>
      </c>
      <c r="C5" s="34" t="n">
        <v>3350</v>
      </c>
      <c r="D5" s="35" t="n">
        <v>10</v>
      </c>
      <c r="E5" s="34" t="n">
        <v>1</v>
      </c>
      <c r="F5" s="34" t="n">
        <v>3</v>
      </c>
      <c r="G5" s="34" t="n">
        <v>935</v>
      </c>
      <c r="H5" s="6" t="n">
        <f aca="false">G5+B5</f>
        <v>12385</v>
      </c>
      <c r="I5" s="36" t="n">
        <v>3</v>
      </c>
      <c r="J5" s="7" t="s">
        <v>19</v>
      </c>
      <c r="K5" s="20" t="s">
        <v>35</v>
      </c>
      <c r="L5" s="37" t="s">
        <v>38</v>
      </c>
      <c r="M5" s="17" t="s">
        <v>45</v>
      </c>
      <c r="N5" s="13"/>
      <c r="O5" s="13" t="n">
        <f aca="false">O3+C3+D3</f>
        <v>11720</v>
      </c>
      <c r="P5" s="13"/>
      <c r="S5" s="38" t="n">
        <v>19</v>
      </c>
      <c r="T5" s="38" t="n">
        <v>66455</v>
      </c>
      <c r="U5" s="38" t="n">
        <v>65480</v>
      </c>
      <c r="V5" s="38" t="n">
        <v>13</v>
      </c>
      <c r="W5" s="38" t="n">
        <f aca="false">T5-U5+V5</f>
        <v>988</v>
      </c>
    </row>
    <row r="6" customFormat="false" ht="12.8" hidden="false" customHeight="false" outlineLevel="0" collapsed="false">
      <c r="A6" s="34" t="n">
        <v>3</v>
      </c>
      <c r="B6" s="34"/>
      <c r="C6" s="34"/>
      <c r="D6" s="39"/>
      <c r="E6" s="34" t="n">
        <v>2</v>
      </c>
      <c r="F6" s="34" t="n">
        <v>4</v>
      </c>
      <c r="G6" s="34" t="n">
        <v>2030</v>
      </c>
      <c r="H6" s="6" t="n">
        <f aca="false">H5+G6</f>
        <v>14415</v>
      </c>
      <c r="J6" s="6" t="s">
        <v>22</v>
      </c>
      <c r="K6" s="14" t="s">
        <v>36</v>
      </c>
      <c r="L6" s="14"/>
      <c r="M6" s="14"/>
      <c r="N6" s="13"/>
      <c r="P6" s="13"/>
      <c r="S6" s="38" t="n">
        <v>20</v>
      </c>
      <c r="T6" s="38" t="n">
        <v>69975</v>
      </c>
      <c r="U6" s="38" t="n">
        <v>69000</v>
      </c>
      <c r="V6" s="38" t="n">
        <v>13</v>
      </c>
      <c r="W6" s="38" t="n">
        <f aca="false">T6-U6+V6</f>
        <v>988</v>
      </c>
    </row>
    <row r="7" customFormat="false" ht="12.8" hidden="false" customHeight="false" outlineLevel="0" collapsed="false">
      <c r="A7" s="6" t="n">
        <f aca="false">A5+1</f>
        <v>4</v>
      </c>
      <c r="B7" s="6" t="n">
        <f aca="false">B5+C5+D5</f>
        <v>14810</v>
      </c>
      <c r="C7" s="6" t="n">
        <f aca="false">$C$5</f>
        <v>3350</v>
      </c>
      <c r="D7" s="14" t="n">
        <v>10</v>
      </c>
      <c r="E7" s="6" t="n">
        <f aca="false">E5</f>
        <v>1</v>
      </c>
      <c r="F7" s="6" t="n">
        <v>5</v>
      </c>
      <c r="G7" s="13" t="n">
        <f aca="false">$G$5</f>
        <v>935</v>
      </c>
      <c r="H7" s="6" t="n">
        <f aca="false">G7+B7</f>
        <v>15745</v>
      </c>
      <c r="I7" s="26" t="n">
        <v>2</v>
      </c>
      <c r="J7" s="31" t="s">
        <v>17</v>
      </c>
      <c r="K7" s="32" t="s">
        <v>34</v>
      </c>
      <c r="L7" s="30" t="s">
        <v>37</v>
      </c>
      <c r="M7" s="20" t="s">
        <v>43</v>
      </c>
      <c r="N7" s="13"/>
      <c r="O7" s="13" t="n">
        <f aca="false">O5+C5+D5</f>
        <v>15080</v>
      </c>
      <c r="P7" s="13"/>
      <c r="S7" s="38"/>
      <c r="T7" s="38"/>
      <c r="U7" s="38"/>
      <c r="V7" s="38"/>
      <c r="W7" s="38"/>
    </row>
    <row r="8" customFormat="false" ht="12.8" hidden="false" customHeight="false" outlineLevel="0" collapsed="false">
      <c r="A8" s="6" t="n">
        <f aca="false">A6+1</f>
        <v>4</v>
      </c>
      <c r="E8" s="6" t="n">
        <f aca="false">E6</f>
        <v>2</v>
      </c>
      <c r="F8" s="6" t="n">
        <v>6</v>
      </c>
      <c r="G8" s="13" t="n">
        <f aca="false">$G$6</f>
        <v>2030</v>
      </c>
      <c r="H8" s="6" t="n">
        <f aca="false">H7+G8</f>
        <v>17775</v>
      </c>
      <c r="J8" s="6" t="s">
        <v>22</v>
      </c>
      <c r="K8" s="14" t="s">
        <v>36</v>
      </c>
      <c r="L8" s="14"/>
      <c r="M8" s="14"/>
      <c r="N8" s="13"/>
      <c r="P8" s="13"/>
      <c r="S8" s="38" t="n">
        <v>39</v>
      </c>
      <c r="T8" s="38" t="n">
        <v>133815</v>
      </c>
      <c r="U8" s="38" t="n">
        <v>132840</v>
      </c>
      <c r="V8" s="38" t="n">
        <v>13</v>
      </c>
      <c r="W8" s="38" t="n">
        <f aca="false">T8-U8+V8</f>
        <v>988</v>
      </c>
    </row>
    <row r="9" customFormat="false" ht="12.8" hidden="false" customHeight="false" outlineLevel="0" collapsed="false">
      <c r="A9" s="6" t="n">
        <f aca="false">A7+1</f>
        <v>5</v>
      </c>
      <c r="B9" s="6" t="n">
        <f aca="false">B7+C7+D7</f>
        <v>18170</v>
      </c>
      <c r="C9" s="6" t="n">
        <f aca="false">$C$5</f>
        <v>3350</v>
      </c>
      <c r="D9" s="14" t="n">
        <v>10</v>
      </c>
      <c r="E9" s="6" t="n">
        <f aca="false">E7</f>
        <v>1</v>
      </c>
      <c r="F9" s="6" t="n">
        <v>7</v>
      </c>
      <c r="G9" s="13" t="n">
        <f aca="false">$G$5</f>
        <v>935</v>
      </c>
      <c r="H9" s="6" t="n">
        <f aca="false">G9+B9</f>
        <v>19105</v>
      </c>
      <c r="I9" s="36" t="n">
        <v>3</v>
      </c>
      <c r="J9" s="7" t="s">
        <v>19</v>
      </c>
      <c r="K9" s="20" t="s">
        <v>35</v>
      </c>
      <c r="L9" s="37" t="s">
        <v>38</v>
      </c>
      <c r="M9" s="17" t="s">
        <v>45</v>
      </c>
      <c r="N9" s="13"/>
      <c r="O9" s="13" t="n">
        <f aca="false">O7+C7+D7</f>
        <v>18440</v>
      </c>
      <c r="P9" s="13"/>
      <c r="S9" s="38" t="n">
        <v>41</v>
      </c>
      <c r="T9" s="38" t="n">
        <v>140695</v>
      </c>
      <c r="U9" s="38" t="n">
        <v>139720</v>
      </c>
      <c r="V9" s="38" t="n">
        <v>13</v>
      </c>
      <c r="W9" s="38" t="n">
        <f aca="false">T9-U9+V9</f>
        <v>988</v>
      </c>
    </row>
    <row r="10" customFormat="false" ht="12.8" hidden="false" customHeight="false" outlineLevel="0" collapsed="false">
      <c r="A10" s="6" t="n">
        <f aca="false">A8+1</f>
        <v>5</v>
      </c>
      <c r="E10" s="6" t="n">
        <f aca="false">E8</f>
        <v>2</v>
      </c>
      <c r="F10" s="6" t="n">
        <v>8</v>
      </c>
      <c r="G10" s="13" t="n">
        <f aca="false">$G$6</f>
        <v>2030</v>
      </c>
      <c r="H10" s="6" t="n">
        <f aca="false">H9+G10</f>
        <v>21135</v>
      </c>
      <c r="J10" s="6" t="s">
        <v>22</v>
      </c>
      <c r="K10" s="14" t="s">
        <v>36</v>
      </c>
      <c r="L10" s="14"/>
      <c r="M10" s="14"/>
      <c r="N10" s="13"/>
      <c r="P10" s="13"/>
      <c r="S10" s="38"/>
      <c r="T10" s="38"/>
      <c r="U10" s="38"/>
      <c r="V10" s="38"/>
      <c r="W10" s="38"/>
    </row>
    <row r="11" customFormat="false" ht="12.8" hidden="false" customHeight="false" outlineLevel="0" collapsed="false">
      <c r="A11" s="6" t="n">
        <f aca="false">A9+1</f>
        <v>6</v>
      </c>
      <c r="B11" s="6" t="n">
        <f aca="false">B9+C9+D9</f>
        <v>21530</v>
      </c>
      <c r="C11" s="6" t="n">
        <f aca="false">$C$5</f>
        <v>3350</v>
      </c>
      <c r="D11" s="14" t="n">
        <v>10</v>
      </c>
      <c r="E11" s="6" t="n">
        <f aca="false">E9</f>
        <v>1</v>
      </c>
      <c r="F11" s="6" t="n">
        <v>9</v>
      </c>
      <c r="G11" s="13" t="n">
        <f aca="false">$G$5</f>
        <v>935</v>
      </c>
      <c r="H11" s="6" t="n">
        <f aca="false">G11+B11</f>
        <v>22465</v>
      </c>
      <c r="I11" s="26" t="n">
        <v>2</v>
      </c>
      <c r="J11" s="31" t="s">
        <v>17</v>
      </c>
      <c r="K11" s="32" t="s">
        <v>34</v>
      </c>
      <c r="L11" s="30" t="s">
        <v>37</v>
      </c>
      <c r="M11" s="20" t="s">
        <v>43</v>
      </c>
      <c r="N11" s="13"/>
      <c r="O11" s="13" t="n">
        <f aca="false">O9+C9+D9</f>
        <v>21800</v>
      </c>
      <c r="P11" s="13"/>
    </row>
    <row r="12" customFormat="false" ht="12.8" hidden="false" customHeight="false" outlineLevel="0" collapsed="false">
      <c r="A12" s="6" t="n">
        <f aca="false">A10+1</f>
        <v>6</v>
      </c>
      <c r="E12" s="6" t="n">
        <f aca="false">E10</f>
        <v>2</v>
      </c>
      <c r="F12" s="6" t="n">
        <v>10</v>
      </c>
      <c r="G12" s="13" t="n">
        <f aca="false">$G$6</f>
        <v>2030</v>
      </c>
      <c r="H12" s="6" t="n">
        <f aca="false">H11+G12</f>
        <v>24495</v>
      </c>
      <c r="J12" s="6" t="s">
        <v>22</v>
      </c>
      <c r="K12" s="14" t="s">
        <v>36</v>
      </c>
      <c r="L12" s="14"/>
      <c r="M12" s="14"/>
      <c r="N12" s="13"/>
      <c r="P12" s="13"/>
    </row>
    <row r="13" customFormat="false" ht="12.8" hidden="false" customHeight="false" outlineLevel="0" collapsed="false">
      <c r="A13" s="6" t="n">
        <f aca="false">A11+1</f>
        <v>7</v>
      </c>
      <c r="B13" s="6" t="n">
        <f aca="false">B11+C11+D11</f>
        <v>24890</v>
      </c>
      <c r="C13" s="6" t="n">
        <f aca="false">$C$5</f>
        <v>3350</v>
      </c>
      <c r="D13" s="14" t="n">
        <v>10</v>
      </c>
      <c r="E13" s="6" t="n">
        <f aca="false">E11</f>
        <v>1</v>
      </c>
      <c r="F13" s="6" t="n">
        <v>11</v>
      </c>
      <c r="G13" s="13" t="n">
        <f aca="false">$G$5</f>
        <v>935</v>
      </c>
      <c r="H13" s="6" t="n">
        <f aca="false">G13+B13</f>
        <v>25825</v>
      </c>
      <c r="I13" s="36" t="n">
        <v>3</v>
      </c>
      <c r="J13" s="7" t="s">
        <v>19</v>
      </c>
      <c r="K13" s="20" t="s">
        <v>35</v>
      </c>
      <c r="L13" s="37" t="s">
        <v>38</v>
      </c>
      <c r="M13" s="17" t="s">
        <v>45</v>
      </c>
      <c r="N13" s="13"/>
      <c r="O13" s="13" t="n">
        <f aca="false">O11+C11+D11</f>
        <v>25160</v>
      </c>
      <c r="P13" s="13"/>
    </row>
    <row r="14" customFormat="false" ht="12.8" hidden="false" customHeight="false" outlineLevel="0" collapsed="false">
      <c r="A14" s="6" t="n">
        <f aca="false">A12+1</f>
        <v>7</v>
      </c>
      <c r="E14" s="6" t="n">
        <f aca="false">E12</f>
        <v>2</v>
      </c>
      <c r="F14" s="6" t="n">
        <v>12</v>
      </c>
      <c r="G14" s="13" t="n">
        <f aca="false">$G$6</f>
        <v>2030</v>
      </c>
      <c r="H14" s="6" t="n">
        <f aca="false">H13+G14</f>
        <v>27855</v>
      </c>
      <c r="J14" s="6" t="s">
        <v>22</v>
      </c>
      <c r="K14" s="14" t="s">
        <v>36</v>
      </c>
      <c r="L14" s="14"/>
      <c r="M14" s="14"/>
      <c r="N14" s="13"/>
      <c r="P14" s="13"/>
    </row>
    <row r="15" customFormat="false" ht="12.8" hidden="false" customHeight="false" outlineLevel="0" collapsed="false">
      <c r="A15" s="6" t="n">
        <f aca="false">A13+1</f>
        <v>8</v>
      </c>
      <c r="B15" s="6" t="n">
        <f aca="false">B13+C13+D13</f>
        <v>28250</v>
      </c>
      <c r="C15" s="6" t="n">
        <f aca="false">$C$5</f>
        <v>3350</v>
      </c>
      <c r="D15" s="14" t="n">
        <v>10</v>
      </c>
      <c r="E15" s="6" t="n">
        <f aca="false">E13</f>
        <v>1</v>
      </c>
      <c r="F15" s="6" t="n">
        <v>13</v>
      </c>
      <c r="G15" s="13" t="n">
        <f aca="false">$G$5</f>
        <v>935</v>
      </c>
      <c r="H15" s="6" t="n">
        <f aca="false">G15+B15</f>
        <v>29185</v>
      </c>
      <c r="I15" s="26" t="n">
        <v>2</v>
      </c>
      <c r="J15" s="31" t="s">
        <v>17</v>
      </c>
      <c r="K15" s="32" t="s">
        <v>34</v>
      </c>
      <c r="L15" s="30" t="s">
        <v>37</v>
      </c>
      <c r="M15" s="20" t="s">
        <v>43</v>
      </c>
      <c r="N15" s="13"/>
      <c r="O15" s="13" t="n">
        <f aca="false">O13+C13+D13</f>
        <v>28520</v>
      </c>
      <c r="P15" s="13"/>
    </row>
    <row r="16" customFormat="false" ht="12.8" hidden="false" customHeight="false" outlineLevel="0" collapsed="false">
      <c r="A16" s="6" t="n">
        <f aca="false">A14+1</f>
        <v>8</v>
      </c>
      <c r="E16" s="6" t="n">
        <f aca="false">E14</f>
        <v>2</v>
      </c>
      <c r="F16" s="6" t="n">
        <v>14</v>
      </c>
      <c r="G16" s="13" t="n">
        <f aca="false">$G$6</f>
        <v>2030</v>
      </c>
      <c r="H16" s="6" t="n">
        <f aca="false">H15+G16</f>
        <v>31215</v>
      </c>
      <c r="J16" s="6" t="s">
        <v>22</v>
      </c>
      <c r="K16" s="14" t="s">
        <v>36</v>
      </c>
      <c r="L16" s="14"/>
      <c r="M16" s="14"/>
      <c r="N16" s="13"/>
      <c r="P16" s="13"/>
    </row>
    <row r="17" customFormat="false" ht="12.8" hidden="false" customHeight="false" outlineLevel="0" collapsed="false">
      <c r="A17" s="6" t="n">
        <f aca="false">A15+1</f>
        <v>9</v>
      </c>
      <c r="B17" s="6" t="n">
        <f aca="false">B15+C15+D15</f>
        <v>31610</v>
      </c>
      <c r="C17" s="6" t="n">
        <f aca="false">$C$5</f>
        <v>3350</v>
      </c>
      <c r="D17" s="14" t="n">
        <v>10</v>
      </c>
      <c r="E17" s="6" t="n">
        <f aca="false">E15</f>
        <v>1</v>
      </c>
      <c r="F17" s="6" t="n">
        <v>15</v>
      </c>
      <c r="G17" s="13" t="n">
        <f aca="false">$G$5</f>
        <v>935</v>
      </c>
      <c r="H17" s="6" t="n">
        <f aca="false">G17+B17</f>
        <v>32545</v>
      </c>
      <c r="I17" s="36" t="n">
        <v>3</v>
      </c>
      <c r="J17" s="7" t="s">
        <v>19</v>
      </c>
      <c r="K17" s="20" t="s">
        <v>35</v>
      </c>
      <c r="L17" s="37" t="s">
        <v>38</v>
      </c>
      <c r="M17" s="17" t="s">
        <v>45</v>
      </c>
      <c r="N17" s="13"/>
      <c r="O17" s="13" t="n">
        <f aca="false">O15+C15+D15</f>
        <v>31880</v>
      </c>
      <c r="P17" s="13"/>
    </row>
    <row r="18" customFormat="false" ht="12.8" hidden="false" customHeight="false" outlineLevel="0" collapsed="false">
      <c r="A18" s="6" t="n">
        <f aca="false">A16+1</f>
        <v>9</v>
      </c>
      <c r="E18" s="6" t="n">
        <f aca="false">E16</f>
        <v>2</v>
      </c>
      <c r="F18" s="6" t="n">
        <v>16</v>
      </c>
      <c r="G18" s="13" t="n">
        <f aca="false">$G$6</f>
        <v>2030</v>
      </c>
      <c r="H18" s="6" t="n">
        <f aca="false">H17+G18</f>
        <v>34575</v>
      </c>
      <c r="J18" s="6" t="s">
        <v>22</v>
      </c>
      <c r="K18" s="14" t="s">
        <v>36</v>
      </c>
      <c r="L18" s="14"/>
      <c r="M18" s="14"/>
      <c r="N18" s="13"/>
      <c r="P18" s="13"/>
    </row>
    <row r="19" customFormat="false" ht="12.8" hidden="false" customHeight="false" outlineLevel="0" collapsed="false">
      <c r="A19" s="6" t="n">
        <f aca="false">A17+1</f>
        <v>10</v>
      </c>
      <c r="B19" s="6" t="n">
        <f aca="false">B17+C17+D17</f>
        <v>34970</v>
      </c>
      <c r="C19" s="6" t="n">
        <f aca="false">$C$5</f>
        <v>3350</v>
      </c>
      <c r="D19" s="14" t="n">
        <v>10</v>
      </c>
      <c r="E19" s="6" t="n">
        <f aca="false">E17</f>
        <v>1</v>
      </c>
      <c r="F19" s="6" t="n">
        <v>17</v>
      </c>
      <c r="G19" s="13" t="n">
        <f aca="false">$G$5</f>
        <v>935</v>
      </c>
      <c r="H19" s="6" t="n">
        <f aca="false">G19+B19</f>
        <v>35905</v>
      </c>
      <c r="I19" s="26" t="n">
        <v>2</v>
      </c>
      <c r="J19" s="31" t="s">
        <v>17</v>
      </c>
      <c r="K19" s="32" t="s">
        <v>34</v>
      </c>
      <c r="L19" s="30" t="s">
        <v>37</v>
      </c>
      <c r="M19" s="20" t="s">
        <v>43</v>
      </c>
      <c r="N19" s="13"/>
      <c r="O19" s="13" t="n">
        <f aca="false">O17+C17+D17</f>
        <v>35240</v>
      </c>
      <c r="P19" s="13"/>
    </row>
    <row r="20" customFormat="false" ht="12.8" hidden="false" customHeight="false" outlineLevel="0" collapsed="false">
      <c r="A20" s="6" t="n">
        <f aca="false">A18+1</f>
        <v>10</v>
      </c>
      <c r="E20" s="6" t="n">
        <f aca="false">E18</f>
        <v>2</v>
      </c>
      <c r="F20" s="6" t="n">
        <v>18</v>
      </c>
      <c r="G20" s="13" t="n">
        <f aca="false">$G$6</f>
        <v>2030</v>
      </c>
      <c r="H20" s="6" t="n">
        <f aca="false">H19+G20</f>
        <v>37935</v>
      </c>
      <c r="J20" s="6" t="s">
        <v>22</v>
      </c>
      <c r="K20" s="14" t="s">
        <v>36</v>
      </c>
      <c r="L20" s="14"/>
      <c r="M20" s="14"/>
      <c r="N20" s="13"/>
      <c r="P20" s="13"/>
    </row>
    <row r="21" customFormat="false" ht="12.8" hidden="false" customHeight="false" outlineLevel="0" collapsed="false">
      <c r="A21" s="6" t="n">
        <f aca="false">A19+1</f>
        <v>11</v>
      </c>
      <c r="B21" s="6" t="n">
        <f aca="false">B19+C19+D19</f>
        <v>38330</v>
      </c>
      <c r="C21" s="6" t="n">
        <f aca="false">$C$5</f>
        <v>3350</v>
      </c>
      <c r="D21" s="14" t="n">
        <v>10</v>
      </c>
      <c r="E21" s="6" t="n">
        <f aca="false">E19</f>
        <v>1</v>
      </c>
      <c r="F21" s="6" t="n">
        <v>19</v>
      </c>
      <c r="G21" s="13" t="n">
        <f aca="false">$G$5</f>
        <v>935</v>
      </c>
      <c r="H21" s="6" t="n">
        <f aca="false">G21+B21</f>
        <v>39265</v>
      </c>
      <c r="I21" s="36" t="n">
        <v>3</v>
      </c>
      <c r="J21" s="7" t="s">
        <v>19</v>
      </c>
      <c r="K21" s="20" t="s">
        <v>35</v>
      </c>
      <c r="L21" s="37" t="s">
        <v>38</v>
      </c>
      <c r="M21" s="17" t="s">
        <v>45</v>
      </c>
      <c r="N21" s="13"/>
      <c r="O21" s="13" t="n">
        <f aca="false">O19+C19+D19</f>
        <v>38600</v>
      </c>
      <c r="P21" s="13"/>
    </row>
    <row r="22" customFormat="false" ht="12.8" hidden="false" customHeight="false" outlineLevel="0" collapsed="false">
      <c r="A22" s="6" t="n">
        <f aca="false">A20+1</f>
        <v>11</v>
      </c>
      <c r="E22" s="6" t="n">
        <f aca="false">E20</f>
        <v>2</v>
      </c>
      <c r="F22" s="6" t="n">
        <v>20</v>
      </c>
      <c r="G22" s="13" t="n">
        <f aca="false">$G$6</f>
        <v>2030</v>
      </c>
      <c r="H22" s="6" t="n">
        <f aca="false">H21+G22</f>
        <v>41295</v>
      </c>
      <c r="J22" s="6" t="s">
        <v>22</v>
      </c>
      <c r="K22" s="14" t="s">
        <v>36</v>
      </c>
      <c r="L22" s="14"/>
      <c r="M22" s="14"/>
      <c r="N22" s="13"/>
      <c r="P22" s="13"/>
    </row>
    <row r="23" customFormat="false" ht="12.8" hidden="false" customHeight="false" outlineLevel="0" collapsed="false">
      <c r="A23" s="6" t="n">
        <f aca="false">A21+1</f>
        <v>12</v>
      </c>
      <c r="B23" s="6" t="n">
        <f aca="false">B21+C21+D21</f>
        <v>41690</v>
      </c>
      <c r="C23" s="6" t="n">
        <f aca="false">$C$5</f>
        <v>3350</v>
      </c>
      <c r="D23" s="14" t="n">
        <v>10</v>
      </c>
      <c r="E23" s="6" t="n">
        <f aca="false">E21</f>
        <v>1</v>
      </c>
      <c r="F23" s="6" t="n">
        <v>21</v>
      </c>
      <c r="G23" s="13" t="n">
        <f aca="false">$G$5</f>
        <v>935</v>
      </c>
      <c r="H23" s="6" t="n">
        <f aca="false">G23+B23</f>
        <v>42625</v>
      </c>
      <c r="I23" s="26" t="n">
        <v>2</v>
      </c>
      <c r="J23" s="31" t="s">
        <v>17</v>
      </c>
      <c r="K23" s="32" t="s">
        <v>34</v>
      </c>
      <c r="L23" s="30" t="s">
        <v>37</v>
      </c>
      <c r="M23" s="20" t="s">
        <v>43</v>
      </c>
      <c r="N23" s="13"/>
      <c r="O23" s="13" t="n">
        <f aca="false">O21+C21+D21</f>
        <v>41960</v>
      </c>
      <c r="P23" s="13"/>
    </row>
    <row r="24" customFormat="false" ht="12.8" hidden="false" customHeight="false" outlineLevel="0" collapsed="false">
      <c r="A24" s="6" t="n">
        <f aca="false">A22+1</f>
        <v>12</v>
      </c>
      <c r="E24" s="6" t="n">
        <f aca="false">E22</f>
        <v>2</v>
      </c>
      <c r="F24" s="6" t="n">
        <v>22</v>
      </c>
      <c r="G24" s="13" t="n">
        <f aca="false">$G$6</f>
        <v>2030</v>
      </c>
      <c r="H24" s="6" t="n">
        <f aca="false">H23+G24</f>
        <v>44655</v>
      </c>
      <c r="J24" s="6" t="s">
        <v>22</v>
      </c>
      <c r="K24" s="14" t="s">
        <v>36</v>
      </c>
      <c r="L24" s="14"/>
      <c r="M24" s="14"/>
      <c r="N24" s="13"/>
      <c r="P24" s="13"/>
    </row>
    <row r="25" customFormat="false" ht="12.8" hidden="false" customHeight="false" outlineLevel="0" collapsed="false">
      <c r="A25" s="6" t="n">
        <f aca="false">A23+1</f>
        <v>13</v>
      </c>
      <c r="B25" s="6" t="n">
        <f aca="false">B23+C23+D23</f>
        <v>45050</v>
      </c>
      <c r="C25" s="6" t="n">
        <f aca="false">$C$5</f>
        <v>3350</v>
      </c>
      <c r="D25" s="14" t="n">
        <v>10</v>
      </c>
      <c r="E25" s="6" t="n">
        <f aca="false">E23</f>
        <v>1</v>
      </c>
      <c r="F25" s="6" t="n">
        <v>23</v>
      </c>
      <c r="G25" s="13" t="n">
        <f aca="false">$G$5</f>
        <v>935</v>
      </c>
      <c r="H25" s="6" t="n">
        <f aca="false">G25+B25</f>
        <v>45985</v>
      </c>
      <c r="I25" s="36" t="n">
        <v>3</v>
      </c>
      <c r="J25" s="7" t="s">
        <v>19</v>
      </c>
      <c r="K25" s="20" t="s">
        <v>35</v>
      </c>
      <c r="L25" s="37" t="s">
        <v>38</v>
      </c>
      <c r="M25" s="17" t="s">
        <v>45</v>
      </c>
      <c r="N25" s="13"/>
      <c r="O25" s="13" t="n">
        <f aca="false">O23+C23+D23</f>
        <v>45320</v>
      </c>
      <c r="P25" s="13"/>
    </row>
    <row r="26" customFormat="false" ht="12.8" hidden="false" customHeight="false" outlineLevel="0" collapsed="false">
      <c r="A26" s="6" t="n">
        <f aca="false">A24+1</f>
        <v>13</v>
      </c>
      <c r="E26" s="6" t="n">
        <f aca="false">E24</f>
        <v>2</v>
      </c>
      <c r="F26" s="6" t="n">
        <v>24</v>
      </c>
      <c r="G26" s="13" t="n">
        <f aca="false">$G$6</f>
        <v>2030</v>
      </c>
      <c r="H26" s="6" t="n">
        <f aca="false">H25+G26</f>
        <v>48015</v>
      </c>
      <c r="J26" s="6" t="s">
        <v>22</v>
      </c>
      <c r="K26" s="14" t="s">
        <v>36</v>
      </c>
      <c r="L26" s="14"/>
      <c r="M26" s="14"/>
      <c r="N26" s="13"/>
      <c r="P26" s="13"/>
    </row>
    <row r="27" customFormat="false" ht="12.8" hidden="false" customHeight="false" outlineLevel="0" collapsed="false">
      <c r="A27" s="6" t="n">
        <f aca="false">A25+1</f>
        <v>14</v>
      </c>
      <c r="B27" s="6" t="n">
        <f aca="false">B25+C25+D25</f>
        <v>48410</v>
      </c>
      <c r="C27" s="6" t="n">
        <f aca="false">$C$5</f>
        <v>3350</v>
      </c>
      <c r="D27" s="14" t="n">
        <v>10</v>
      </c>
      <c r="E27" s="6" t="n">
        <f aca="false">E25</f>
        <v>1</v>
      </c>
      <c r="F27" s="6" t="n">
        <v>25</v>
      </c>
      <c r="G27" s="13" t="n">
        <f aca="false">$G$5</f>
        <v>935</v>
      </c>
      <c r="H27" s="6" t="n">
        <f aca="false">G27+B27</f>
        <v>49345</v>
      </c>
      <c r="I27" s="26" t="n">
        <v>2</v>
      </c>
      <c r="J27" s="31" t="s">
        <v>17</v>
      </c>
      <c r="K27" s="32" t="s">
        <v>34</v>
      </c>
      <c r="L27" s="30" t="s">
        <v>37</v>
      </c>
      <c r="M27" s="20" t="s">
        <v>43</v>
      </c>
      <c r="N27" s="13"/>
      <c r="O27" s="13" t="n">
        <f aca="false">O25+C25+D25</f>
        <v>48680</v>
      </c>
      <c r="P27" s="13"/>
    </row>
    <row r="28" customFormat="false" ht="12.8" hidden="false" customHeight="false" outlineLevel="0" collapsed="false">
      <c r="A28" s="6" t="n">
        <f aca="false">A26+1</f>
        <v>14</v>
      </c>
      <c r="E28" s="6" t="n">
        <f aca="false">E26</f>
        <v>2</v>
      </c>
      <c r="F28" s="6" t="n">
        <v>26</v>
      </c>
      <c r="G28" s="13" t="n">
        <f aca="false">$G$6</f>
        <v>2030</v>
      </c>
      <c r="H28" s="6" t="n">
        <f aca="false">H27+G28</f>
        <v>51375</v>
      </c>
      <c r="J28" s="6" t="s">
        <v>22</v>
      </c>
      <c r="K28" s="14" t="s">
        <v>36</v>
      </c>
      <c r="L28" s="14"/>
      <c r="M28" s="14"/>
      <c r="N28" s="13"/>
      <c r="P28" s="13"/>
    </row>
    <row r="29" customFormat="false" ht="12.8" hidden="false" customHeight="false" outlineLevel="0" collapsed="false">
      <c r="A29" s="6" t="n">
        <f aca="false">A27+1</f>
        <v>15</v>
      </c>
      <c r="B29" s="6" t="n">
        <f aca="false">B27+C27+D27</f>
        <v>51770</v>
      </c>
      <c r="C29" s="6" t="n">
        <f aca="false">$C$5</f>
        <v>3350</v>
      </c>
      <c r="D29" s="14" t="n">
        <v>10</v>
      </c>
      <c r="E29" s="6" t="n">
        <f aca="false">E27</f>
        <v>1</v>
      </c>
      <c r="F29" s="6" t="n">
        <v>27</v>
      </c>
      <c r="G29" s="13" t="n">
        <f aca="false">$G$5</f>
        <v>935</v>
      </c>
      <c r="H29" s="6" t="n">
        <f aca="false">G29+B29</f>
        <v>52705</v>
      </c>
      <c r="I29" s="36" t="n">
        <v>3</v>
      </c>
      <c r="J29" s="7" t="s">
        <v>19</v>
      </c>
      <c r="K29" s="20" t="s">
        <v>35</v>
      </c>
      <c r="L29" s="37" t="s">
        <v>38</v>
      </c>
      <c r="M29" s="17" t="s">
        <v>45</v>
      </c>
      <c r="N29" s="13"/>
      <c r="O29" s="13" t="n">
        <f aca="false">O27+C27+D27</f>
        <v>52040</v>
      </c>
      <c r="P29" s="13"/>
    </row>
    <row r="30" customFormat="false" ht="12.8" hidden="false" customHeight="false" outlineLevel="0" collapsed="false">
      <c r="A30" s="6" t="n">
        <f aca="false">A28+1</f>
        <v>15</v>
      </c>
      <c r="E30" s="6" t="n">
        <f aca="false">E28</f>
        <v>2</v>
      </c>
      <c r="F30" s="6" t="n">
        <v>28</v>
      </c>
      <c r="G30" s="13" t="n">
        <f aca="false">$G$6</f>
        <v>2030</v>
      </c>
      <c r="H30" s="6" t="n">
        <f aca="false">H29+G30</f>
        <v>54735</v>
      </c>
      <c r="J30" s="6" t="s">
        <v>22</v>
      </c>
      <c r="K30" s="14" t="s">
        <v>36</v>
      </c>
      <c r="L30" s="14"/>
      <c r="M30" s="14"/>
      <c r="N30" s="13"/>
      <c r="P30" s="13"/>
    </row>
    <row r="31" customFormat="false" ht="12.8" hidden="false" customHeight="false" outlineLevel="0" collapsed="false">
      <c r="A31" s="6" t="n">
        <f aca="false">A29+1</f>
        <v>16</v>
      </c>
      <c r="B31" s="6" t="n">
        <f aca="false">B29+C29+D29</f>
        <v>55130</v>
      </c>
      <c r="C31" s="6" t="n">
        <f aca="false">$C$5</f>
        <v>3350</v>
      </c>
      <c r="D31" s="14" t="n">
        <v>10</v>
      </c>
      <c r="E31" s="6" t="n">
        <f aca="false">E29</f>
        <v>1</v>
      </c>
      <c r="F31" s="6" t="n">
        <v>29</v>
      </c>
      <c r="G31" s="13" t="n">
        <f aca="false">$G$5</f>
        <v>935</v>
      </c>
      <c r="H31" s="6" t="n">
        <f aca="false">G31+B31</f>
        <v>56065</v>
      </c>
      <c r="I31" s="26" t="n">
        <v>2</v>
      </c>
      <c r="J31" s="31" t="s">
        <v>17</v>
      </c>
      <c r="K31" s="32" t="s">
        <v>34</v>
      </c>
      <c r="L31" s="30" t="s">
        <v>37</v>
      </c>
      <c r="M31" s="20" t="s">
        <v>43</v>
      </c>
      <c r="N31" s="13"/>
      <c r="O31" s="13" t="n">
        <f aca="false">O29+C29+D29</f>
        <v>55400</v>
      </c>
      <c r="P31" s="13"/>
    </row>
    <row r="32" customFormat="false" ht="12.8" hidden="false" customHeight="false" outlineLevel="0" collapsed="false">
      <c r="A32" s="6" t="n">
        <f aca="false">A30+1</f>
        <v>16</v>
      </c>
      <c r="E32" s="6" t="n">
        <f aca="false">E30</f>
        <v>2</v>
      </c>
      <c r="F32" s="6" t="n">
        <v>30</v>
      </c>
      <c r="G32" s="13" t="n">
        <f aca="false">$G$6</f>
        <v>2030</v>
      </c>
      <c r="H32" s="6" t="n">
        <f aca="false">H31+G32</f>
        <v>58095</v>
      </c>
      <c r="J32" s="6" t="s">
        <v>22</v>
      </c>
      <c r="K32" s="14" t="s">
        <v>36</v>
      </c>
      <c r="L32" s="14"/>
      <c r="M32" s="14"/>
      <c r="N32" s="13"/>
      <c r="P32" s="13"/>
    </row>
    <row r="33" customFormat="false" ht="12.8" hidden="false" customHeight="false" outlineLevel="0" collapsed="false">
      <c r="A33" s="6" t="n">
        <f aca="false">A31+1</f>
        <v>17</v>
      </c>
      <c r="B33" s="6" t="n">
        <f aca="false">B31+C31+D31</f>
        <v>58490</v>
      </c>
      <c r="C33" s="6" t="n">
        <f aca="false">$C$5</f>
        <v>3350</v>
      </c>
      <c r="D33" s="14" t="n">
        <v>10</v>
      </c>
      <c r="E33" s="6" t="n">
        <f aca="false">E31</f>
        <v>1</v>
      </c>
      <c r="F33" s="6" t="n">
        <v>31</v>
      </c>
      <c r="G33" s="13" t="n">
        <f aca="false">$G$5</f>
        <v>935</v>
      </c>
      <c r="H33" s="6" t="n">
        <f aca="false">G33+B33</f>
        <v>59425</v>
      </c>
      <c r="I33" s="36" t="n">
        <v>3</v>
      </c>
      <c r="J33" s="7" t="s">
        <v>19</v>
      </c>
      <c r="K33" s="20" t="s">
        <v>35</v>
      </c>
      <c r="L33" s="37" t="s">
        <v>38</v>
      </c>
      <c r="M33" s="17" t="s">
        <v>45</v>
      </c>
      <c r="N33" s="13"/>
      <c r="O33" s="13" t="n">
        <f aca="false">O31+C31+D31</f>
        <v>58760</v>
      </c>
      <c r="P33" s="13"/>
    </row>
    <row r="34" customFormat="false" ht="12.8" hidden="false" customHeight="false" outlineLevel="0" collapsed="false">
      <c r="A34" s="6" t="n">
        <f aca="false">A32+1</f>
        <v>17</v>
      </c>
      <c r="E34" s="6" t="n">
        <f aca="false">E32</f>
        <v>2</v>
      </c>
      <c r="F34" s="6" t="n">
        <v>32</v>
      </c>
      <c r="G34" s="13" t="n">
        <f aca="false">$G$6</f>
        <v>2030</v>
      </c>
      <c r="H34" s="6" t="n">
        <f aca="false">H33+G34</f>
        <v>61455</v>
      </c>
      <c r="J34" s="6" t="s">
        <v>22</v>
      </c>
      <c r="K34" s="14" t="s">
        <v>36</v>
      </c>
      <c r="L34" s="14"/>
      <c r="M34" s="14"/>
      <c r="N34" s="13"/>
      <c r="P34" s="13"/>
    </row>
    <row r="35" customFormat="false" ht="12.8" hidden="false" customHeight="false" outlineLevel="0" collapsed="false">
      <c r="A35" s="6" t="n">
        <f aca="false">A33+1</f>
        <v>18</v>
      </c>
      <c r="B35" s="6" t="n">
        <f aca="false">B33+C33+D33</f>
        <v>61850</v>
      </c>
      <c r="C35" s="6" t="n">
        <f aca="false">$C$5</f>
        <v>3350</v>
      </c>
      <c r="D35" s="14" t="n">
        <v>10</v>
      </c>
      <c r="E35" s="6" t="n">
        <f aca="false">E33</f>
        <v>1</v>
      </c>
      <c r="F35" s="6" t="n">
        <v>33</v>
      </c>
      <c r="G35" s="13" t="n">
        <f aca="false">$G$5</f>
        <v>935</v>
      </c>
      <c r="H35" s="6" t="n">
        <f aca="false">G35+B35</f>
        <v>62785</v>
      </c>
      <c r="I35" s="26" t="n">
        <v>2</v>
      </c>
      <c r="J35" s="31" t="s">
        <v>17</v>
      </c>
      <c r="K35" s="32" t="s">
        <v>34</v>
      </c>
      <c r="L35" s="30" t="s">
        <v>37</v>
      </c>
      <c r="M35" s="20" t="s">
        <v>43</v>
      </c>
      <c r="N35" s="13"/>
      <c r="O35" s="13" t="n">
        <f aca="false">O33+C33+D33</f>
        <v>62120</v>
      </c>
      <c r="P35" s="13"/>
    </row>
    <row r="36" customFormat="false" ht="12.8" hidden="false" customHeight="false" outlineLevel="0" collapsed="false">
      <c r="A36" s="6" t="n">
        <f aca="false">A34+1</f>
        <v>18</v>
      </c>
      <c r="E36" s="6" t="n">
        <f aca="false">E34</f>
        <v>2</v>
      </c>
      <c r="F36" s="6" t="n">
        <v>34</v>
      </c>
      <c r="G36" s="13" t="n">
        <f aca="false">$G$6</f>
        <v>2030</v>
      </c>
      <c r="H36" s="6" t="n">
        <f aca="false">H35+G36</f>
        <v>64815</v>
      </c>
      <c r="J36" s="6" t="s">
        <v>22</v>
      </c>
      <c r="K36" s="14" t="s">
        <v>36</v>
      </c>
      <c r="L36" s="14"/>
      <c r="M36" s="14"/>
      <c r="N36" s="13"/>
      <c r="P36" s="13"/>
    </row>
    <row r="37" customFormat="false" ht="12.8" hidden="false" customHeight="false" outlineLevel="0" collapsed="false">
      <c r="A37" s="6" t="n">
        <f aca="false">A35+1</f>
        <v>19</v>
      </c>
      <c r="B37" s="6" t="n">
        <f aca="false">B35+C35+D35</f>
        <v>65210</v>
      </c>
      <c r="C37" s="40" t="n">
        <v>3510</v>
      </c>
      <c r="D37" s="14" t="n">
        <v>10</v>
      </c>
      <c r="E37" s="6" t="n">
        <f aca="false">E35</f>
        <v>1</v>
      </c>
      <c r="F37" s="6" t="n">
        <v>35</v>
      </c>
      <c r="G37" s="13" t="n">
        <f aca="false">$G$5</f>
        <v>935</v>
      </c>
      <c r="H37" s="6" t="n">
        <f aca="false">G37+B37</f>
        <v>66145</v>
      </c>
      <c r="I37" s="36" t="n">
        <v>3</v>
      </c>
      <c r="J37" s="7" t="s">
        <v>19</v>
      </c>
      <c r="K37" s="20" t="s">
        <v>35</v>
      </c>
      <c r="L37" s="37" t="s">
        <v>38</v>
      </c>
      <c r="M37" s="17" t="s">
        <v>45</v>
      </c>
      <c r="N37" s="13"/>
      <c r="O37" s="13" t="n">
        <f aca="false">O35+C35+D35</f>
        <v>65480</v>
      </c>
      <c r="P37" s="13"/>
    </row>
    <row r="38" customFormat="false" ht="12.8" hidden="false" customHeight="false" outlineLevel="0" collapsed="false">
      <c r="A38" s="6" t="n">
        <f aca="false">A36+1</f>
        <v>19</v>
      </c>
      <c r="E38" s="6" t="n">
        <f aca="false">E36</f>
        <v>2</v>
      </c>
      <c r="F38" s="6" t="n">
        <v>36</v>
      </c>
      <c r="G38" s="13" t="n">
        <f aca="false">$G$6</f>
        <v>2030</v>
      </c>
      <c r="H38" s="6" t="n">
        <f aca="false">H37+G38</f>
        <v>68175</v>
      </c>
      <c r="J38" s="6" t="s">
        <v>22</v>
      </c>
      <c r="K38" s="14" t="s">
        <v>36</v>
      </c>
      <c r="L38" s="14"/>
      <c r="M38" s="14"/>
      <c r="N38" s="13"/>
      <c r="P38" s="13"/>
    </row>
    <row r="39" customFormat="false" ht="12.8" hidden="false" customHeight="false" outlineLevel="0" collapsed="false">
      <c r="A39" s="6" t="n">
        <f aca="false">A37+1</f>
        <v>20</v>
      </c>
      <c r="B39" s="6" t="n">
        <f aca="false">B37+C37+D37</f>
        <v>68730</v>
      </c>
      <c r="C39" s="6" t="n">
        <v>3350</v>
      </c>
      <c r="D39" s="14" t="n">
        <v>10</v>
      </c>
      <c r="E39" s="6" t="n">
        <f aca="false">E37</f>
        <v>1</v>
      </c>
      <c r="F39" s="6" t="n">
        <v>37</v>
      </c>
      <c r="G39" s="13" t="n">
        <f aca="false">$G$5</f>
        <v>935</v>
      </c>
      <c r="H39" s="6" t="n">
        <f aca="false">G39+B39</f>
        <v>69665</v>
      </c>
      <c r="I39" s="26" t="n">
        <v>2</v>
      </c>
      <c r="J39" s="31" t="s">
        <v>17</v>
      </c>
      <c r="K39" s="32" t="s">
        <v>34</v>
      </c>
      <c r="L39" s="30" t="s">
        <v>37</v>
      </c>
      <c r="M39" s="20" t="s">
        <v>43</v>
      </c>
      <c r="N39" s="13"/>
      <c r="O39" s="13" t="n">
        <f aca="false">O37+C37+D37</f>
        <v>69000</v>
      </c>
      <c r="P39" s="13"/>
    </row>
    <row r="40" customFormat="false" ht="12.8" hidden="false" customHeight="false" outlineLevel="0" collapsed="false">
      <c r="A40" s="6" t="n">
        <f aca="false">A38+1</f>
        <v>20</v>
      </c>
      <c r="E40" s="6" t="n">
        <f aca="false">E38</f>
        <v>2</v>
      </c>
      <c r="F40" s="6" t="n">
        <v>38</v>
      </c>
      <c r="G40" s="13" t="n">
        <f aca="false">$G$6</f>
        <v>2030</v>
      </c>
      <c r="H40" s="6" t="n">
        <f aca="false">H39+G40</f>
        <v>71695</v>
      </c>
      <c r="J40" s="6" t="s">
        <v>22</v>
      </c>
      <c r="K40" s="14" t="s">
        <v>36</v>
      </c>
      <c r="L40" s="14"/>
      <c r="M40" s="14"/>
      <c r="N40" s="13"/>
      <c r="P40" s="13"/>
    </row>
    <row r="41" customFormat="false" ht="12.8" hidden="false" customHeight="false" outlineLevel="0" collapsed="false">
      <c r="A41" s="6" t="n">
        <f aca="false">A39+1</f>
        <v>21</v>
      </c>
      <c r="B41" s="6" t="n">
        <f aca="false">B39+C39+D39</f>
        <v>72090</v>
      </c>
      <c r="C41" s="6" t="n">
        <f aca="false">$C$5</f>
        <v>3350</v>
      </c>
      <c r="D41" s="14" t="n">
        <v>10</v>
      </c>
      <c r="E41" s="6" t="n">
        <f aca="false">E39</f>
        <v>1</v>
      </c>
      <c r="F41" s="6" t="n">
        <v>39</v>
      </c>
      <c r="G41" s="13" t="n">
        <f aca="false">$G$5</f>
        <v>935</v>
      </c>
      <c r="H41" s="6" t="n">
        <f aca="false">G41+B41</f>
        <v>73025</v>
      </c>
      <c r="I41" s="36" t="n">
        <v>3</v>
      </c>
      <c r="J41" s="7" t="s">
        <v>19</v>
      </c>
      <c r="K41" s="20" t="s">
        <v>35</v>
      </c>
      <c r="L41" s="37" t="s">
        <v>38</v>
      </c>
      <c r="M41" s="17" t="s">
        <v>45</v>
      </c>
      <c r="N41" s="13"/>
      <c r="O41" s="13" t="n">
        <f aca="false">O39+C39+D39</f>
        <v>72360</v>
      </c>
      <c r="P41" s="13"/>
    </row>
    <row r="42" customFormat="false" ht="12.8" hidden="false" customHeight="false" outlineLevel="0" collapsed="false">
      <c r="A42" s="6" t="n">
        <f aca="false">A40+1</f>
        <v>21</v>
      </c>
      <c r="E42" s="6" t="n">
        <f aca="false">E40</f>
        <v>2</v>
      </c>
      <c r="F42" s="6" t="n">
        <v>40</v>
      </c>
      <c r="G42" s="13" t="n">
        <f aca="false">$G$6</f>
        <v>2030</v>
      </c>
      <c r="H42" s="6" t="n">
        <f aca="false">H41+G42</f>
        <v>75055</v>
      </c>
      <c r="J42" s="6" t="s">
        <v>22</v>
      </c>
      <c r="K42" s="14" t="s">
        <v>36</v>
      </c>
      <c r="L42" s="14"/>
      <c r="M42" s="14"/>
      <c r="N42" s="13"/>
      <c r="P42" s="13"/>
    </row>
    <row r="43" customFormat="false" ht="12.8" hidden="false" customHeight="false" outlineLevel="0" collapsed="false">
      <c r="A43" s="6" t="n">
        <f aca="false">A41+1</f>
        <v>22</v>
      </c>
      <c r="B43" s="6" t="n">
        <f aca="false">B41+C41+D41</f>
        <v>75450</v>
      </c>
      <c r="C43" s="6" t="n">
        <f aca="false">$C$5</f>
        <v>3350</v>
      </c>
      <c r="D43" s="14" t="n">
        <v>10</v>
      </c>
      <c r="E43" s="6" t="n">
        <f aca="false">E41</f>
        <v>1</v>
      </c>
      <c r="F43" s="6" t="n">
        <v>41</v>
      </c>
      <c r="G43" s="13" t="n">
        <f aca="false">$G$5</f>
        <v>935</v>
      </c>
      <c r="H43" s="6" t="n">
        <f aca="false">G43+B43</f>
        <v>76385</v>
      </c>
      <c r="I43" s="26" t="n">
        <v>2</v>
      </c>
      <c r="J43" s="31" t="s">
        <v>17</v>
      </c>
      <c r="K43" s="32" t="s">
        <v>34</v>
      </c>
      <c r="L43" s="30" t="s">
        <v>37</v>
      </c>
      <c r="M43" s="20" t="s">
        <v>43</v>
      </c>
      <c r="N43" s="13"/>
      <c r="O43" s="13" t="n">
        <f aca="false">O41+C41+D41</f>
        <v>75720</v>
      </c>
      <c r="P43" s="13"/>
    </row>
    <row r="44" customFormat="false" ht="12.8" hidden="false" customHeight="false" outlineLevel="0" collapsed="false">
      <c r="A44" s="6" t="n">
        <f aca="false">A42+1</f>
        <v>22</v>
      </c>
      <c r="E44" s="6" t="n">
        <f aca="false">E42</f>
        <v>2</v>
      </c>
      <c r="F44" s="6" t="n">
        <v>42</v>
      </c>
      <c r="G44" s="13" t="n">
        <f aca="false">$G$6</f>
        <v>2030</v>
      </c>
      <c r="H44" s="6" t="n">
        <f aca="false">H43+G44</f>
        <v>78415</v>
      </c>
      <c r="J44" s="6" t="s">
        <v>22</v>
      </c>
      <c r="K44" s="14" t="s">
        <v>36</v>
      </c>
      <c r="L44" s="14"/>
      <c r="M44" s="14"/>
      <c r="N44" s="13"/>
      <c r="P44" s="13"/>
    </row>
    <row r="45" customFormat="false" ht="12.8" hidden="false" customHeight="false" outlineLevel="0" collapsed="false">
      <c r="A45" s="6" t="n">
        <f aca="false">A43+1</f>
        <v>23</v>
      </c>
      <c r="B45" s="6" t="n">
        <f aca="false">B43+C43+D43</f>
        <v>78810</v>
      </c>
      <c r="C45" s="6" t="n">
        <f aca="false">$C$5</f>
        <v>3350</v>
      </c>
      <c r="D45" s="14" t="n">
        <v>10</v>
      </c>
      <c r="E45" s="6" t="n">
        <f aca="false">E43</f>
        <v>1</v>
      </c>
      <c r="F45" s="6" t="n">
        <v>43</v>
      </c>
      <c r="G45" s="13" t="n">
        <f aca="false">$G$5</f>
        <v>935</v>
      </c>
      <c r="H45" s="6" t="n">
        <f aca="false">G45+B45</f>
        <v>79745</v>
      </c>
      <c r="I45" s="36" t="n">
        <v>3</v>
      </c>
      <c r="J45" s="7" t="s">
        <v>19</v>
      </c>
      <c r="K45" s="20" t="s">
        <v>35</v>
      </c>
      <c r="L45" s="37" t="s">
        <v>38</v>
      </c>
      <c r="M45" s="17" t="s">
        <v>45</v>
      </c>
      <c r="N45" s="13"/>
      <c r="O45" s="13" t="n">
        <f aca="false">O43+C43+D43</f>
        <v>79080</v>
      </c>
      <c r="P45" s="13"/>
    </row>
    <row r="46" customFormat="false" ht="12.8" hidden="false" customHeight="false" outlineLevel="0" collapsed="false">
      <c r="A46" s="6" t="n">
        <f aca="false">A44+1</f>
        <v>23</v>
      </c>
      <c r="E46" s="6" t="n">
        <f aca="false">E44</f>
        <v>2</v>
      </c>
      <c r="F46" s="6" t="n">
        <v>44</v>
      </c>
      <c r="G46" s="13" t="n">
        <f aca="false">$G$6</f>
        <v>2030</v>
      </c>
      <c r="H46" s="6" t="n">
        <f aca="false">H45+G46</f>
        <v>81775</v>
      </c>
      <c r="J46" s="6" t="s">
        <v>22</v>
      </c>
      <c r="K46" s="14" t="s">
        <v>36</v>
      </c>
      <c r="L46" s="14"/>
      <c r="M46" s="14"/>
      <c r="N46" s="13"/>
      <c r="P46" s="13"/>
    </row>
    <row r="47" customFormat="false" ht="12.8" hidden="false" customHeight="false" outlineLevel="0" collapsed="false">
      <c r="A47" s="6" t="n">
        <f aca="false">A45+1</f>
        <v>24</v>
      </c>
      <c r="B47" s="6" t="n">
        <f aca="false">B45+C45+D45</f>
        <v>82170</v>
      </c>
      <c r="C47" s="6" t="n">
        <f aca="false">$C$5</f>
        <v>3350</v>
      </c>
      <c r="D47" s="14" t="n">
        <v>10</v>
      </c>
      <c r="E47" s="6" t="n">
        <f aca="false">E45</f>
        <v>1</v>
      </c>
      <c r="F47" s="6" t="n">
        <v>45</v>
      </c>
      <c r="G47" s="13" t="n">
        <f aca="false">$G$5</f>
        <v>935</v>
      </c>
      <c r="H47" s="6" t="n">
        <f aca="false">G47+B47</f>
        <v>83105</v>
      </c>
      <c r="I47" s="26" t="n">
        <v>2</v>
      </c>
      <c r="J47" s="31" t="s">
        <v>17</v>
      </c>
      <c r="K47" s="32" t="s">
        <v>34</v>
      </c>
      <c r="L47" s="30" t="s">
        <v>37</v>
      </c>
      <c r="M47" s="20" t="s">
        <v>43</v>
      </c>
      <c r="N47" s="13"/>
      <c r="O47" s="13" t="n">
        <f aca="false">O45+C45+D45</f>
        <v>82440</v>
      </c>
      <c r="P47" s="13"/>
    </row>
    <row r="48" customFormat="false" ht="12.8" hidden="false" customHeight="false" outlineLevel="0" collapsed="false">
      <c r="A48" s="6" t="n">
        <f aca="false">A46+1</f>
        <v>24</v>
      </c>
      <c r="E48" s="6" t="n">
        <f aca="false">E46</f>
        <v>2</v>
      </c>
      <c r="F48" s="6" t="n">
        <v>46</v>
      </c>
      <c r="G48" s="13" t="n">
        <f aca="false">$G$6</f>
        <v>2030</v>
      </c>
      <c r="H48" s="6" t="n">
        <f aca="false">H47+G48</f>
        <v>85135</v>
      </c>
      <c r="J48" s="6" t="s">
        <v>22</v>
      </c>
      <c r="K48" s="14" t="s">
        <v>36</v>
      </c>
      <c r="L48" s="14"/>
      <c r="M48" s="14"/>
      <c r="N48" s="13"/>
      <c r="P48" s="13"/>
    </row>
    <row r="49" customFormat="false" ht="12.8" hidden="false" customHeight="false" outlineLevel="0" collapsed="false">
      <c r="A49" s="6" t="n">
        <f aca="false">A47+1</f>
        <v>25</v>
      </c>
      <c r="B49" s="6" t="n">
        <f aca="false">B47+C47+D47</f>
        <v>85530</v>
      </c>
      <c r="C49" s="6" t="n">
        <f aca="false">$C$5</f>
        <v>3350</v>
      </c>
      <c r="D49" s="14" t="n">
        <v>10</v>
      </c>
      <c r="E49" s="6" t="n">
        <f aca="false">E47</f>
        <v>1</v>
      </c>
      <c r="F49" s="6" t="n">
        <v>47</v>
      </c>
      <c r="G49" s="13" t="n">
        <f aca="false">$G$5</f>
        <v>935</v>
      </c>
      <c r="H49" s="6" t="n">
        <f aca="false">G49+B49</f>
        <v>86465</v>
      </c>
      <c r="I49" s="36" t="n">
        <v>3</v>
      </c>
      <c r="J49" s="7" t="s">
        <v>19</v>
      </c>
      <c r="K49" s="20" t="s">
        <v>35</v>
      </c>
      <c r="L49" s="37" t="s">
        <v>38</v>
      </c>
      <c r="M49" s="17" t="s">
        <v>45</v>
      </c>
      <c r="N49" s="13"/>
      <c r="O49" s="13" t="n">
        <f aca="false">O47+C47+D47</f>
        <v>85800</v>
      </c>
      <c r="P49" s="13"/>
    </row>
    <row r="50" customFormat="false" ht="12.8" hidden="false" customHeight="false" outlineLevel="0" collapsed="false">
      <c r="A50" s="6" t="n">
        <f aca="false">A48+1</f>
        <v>25</v>
      </c>
      <c r="E50" s="6" t="n">
        <f aca="false">E48</f>
        <v>2</v>
      </c>
      <c r="F50" s="6" t="n">
        <v>48</v>
      </c>
      <c r="G50" s="13" t="n">
        <f aca="false">$G$6</f>
        <v>2030</v>
      </c>
      <c r="H50" s="6" t="n">
        <f aca="false">H49+G50</f>
        <v>88495</v>
      </c>
      <c r="J50" s="6" t="s">
        <v>22</v>
      </c>
      <c r="K50" s="14" t="s">
        <v>36</v>
      </c>
      <c r="L50" s="14"/>
      <c r="M50" s="14"/>
      <c r="N50" s="13"/>
      <c r="P50" s="13"/>
    </row>
    <row r="51" customFormat="false" ht="12.8" hidden="false" customHeight="false" outlineLevel="0" collapsed="false">
      <c r="A51" s="6" t="n">
        <f aca="false">A49+1</f>
        <v>26</v>
      </c>
      <c r="B51" s="6" t="n">
        <f aca="false">B49+C49+D49</f>
        <v>88890</v>
      </c>
      <c r="C51" s="6" t="n">
        <f aca="false">$C$5</f>
        <v>3350</v>
      </c>
      <c r="D51" s="14" t="n">
        <v>10</v>
      </c>
      <c r="E51" s="6" t="n">
        <f aca="false">E49</f>
        <v>1</v>
      </c>
      <c r="F51" s="6" t="n">
        <v>49</v>
      </c>
      <c r="G51" s="13" t="n">
        <f aca="false">$G$5</f>
        <v>935</v>
      </c>
      <c r="H51" s="6" t="n">
        <f aca="false">G51+B51</f>
        <v>89825</v>
      </c>
      <c r="I51" s="26" t="n">
        <v>2</v>
      </c>
      <c r="J51" s="31" t="s">
        <v>17</v>
      </c>
      <c r="K51" s="32" t="s">
        <v>34</v>
      </c>
      <c r="L51" s="30" t="s">
        <v>37</v>
      </c>
      <c r="M51" s="20" t="s">
        <v>43</v>
      </c>
      <c r="N51" s="13"/>
      <c r="O51" s="13" t="n">
        <f aca="false">O49+C49+D49</f>
        <v>89160</v>
      </c>
      <c r="P51" s="13"/>
    </row>
    <row r="52" customFormat="false" ht="12.8" hidden="false" customHeight="false" outlineLevel="0" collapsed="false">
      <c r="A52" s="6" t="n">
        <f aca="false">A50+1</f>
        <v>26</v>
      </c>
      <c r="E52" s="6" t="n">
        <f aca="false">E50</f>
        <v>2</v>
      </c>
      <c r="F52" s="6" t="n">
        <v>50</v>
      </c>
      <c r="G52" s="13" t="n">
        <f aca="false">$G$6</f>
        <v>2030</v>
      </c>
      <c r="H52" s="6" t="n">
        <f aca="false">H51+G52</f>
        <v>91855</v>
      </c>
      <c r="J52" s="6" t="s">
        <v>22</v>
      </c>
      <c r="K52" s="14" t="s">
        <v>36</v>
      </c>
      <c r="L52" s="14"/>
      <c r="M52" s="14"/>
      <c r="N52" s="13"/>
      <c r="P52" s="13"/>
    </row>
    <row r="53" customFormat="false" ht="12.8" hidden="false" customHeight="false" outlineLevel="0" collapsed="false">
      <c r="A53" s="6" t="n">
        <f aca="false">A51+1</f>
        <v>27</v>
      </c>
      <c r="B53" s="6" t="n">
        <f aca="false">B51+C51+D51</f>
        <v>92250</v>
      </c>
      <c r="C53" s="6" t="n">
        <f aca="false">$C$5</f>
        <v>3350</v>
      </c>
      <c r="D53" s="14" t="n">
        <v>10</v>
      </c>
      <c r="E53" s="6" t="n">
        <f aca="false">E51</f>
        <v>1</v>
      </c>
      <c r="F53" s="6" t="n">
        <v>51</v>
      </c>
      <c r="G53" s="13" t="n">
        <f aca="false">$G$5</f>
        <v>935</v>
      </c>
      <c r="H53" s="6" t="n">
        <f aca="false">G53+B53</f>
        <v>93185</v>
      </c>
      <c r="I53" s="36" t="n">
        <v>3</v>
      </c>
      <c r="J53" s="7" t="s">
        <v>19</v>
      </c>
      <c r="K53" s="20" t="s">
        <v>35</v>
      </c>
      <c r="L53" s="37" t="s">
        <v>38</v>
      </c>
      <c r="M53" s="17" t="s">
        <v>45</v>
      </c>
      <c r="N53" s="13"/>
      <c r="O53" s="13" t="n">
        <f aca="false">O51+C51+D51</f>
        <v>92520</v>
      </c>
      <c r="P53" s="13"/>
    </row>
    <row r="54" customFormat="false" ht="12.8" hidden="false" customHeight="false" outlineLevel="0" collapsed="false">
      <c r="A54" s="6" t="n">
        <f aca="false">A52+1</f>
        <v>27</v>
      </c>
      <c r="E54" s="6" t="n">
        <f aca="false">E52</f>
        <v>2</v>
      </c>
      <c r="F54" s="6" t="n">
        <v>52</v>
      </c>
      <c r="G54" s="13" t="n">
        <f aca="false">$G$6</f>
        <v>2030</v>
      </c>
      <c r="H54" s="6" t="n">
        <f aca="false">H53+G54</f>
        <v>95215</v>
      </c>
      <c r="J54" s="6" t="s">
        <v>22</v>
      </c>
      <c r="K54" s="14" t="s">
        <v>36</v>
      </c>
      <c r="L54" s="14"/>
      <c r="M54" s="14"/>
      <c r="N54" s="13"/>
      <c r="P54" s="13"/>
    </row>
    <row r="55" customFormat="false" ht="12.8" hidden="false" customHeight="false" outlineLevel="0" collapsed="false">
      <c r="A55" s="6" t="n">
        <f aca="false">A53+1</f>
        <v>28</v>
      </c>
      <c r="B55" s="6" t="n">
        <f aca="false">B53+C53+D53</f>
        <v>95610</v>
      </c>
      <c r="C55" s="6" t="n">
        <f aca="false">$C$5</f>
        <v>3350</v>
      </c>
      <c r="D55" s="14" t="n">
        <v>10</v>
      </c>
      <c r="E55" s="6" t="n">
        <f aca="false">E53</f>
        <v>1</v>
      </c>
      <c r="F55" s="6" t="n">
        <v>53</v>
      </c>
      <c r="G55" s="13" t="n">
        <f aca="false">$G$5</f>
        <v>935</v>
      </c>
      <c r="H55" s="6" t="n">
        <f aca="false">G55+B55</f>
        <v>96545</v>
      </c>
      <c r="I55" s="26" t="n">
        <v>2</v>
      </c>
      <c r="J55" s="31" t="s">
        <v>17</v>
      </c>
      <c r="K55" s="32" t="s">
        <v>34</v>
      </c>
      <c r="L55" s="30" t="s">
        <v>37</v>
      </c>
      <c r="M55" s="20" t="s">
        <v>43</v>
      </c>
      <c r="N55" s="13"/>
      <c r="O55" s="13" t="n">
        <f aca="false">O53+C53+D53</f>
        <v>95880</v>
      </c>
      <c r="P55" s="13"/>
    </row>
    <row r="56" customFormat="false" ht="12.8" hidden="false" customHeight="false" outlineLevel="0" collapsed="false">
      <c r="A56" s="6" t="n">
        <f aca="false">A54+1</f>
        <v>28</v>
      </c>
      <c r="E56" s="6" t="n">
        <f aca="false">E54</f>
        <v>2</v>
      </c>
      <c r="F56" s="6" t="n">
        <v>54</v>
      </c>
      <c r="G56" s="13" t="n">
        <f aca="false">$G$6</f>
        <v>2030</v>
      </c>
      <c r="H56" s="6" t="n">
        <f aca="false">H55+G56</f>
        <v>98575</v>
      </c>
      <c r="J56" s="6" t="s">
        <v>22</v>
      </c>
      <c r="K56" s="14" t="s">
        <v>36</v>
      </c>
      <c r="L56" s="14"/>
      <c r="M56" s="14"/>
      <c r="N56" s="13"/>
      <c r="P56" s="13"/>
    </row>
    <row r="57" customFormat="false" ht="12.8" hidden="false" customHeight="false" outlineLevel="0" collapsed="false">
      <c r="A57" s="6" t="n">
        <f aca="false">A55+1</f>
        <v>29</v>
      </c>
      <c r="B57" s="6" t="n">
        <f aca="false">B55+C55+D55</f>
        <v>98970</v>
      </c>
      <c r="C57" s="6" t="n">
        <f aca="false">$C$5</f>
        <v>3350</v>
      </c>
      <c r="D57" s="14" t="n">
        <v>10</v>
      </c>
      <c r="E57" s="6" t="n">
        <f aca="false">E55</f>
        <v>1</v>
      </c>
      <c r="F57" s="6" t="n">
        <v>55</v>
      </c>
      <c r="G57" s="13" t="n">
        <f aca="false">$G$5</f>
        <v>935</v>
      </c>
      <c r="H57" s="6" t="n">
        <f aca="false">G57+B57</f>
        <v>99905</v>
      </c>
      <c r="I57" s="36" t="n">
        <v>3</v>
      </c>
      <c r="J57" s="29" t="s">
        <v>20</v>
      </c>
      <c r="K57" s="20" t="s">
        <v>35</v>
      </c>
      <c r="L57" s="37" t="s">
        <v>38</v>
      </c>
      <c r="M57" s="41" t="s">
        <v>46</v>
      </c>
      <c r="N57" s="13"/>
      <c r="O57" s="13" t="n">
        <f aca="false">O55+C55+D55</f>
        <v>99240</v>
      </c>
      <c r="P57" s="13"/>
    </row>
    <row r="58" customFormat="false" ht="12.8" hidden="false" customHeight="false" outlineLevel="0" collapsed="false">
      <c r="A58" s="6" t="n">
        <f aca="false">A56+1</f>
        <v>29</v>
      </c>
      <c r="E58" s="6" t="n">
        <f aca="false">E56</f>
        <v>2</v>
      </c>
      <c r="F58" s="6" t="n">
        <v>56</v>
      </c>
      <c r="G58" s="13" t="n">
        <f aca="false">$G$6</f>
        <v>2030</v>
      </c>
      <c r="H58" s="6" t="n">
        <f aca="false">H57+G58</f>
        <v>101935</v>
      </c>
      <c r="J58" s="6" t="s">
        <v>22</v>
      </c>
      <c r="K58" s="14" t="s">
        <v>36</v>
      </c>
      <c r="L58" s="14"/>
      <c r="M58" s="14"/>
      <c r="N58" s="13"/>
      <c r="P58" s="13"/>
    </row>
    <row r="59" customFormat="false" ht="12.8" hidden="false" customHeight="false" outlineLevel="0" collapsed="false">
      <c r="A59" s="6" t="n">
        <f aca="false">A57+1</f>
        <v>30</v>
      </c>
      <c r="B59" s="6" t="n">
        <f aca="false">B57+C57+D57</f>
        <v>102330</v>
      </c>
      <c r="C59" s="6" t="n">
        <f aca="false">$C$5</f>
        <v>3350</v>
      </c>
      <c r="D59" s="14" t="n">
        <v>10</v>
      </c>
      <c r="E59" s="6" t="n">
        <f aca="false">E57</f>
        <v>1</v>
      </c>
      <c r="F59" s="6" t="n">
        <v>57</v>
      </c>
      <c r="G59" s="13" t="n">
        <f aca="false">$G$5</f>
        <v>935</v>
      </c>
      <c r="H59" s="6" t="n">
        <f aca="false">G59+B59</f>
        <v>103265</v>
      </c>
      <c r="I59" s="26" t="n">
        <v>2</v>
      </c>
      <c r="J59" s="42" t="s">
        <v>18</v>
      </c>
      <c r="K59" s="32" t="s">
        <v>34</v>
      </c>
      <c r="L59" s="30" t="s">
        <v>37</v>
      </c>
      <c r="M59" s="43" t="s">
        <v>44</v>
      </c>
      <c r="N59" s="13"/>
      <c r="O59" s="13" t="n">
        <f aca="false">O57+C57+D57</f>
        <v>102600</v>
      </c>
      <c r="P59" s="13"/>
    </row>
    <row r="60" customFormat="false" ht="12.8" hidden="false" customHeight="false" outlineLevel="0" collapsed="false">
      <c r="A60" s="6" t="n">
        <f aca="false">A58+1</f>
        <v>30</v>
      </c>
      <c r="E60" s="6" t="n">
        <f aca="false">E58</f>
        <v>2</v>
      </c>
      <c r="F60" s="6" t="n">
        <v>58</v>
      </c>
      <c r="G60" s="13" t="n">
        <f aca="false">$G$6</f>
        <v>2030</v>
      </c>
      <c r="H60" s="6" t="n">
        <f aca="false">H59+G60</f>
        <v>105295</v>
      </c>
      <c r="J60" s="6" t="s">
        <v>22</v>
      </c>
      <c r="K60" s="14" t="s">
        <v>36</v>
      </c>
      <c r="L60" s="14"/>
      <c r="M60" s="14"/>
      <c r="N60" s="13"/>
      <c r="P60" s="13"/>
    </row>
    <row r="61" customFormat="false" ht="12.8" hidden="false" customHeight="false" outlineLevel="0" collapsed="false">
      <c r="A61" s="6" t="n">
        <f aca="false">A59+1</f>
        <v>31</v>
      </c>
      <c r="B61" s="6" t="n">
        <f aca="false">B59+C59+D59</f>
        <v>105690</v>
      </c>
      <c r="C61" s="6" t="n">
        <f aca="false">$C$5</f>
        <v>3350</v>
      </c>
      <c r="D61" s="14" t="n">
        <v>10</v>
      </c>
      <c r="E61" s="6" t="n">
        <f aca="false">E59</f>
        <v>1</v>
      </c>
      <c r="F61" s="6" t="n">
        <v>59</v>
      </c>
      <c r="G61" s="13" t="n">
        <f aca="false">$G$5</f>
        <v>935</v>
      </c>
      <c r="H61" s="6" t="n">
        <f aca="false">G61+B61</f>
        <v>106625</v>
      </c>
      <c r="I61" s="36" t="n">
        <v>3</v>
      </c>
      <c r="J61" s="29" t="s">
        <v>20</v>
      </c>
      <c r="K61" s="20" t="s">
        <v>35</v>
      </c>
      <c r="L61" s="37" t="s">
        <v>38</v>
      </c>
      <c r="M61" s="41" t="s">
        <v>46</v>
      </c>
      <c r="N61" s="13"/>
      <c r="O61" s="13" t="n">
        <f aca="false">O59+C59+D59</f>
        <v>105960</v>
      </c>
      <c r="P61" s="13"/>
    </row>
    <row r="62" customFormat="false" ht="12.8" hidden="false" customHeight="false" outlineLevel="0" collapsed="false">
      <c r="A62" s="6" t="n">
        <f aca="false">A60+1</f>
        <v>31</v>
      </c>
      <c r="E62" s="6" t="n">
        <f aca="false">E60</f>
        <v>2</v>
      </c>
      <c r="F62" s="6" t="n">
        <v>60</v>
      </c>
      <c r="G62" s="13" t="n">
        <f aca="false">$G$6</f>
        <v>2030</v>
      </c>
      <c r="H62" s="6" t="n">
        <f aca="false">H61+G62</f>
        <v>108655</v>
      </c>
      <c r="J62" s="6" t="s">
        <v>22</v>
      </c>
      <c r="K62" s="14" t="s">
        <v>36</v>
      </c>
      <c r="L62" s="14"/>
      <c r="M62" s="14"/>
      <c r="N62" s="13"/>
      <c r="P62" s="13"/>
    </row>
    <row r="63" customFormat="false" ht="12.8" hidden="false" customHeight="false" outlineLevel="0" collapsed="false">
      <c r="A63" s="6" t="n">
        <f aca="false">A61+1</f>
        <v>32</v>
      </c>
      <c r="B63" s="6" t="n">
        <f aca="false">B61+C61+D61</f>
        <v>109050</v>
      </c>
      <c r="C63" s="6" t="n">
        <f aca="false">$C$5</f>
        <v>3350</v>
      </c>
      <c r="D63" s="14" t="n">
        <v>10</v>
      </c>
      <c r="E63" s="6" t="n">
        <f aca="false">E61</f>
        <v>1</v>
      </c>
      <c r="F63" s="6" t="n">
        <v>61</v>
      </c>
      <c r="G63" s="13" t="n">
        <f aca="false">$G$5</f>
        <v>935</v>
      </c>
      <c r="H63" s="6" t="n">
        <f aca="false">G63+B63</f>
        <v>109985</v>
      </c>
      <c r="I63" s="26" t="n">
        <v>2</v>
      </c>
      <c r="J63" s="42" t="s">
        <v>18</v>
      </c>
      <c r="K63" s="32" t="s">
        <v>34</v>
      </c>
      <c r="L63" s="30" t="s">
        <v>37</v>
      </c>
      <c r="M63" s="43" t="s">
        <v>44</v>
      </c>
      <c r="N63" s="13"/>
      <c r="O63" s="13" t="n">
        <f aca="false">O61+C61+D61</f>
        <v>109320</v>
      </c>
      <c r="P63" s="13"/>
    </row>
    <row r="64" customFormat="false" ht="12.8" hidden="false" customHeight="false" outlineLevel="0" collapsed="false">
      <c r="A64" s="6" t="n">
        <f aca="false">A62+1</f>
        <v>32</v>
      </c>
      <c r="E64" s="6" t="n">
        <f aca="false">E62</f>
        <v>2</v>
      </c>
      <c r="F64" s="6" t="n">
        <v>62</v>
      </c>
      <c r="G64" s="13" t="n">
        <f aca="false">$G$6</f>
        <v>2030</v>
      </c>
      <c r="H64" s="6" t="n">
        <f aca="false">H63+G64</f>
        <v>112015</v>
      </c>
      <c r="J64" s="6" t="s">
        <v>22</v>
      </c>
      <c r="K64" s="14" t="s">
        <v>36</v>
      </c>
      <c r="L64" s="14"/>
      <c r="M64" s="14"/>
      <c r="N64" s="13"/>
      <c r="P64" s="13"/>
    </row>
    <row r="65" customFormat="false" ht="12.8" hidden="false" customHeight="false" outlineLevel="0" collapsed="false">
      <c r="A65" s="6" t="n">
        <f aca="false">A63+1</f>
        <v>33</v>
      </c>
      <c r="B65" s="6" t="n">
        <f aca="false">B63+C63+D63</f>
        <v>112410</v>
      </c>
      <c r="C65" s="6" t="n">
        <f aca="false">$C$5</f>
        <v>3350</v>
      </c>
      <c r="D65" s="14" t="n">
        <v>10</v>
      </c>
      <c r="E65" s="6" t="n">
        <f aca="false">E63</f>
        <v>1</v>
      </c>
      <c r="F65" s="6" t="n">
        <v>63</v>
      </c>
      <c r="G65" s="13" t="n">
        <f aca="false">$G$5</f>
        <v>935</v>
      </c>
      <c r="H65" s="6" t="n">
        <f aca="false">G65+B65</f>
        <v>113345</v>
      </c>
      <c r="I65" s="36" t="n">
        <v>3</v>
      </c>
      <c r="J65" s="29" t="s">
        <v>20</v>
      </c>
      <c r="K65" s="20" t="s">
        <v>35</v>
      </c>
      <c r="L65" s="37" t="s">
        <v>38</v>
      </c>
      <c r="M65" s="41" t="s">
        <v>46</v>
      </c>
      <c r="N65" s="13"/>
      <c r="O65" s="13" t="n">
        <f aca="false">O63+C63+D63</f>
        <v>112680</v>
      </c>
      <c r="P65" s="13"/>
    </row>
    <row r="66" customFormat="false" ht="12.8" hidden="false" customHeight="false" outlineLevel="0" collapsed="false">
      <c r="A66" s="6" t="n">
        <f aca="false">A64+1</f>
        <v>33</v>
      </c>
      <c r="E66" s="6" t="n">
        <f aca="false">E64</f>
        <v>2</v>
      </c>
      <c r="F66" s="6" t="n">
        <v>64</v>
      </c>
      <c r="G66" s="13" t="n">
        <f aca="false">$G$6</f>
        <v>2030</v>
      </c>
      <c r="H66" s="6" t="n">
        <f aca="false">H65+G66</f>
        <v>115375</v>
      </c>
      <c r="J66" s="6" t="s">
        <v>22</v>
      </c>
      <c r="K66" s="14" t="s">
        <v>36</v>
      </c>
      <c r="L66" s="14"/>
      <c r="M66" s="14"/>
      <c r="N66" s="13"/>
      <c r="P66" s="13"/>
    </row>
    <row r="67" customFormat="false" ht="12.8" hidden="false" customHeight="false" outlineLevel="0" collapsed="false">
      <c r="A67" s="6" t="n">
        <f aca="false">A65+1</f>
        <v>34</v>
      </c>
      <c r="B67" s="6" t="n">
        <f aca="false">B65+C65+D65</f>
        <v>115770</v>
      </c>
      <c r="C67" s="6" t="n">
        <f aca="false">$C$5</f>
        <v>3350</v>
      </c>
      <c r="D67" s="14" t="n">
        <v>10</v>
      </c>
      <c r="E67" s="6" t="n">
        <f aca="false">E65</f>
        <v>1</v>
      </c>
      <c r="F67" s="6" t="n">
        <v>65</v>
      </c>
      <c r="G67" s="13" t="n">
        <f aca="false">$G$5</f>
        <v>935</v>
      </c>
      <c r="H67" s="6" t="n">
        <f aca="false">G67+B67</f>
        <v>116705</v>
      </c>
      <c r="I67" s="26" t="n">
        <v>2</v>
      </c>
      <c r="J67" s="42" t="s">
        <v>18</v>
      </c>
      <c r="K67" s="32" t="s">
        <v>34</v>
      </c>
      <c r="L67" s="30" t="s">
        <v>37</v>
      </c>
      <c r="M67" s="43" t="s">
        <v>44</v>
      </c>
      <c r="N67" s="13"/>
      <c r="O67" s="13" t="n">
        <f aca="false">O65+C65+D65</f>
        <v>116040</v>
      </c>
      <c r="P67" s="13"/>
    </row>
    <row r="68" customFormat="false" ht="12.8" hidden="false" customHeight="false" outlineLevel="0" collapsed="false">
      <c r="A68" s="6" t="n">
        <f aca="false">A66+1</f>
        <v>34</v>
      </c>
      <c r="E68" s="6" t="n">
        <f aca="false">E66</f>
        <v>2</v>
      </c>
      <c r="F68" s="6" t="n">
        <v>66</v>
      </c>
      <c r="G68" s="13" t="n">
        <f aca="false">$G$6</f>
        <v>2030</v>
      </c>
      <c r="H68" s="6" t="n">
        <f aca="false">H67+G68</f>
        <v>118735</v>
      </c>
      <c r="J68" s="6" t="s">
        <v>22</v>
      </c>
      <c r="K68" s="14" t="s">
        <v>36</v>
      </c>
      <c r="L68" s="14"/>
      <c r="M68" s="14"/>
      <c r="N68" s="13"/>
      <c r="P68" s="13"/>
    </row>
    <row r="69" customFormat="false" ht="12.8" hidden="false" customHeight="false" outlineLevel="0" collapsed="false">
      <c r="A69" s="6" t="n">
        <f aca="false">A67+1</f>
        <v>35</v>
      </c>
      <c r="B69" s="6" t="n">
        <f aca="false">B67+C67+D67</f>
        <v>119130</v>
      </c>
      <c r="C69" s="6" t="n">
        <f aca="false">$C$5</f>
        <v>3350</v>
      </c>
      <c r="D69" s="14" t="n">
        <v>10</v>
      </c>
      <c r="E69" s="6" t="n">
        <f aca="false">E67</f>
        <v>1</v>
      </c>
      <c r="F69" s="6" t="n">
        <v>67</v>
      </c>
      <c r="G69" s="13" t="n">
        <f aca="false">$G$5</f>
        <v>935</v>
      </c>
      <c r="H69" s="6" t="n">
        <f aca="false">G69+B69</f>
        <v>120065</v>
      </c>
      <c r="I69" s="36" t="n">
        <v>3</v>
      </c>
      <c r="J69" s="29" t="s">
        <v>20</v>
      </c>
      <c r="K69" s="20" t="s">
        <v>35</v>
      </c>
      <c r="L69" s="37" t="s">
        <v>38</v>
      </c>
      <c r="M69" s="41" t="s">
        <v>46</v>
      </c>
      <c r="N69" s="13"/>
      <c r="O69" s="13" t="n">
        <f aca="false">O67+C67+D67</f>
        <v>119400</v>
      </c>
      <c r="P69" s="13"/>
    </row>
    <row r="70" customFormat="false" ht="12.8" hidden="false" customHeight="false" outlineLevel="0" collapsed="false">
      <c r="A70" s="6" t="n">
        <f aca="false">A68+1</f>
        <v>35</v>
      </c>
      <c r="E70" s="6" t="n">
        <f aca="false">E68</f>
        <v>2</v>
      </c>
      <c r="F70" s="6" t="n">
        <v>68</v>
      </c>
      <c r="G70" s="13" t="n">
        <f aca="false">$G$6</f>
        <v>2030</v>
      </c>
      <c r="H70" s="6" t="n">
        <f aca="false">H69+G70</f>
        <v>122095</v>
      </c>
      <c r="J70" s="6" t="s">
        <v>22</v>
      </c>
      <c r="K70" s="14" t="s">
        <v>36</v>
      </c>
      <c r="L70" s="14"/>
      <c r="M70" s="14"/>
      <c r="N70" s="13"/>
      <c r="P70" s="13"/>
    </row>
    <row r="71" customFormat="false" ht="12.8" hidden="false" customHeight="false" outlineLevel="0" collapsed="false">
      <c r="A71" s="6" t="n">
        <f aca="false">A69+1</f>
        <v>36</v>
      </c>
      <c r="B71" s="6" t="n">
        <f aca="false">B69+C69+D69</f>
        <v>122490</v>
      </c>
      <c r="C71" s="6" t="n">
        <f aca="false">$C$5</f>
        <v>3350</v>
      </c>
      <c r="D71" s="14" t="n">
        <v>10</v>
      </c>
      <c r="E71" s="6" t="n">
        <f aca="false">E69</f>
        <v>1</v>
      </c>
      <c r="F71" s="6" t="n">
        <v>69</v>
      </c>
      <c r="G71" s="13" t="n">
        <f aca="false">$G$5</f>
        <v>935</v>
      </c>
      <c r="H71" s="6" t="n">
        <f aca="false">G71+B71</f>
        <v>123425</v>
      </c>
      <c r="I71" s="26" t="n">
        <v>2</v>
      </c>
      <c r="J71" s="42" t="s">
        <v>18</v>
      </c>
      <c r="K71" s="32" t="s">
        <v>34</v>
      </c>
      <c r="L71" s="30" t="s">
        <v>37</v>
      </c>
      <c r="M71" s="43" t="s">
        <v>44</v>
      </c>
      <c r="N71" s="13"/>
      <c r="O71" s="13" t="n">
        <f aca="false">O69+C69+D69</f>
        <v>122760</v>
      </c>
      <c r="P71" s="13"/>
    </row>
    <row r="72" customFormat="false" ht="12.8" hidden="false" customHeight="false" outlineLevel="0" collapsed="false">
      <c r="A72" s="6" t="n">
        <f aca="false">A70+1</f>
        <v>36</v>
      </c>
      <c r="E72" s="6" t="n">
        <f aca="false">E70</f>
        <v>2</v>
      </c>
      <c r="F72" s="6" t="n">
        <v>70</v>
      </c>
      <c r="G72" s="13" t="n">
        <f aca="false">$G$6</f>
        <v>2030</v>
      </c>
      <c r="H72" s="6" t="n">
        <f aca="false">H71+G72</f>
        <v>125455</v>
      </c>
      <c r="J72" s="6" t="s">
        <v>22</v>
      </c>
      <c r="K72" s="14" t="s">
        <v>36</v>
      </c>
      <c r="L72" s="14"/>
      <c r="M72" s="14"/>
      <c r="N72" s="13"/>
      <c r="P72" s="13"/>
    </row>
    <row r="73" customFormat="false" ht="12.8" hidden="false" customHeight="false" outlineLevel="0" collapsed="false">
      <c r="A73" s="6" t="n">
        <f aca="false">A71+1</f>
        <v>37</v>
      </c>
      <c r="B73" s="6" t="n">
        <f aca="false">B71+C71+D71</f>
        <v>125850</v>
      </c>
      <c r="C73" s="6" t="n">
        <f aca="false">$C$5</f>
        <v>3350</v>
      </c>
      <c r="D73" s="14" t="n">
        <v>10</v>
      </c>
      <c r="E73" s="6" t="n">
        <f aca="false">E71</f>
        <v>1</v>
      </c>
      <c r="F73" s="6" t="n">
        <v>71</v>
      </c>
      <c r="G73" s="13" t="n">
        <f aca="false">$G$5</f>
        <v>935</v>
      </c>
      <c r="H73" s="6" t="n">
        <f aca="false">G73+B73</f>
        <v>126785</v>
      </c>
      <c r="I73" s="36" t="n">
        <v>3</v>
      </c>
      <c r="J73" s="29" t="s">
        <v>20</v>
      </c>
      <c r="K73" s="20" t="s">
        <v>35</v>
      </c>
      <c r="L73" s="37" t="s">
        <v>38</v>
      </c>
      <c r="M73" s="41" t="s">
        <v>46</v>
      </c>
      <c r="N73" s="13"/>
      <c r="O73" s="13" t="n">
        <f aca="false">O71+C71+D71</f>
        <v>126120</v>
      </c>
      <c r="P73" s="13"/>
    </row>
    <row r="74" customFormat="false" ht="12.8" hidden="false" customHeight="false" outlineLevel="0" collapsed="false">
      <c r="A74" s="6" t="n">
        <f aca="false">A72+1</f>
        <v>37</v>
      </c>
      <c r="E74" s="6" t="n">
        <f aca="false">E72</f>
        <v>2</v>
      </c>
      <c r="F74" s="6" t="n">
        <v>72</v>
      </c>
      <c r="G74" s="13" t="n">
        <f aca="false">$G$6</f>
        <v>2030</v>
      </c>
      <c r="H74" s="6" t="n">
        <f aca="false">H73+G74</f>
        <v>128815</v>
      </c>
      <c r="J74" s="6" t="s">
        <v>22</v>
      </c>
      <c r="K74" s="14" t="s">
        <v>36</v>
      </c>
      <c r="L74" s="14"/>
      <c r="M74" s="14"/>
      <c r="N74" s="13"/>
      <c r="P74" s="13"/>
    </row>
    <row r="75" customFormat="false" ht="12.8" hidden="false" customHeight="false" outlineLevel="0" collapsed="false">
      <c r="A75" s="6" t="n">
        <f aca="false">A73+1</f>
        <v>38</v>
      </c>
      <c r="B75" s="6" t="n">
        <f aca="false">B73+C73+D73</f>
        <v>129210</v>
      </c>
      <c r="C75" s="6" t="n">
        <f aca="false">$C$5</f>
        <v>3350</v>
      </c>
      <c r="D75" s="14" t="n">
        <v>10</v>
      </c>
      <c r="E75" s="6" t="n">
        <f aca="false">E73</f>
        <v>1</v>
      </c>
      <c r="F75" s="6" t="n">
        <v>73</v>
      </c>
      <c r="G75" s="13" t="n">
        <f aca="false">$G$5</f>
        <v>935</v>
      </c>
      <c r="H75" s="6" t="n">
        <f aca="false">G75+B75</f>
        <v>130145</v>
      </c>
      <c r="I75" s="26" t="n">
        <v>2</v>
      </c>
      <c r="J75" s="42" t="s">
        <v>18</v>
      </c>
      <c r="K75" s="32" t="s">
        <v>34</v>
      </c>
      <c r="L75" s="30" t="s">
        <v>37</v>
      </c>
      <c r="M75" s="43" t="s">
        <v>44</v>
      </c>
      <c r="N75" s="13"/>
      <c r="O75" s="13" t="n">
        <f aca="false">O73+C73+D73</f>
        <v>129480</v>
      </c>
      <c r="P75" s="13"/>
    </row>
    <row r="76" customFormat="false" ht="12.8" hidden="false" customHeight="false" outlineLevel="0" collapsed="false">
      <c r="A76" s="6" t="n">
        <f aca="false">A74+1</f>
        <v>38</v>
      </c>
      <c r="E76" s="6" t="n">
        <f aca="false">E74</f>
        <v>2</v>
      </c>
      <c r="F76" s="6" t="n">
        <v>74</v>
      </c>
      <c r="G76" s="13" t="n">
        <f aca="false">$G$6</f>
        <v>2030</v>
      </c>
      <c r="H76" s="6" t="n">
        <f aca="false">H75+G76</f>
        <v>132175</v>
      </c>
      <c r="J76" s="6" t="s">
        <v>22</v>
      </c>
      <c r="K76" s="14" t="s">
        <v>36</v>
      </c>
      <c r="L76" s="14"/>
      <c r="M76" s="14"/>
      <c r="N76" s="13"/>
      <c r="P76" s="13"/>
    </row>
    <row r="77" customFormat="false" ht="12.8" hidden="false" customHeight="false" outlineLevel="0" collapsed="false">
      <c r="A77" s="6" t="n">
        <f aca="false">A75+1</f>
        <v>39</v>
      </c>
      <c r="B77" s="6" t="n">
        <f aca="false">B75+C75+D75</f>
        <v>132570</v>
      </c>
      <c r="C77" s="40" t="n">
        <v>3510</v>
      </c>
      <c r="D77" s="14" t="n">
        <v>10</v>
      </c>
      <c r="E77" s="6" t="n">
        <f aca="false">E75</f>
        <v>1</v>
      </c>
      <c r="F77" s="6" t="n">
        <v>75</v>
      </c>
      <c r="G77" s="13" t="n">
        <f aca="false">$G$5</f>
        <v>935</v>
      </c>
      <c r="H77" s="6" t="n">
        <f aca="false">G77+B77</f>
        <v>133505</v>
      </c>
      <c r="I77" s="36" t="n">
        <v>3</v>
      </c>
      <c r="J77" s="29" t="s">
        <v>20</v>
      </c>
      <c r="K77" s="20" t="s">
        <v>35</v>
      </c>
      <c r="L77" s="37" t="s">
        <v>38</v>
      </c>
      <c r="M77" s="41" t="s">
        <v>46</v>
      </c>
      <c r="N77" s="13"/>
      <c r="O77" s="13" t="n">
        <f aca="false">O75+C75+D75</f>
        <v>132840</v>
      </c>
      <c r="P77" s="13"/>
    </row>
    <row r="78" customFormat="false" ht="12.8" hidden="false" customHeight="false" outlineLevel="0" collapsed="false">
      <c r="A78" s="6" t="n">
        <f aca="false">A76+1</f>
        <v>39</v>
      </c>
      <c r="E78" s="6" t="n">
        <f aca="false">E76</f>
        <v>2</v>
      </c>
      <c r="F78" s="6" t="n">
        <v>76</v>
      </c>
      <c r="G78" s="13" t="n">
        <f aca="false">$G$6</f>
        <v>2030</v>
      </c>
      <c r="H78" s="6" t="n">
        <f aca="false">H77+G78</f>
        <v>135535</v>
      </c>
      <c r="J78" s="6" t="s">
        <v>22</v>
      </c>
      <c r="K78" s="14" t="s">
        <v>36</v>
      </c>
      <c r="L78" s="14"/>
      <c r="M78" s="14"/>
      <c r="N78" s="13"/>
      <c r="P78" s="13"/>
    </row>
    <row r="79" customFormat="false" ht="12.8" hidden="false" customHeight="false" outlineLevel="0" collapsed="false">
      <c r="A79" s="6" t="n">
        <f aca="false">A77+1</f>
        <v>40</v>
      </c>
      <c r="B79" s="6" t="n">
        <f aca="false">B77+C77+D77</f>
        <v>136090</v>
      </c>
      <c r="C79" s="6" t="n">
        <f aca="false">$C$5</f>
        <v>3350</v>
      </c>
      <c r="D79" s="14" t="n">
        <v>10</v>
      </c>
      <c r="E79" s="6" t="n">
        <f aca="false">E77</f>
        <v>1</v>
      </c>
      <c r="F79" s="6" t="n">
        <v>77</v>
      </c>
      <c r="G79" s="13" t="n">
        <f aca="false">$G$5</f>
        <v>935</v>
      </c>
      <c r="H79" s="6" t="n">
        <f aca="false">G79+B79</f>
        <v>137025</v>
      </c>
      <c r="I79" s="26" t="n">
        <v>2</v>
      </c>
      <c r="J79" s="42" t="s">
        <v>18</v>
      </c>
      <c r="K79" s="32" t="s">
        <v>34</v>
      </c>
      <c r="L79" s="30" t="s">
        <v>37</v>
      </c>
      <c r="M79" s="43" t="s">
        <v>44</v>
      </c>
      <c r="N79" s="13"/>
      <c r="O79" s="13" t="n">
        <f aca="false">O77+C77+D77</f>
        <v>136360</v>
      </c>
      <c r="P79" s="13"/>
    </row>
    <row r="80" customFormat="false" ht="12.8" hidden="false" customHeight="false" outlineLevel="0" collapsed="false">
      <c r="A80" s="6" t="n">
        <f aca="false">A78+1</f>
        <v>40</v>
      </c>
      <c r="E80" s="6" t="n">
        <f aca="false">E78</f>
        <v>2</v>
      </c>
      <c r="F80" s="6" t="n">
        <v>78</v>
      </c>
      <c r="G80" s="13" t="n">
        <f aca="false">$G$6</f>
        <v>2030</v>
      </c>
      <c r="H80" s="6" t="n">
        <f aca="false">H79+G80</f>
        <v>139055</v>
      </c>
      <c r="J80" s="6" t="s">
        <v>22</v>
      </c>
      <c r="K80" s="14" t="s">
        <v>36</v>
      </c>
      <c r="L80" s="14"/>
      <c r="M80" s="14"/>
      <c r="N80" s="13"/>
      <c r="P80" s="13"/>
    </row>
    <row r="81" customFormat="false" ht="12.8" hidden="false" customHeight="false" outlineLevel="0" collapsed="false">
      <c r="A81" s="6" t="n">
        <f aca="false">A79+1</f>
        <v>41</v>
      </c>
      <c r="B81" s="6" t="n">
        <f aca="false">B79+C79+D79</f>
        <v>139450</v>
      </c>
      <c r="C81" s="6" t="n">
        <f aca="false">$C$5</f>
        <v>3350</v>
      </c>
      <c r="D81" s="14" t="n">
        <v>10</v>
      </c>
      <c r="E81" s="6" t="n">
        <f aca="false">E79</f>
        <v>1</v>
      </c>
      <c r="F81" s="6" t="n">
        <v>79</v>
      </c>
      <c r="G81" s="13" t="n">
        <f aca="false">$G$5</f>
        <v>935</v>
      </c>
      <c r="H81" s="6" t="n">
        <f aca="false">G81+B81</f>
        <v>140385</v>
      </c>
      <c r="I81" s="36" t="n">
        <v>3</v>
      </c>
      <c r="J81" s="29" t="s">
        <v>20</v>
      </c>
      <c r="K81" s="20" t="s">
        <v>35</v>
      </c>
      <c r="L81" s="37" t="s">
        <v>38</v>
      </c>
      <c r="M81" s="41" t="s">
        <v>46</v>
      </c>
      <c r="N81" s="13"/>
      <c r="O81" s="13" t="n">
        <f aca="false">O79+C79+D79</f>
        <v>139720</v>
      </c>
      <c r="P81" s="13"/>
    </row>
    <row r="82" customFormat="false" ht="12.8" hidden="false" customHeight="false" outlineLevel="0" collapsed="false">
      <c r="A82" s="6" t="n">
        <f aca="false">A80+1</f>
        <v>41</v>
      </c>
      <c r="E82" s="6" t="n">
        <f aca="false">E80</f>
        <v>2</v>
      </c>
      <c r="F82" s="6" t="n">
        <v>80</v>
      </c>
      <c r="G82" s="13" t="n">
        <f aca="false">$G$6</f>
        <v>2030</v>
      </c>
      <c r="H82" s="6" t="n">
        <f aca="false">H81+G82</f>
        <v>142415</v>
      </c>
      <c r="J82" s="6" t="s">
        <v>22</v>
      </c>
      <c r="K82" s="14" t="s">
        <v>36</v>
      </c>
      <c r="L82" s="14"/>
      <c r="M82" s="14"/>
      <c r="N82" s="13"/>
      <c r="P82" s="13"/>
    </row>
    <row r="83" customFormat="false" ht="12.8" hidden="false" customHeight="false" outlineLevel="0" collapsed="false">
      <c r="A83" s="6" t="n">
        <f aca="false">A81+1</f>
        <v>42</v>
      </c>
      <c r="B83" s="6" t="n">
        <f aca="false">B81+C81+D81</f>
        <v>142810</v>
      </c>
      <c r="C83" s="6" t="n">
        <f aca="false">$C$5</f>
        <v>3350</v>
      </c>
      <c r="D83" s="14" t="n">
        <v>10</v>
      </c>
      <c r="E83" s="6" t="n">
        <f aca="false">E81</f>
        <v>1</v>
      </c>
      <c r="F83" s="6" t="n">
        <v>81</v>
      </c>
      <c r="G83" s="13" t="n">
        <f aca="false">$G$5</f>
        <v>935</v>
      </c>
      <c r="H83" s="6" t="n">
        <f aca="false">G83+B83</f>
        <v>143745</v>
      </c>
      <c r="I83" s="26" t="n">
        <v>2</v>
      </c>
      <c r="J83" s="42" t="s">
        <v>18</v>
      </c>
      <c r="K83" s="32" t="s">
        <v>34</v>
      </c>
      <c r="L83" s="30" t="s">
        <v>37</v>
      </c>
      <c r="M83" s="43" t="s">
        <v>44</v>
      </c>
      <c r="N83" s="13"/>
      <c r="O83" s="13" t="n">
        <f aca="false">O81+C81+D81</f>
        <v>143080</v>
      </c>
      <c r="P83" s="13"/>
    </row>
    <row r="84" customFormat="false" ht="12.8" hidden="false" customHeight="false" outlineLevel="0" collapsed="false">
      <c r="A84" s="6" t="n">
        <f aca="false">A82+1</f>
        <v>42</v>
      </c>
      <c r="E84" s="6" t="n">
        <f aca="false">E82</f>
        <v>2</v>
      </c>
      <c r="F84" s="6" t="n">
        <v>82</v>
      </c>
      <c r="G84" s="13" t="n">
        <f aca="false">$G$6</f>
        <v>2030</v>
      </c>
      <c r="H84" s="6" t="n">
        <f aca="false">H83+G84</f>
        <v>145775</v>
      </c>
      <c r="J84" s="6" t="s">
        <v>22</v>
      </c>
      <c r="K84" s="14" t="s">
        <v>36</v>
      </c>
      <c r="L84" s="14"/>
      <c r="M84" s="14"/>
      <c r="N84" s="13"/>
      <c r="P84" s="13"/>
    </row>
    <row r="85" customFormat="false" ht="12.8" hidden="false" customHeight="false" outlineLevel="0" collapsed="false">
      <c r="A85" s="6" t="n">
        <f aca="false">A83+1</f>
        <v>43</v>
      </c>
      <c r="B85" s="6" t="n">
        <f aca="false">B83+C83+D83</f>
        <v>146170</v>
      </c>
      <c r="C85" s="6" t="n">
        <f aca="false">$C$5</f>
        <v>3350</v>
      </c>
      <c r="D85" s="14" t="n">
        <v>10</v>
      </c>
      <c r="E85" s="6" t="n">
        <f aca="false">E83</f>
        <v>1</v>
      </c>
      <c r="F85" s="6" t="n">
        <v>83</v>
      </c>
      <c r="G85" s="13" t="n">
        <f aca="false">$G$5</f>
        <v>935</v>
      </c>
      <c r="H85" s="6" t="n">
        <f aca="false">G85+B85</f>
        <v>147105</v>
      </c>
      <c r="I85" s="36" t="n">
        <v>3</v>
      </c>
      <c r="J85" s="29" t="s">
        <v>20</v>
      </c>
      <c r="K85" s="20" t="s">
        <v>35</v>
      </c>
      <c r="L85" s="37" t="s">
        <v>38</v>
      </c>
      <c r="M85" s="41" t="s">
        <v>46</v>
      </c>
      <c r="N85" s="13"/>
      <c r="O85" s="13" t="n">
        <f aca="false">O83+C83+D83</f>
        <v>146440</v>
      </c>
      <c r="P85" s="13"/>
    </row>
    <row r="86" customFormat="false" ht="12.8" hidden="false" customHeight="false" outlineLevel="0" collapsed="false">
      <c r="A86" s="6" t="n">
        <f aca="false">A84+1</f>
        <v>43</v>
      </c>
      <c r="E86" s="6" t="n">
        <f aca="false">E84</f>
        <v>2</v>
      </c>
      <c r="F86" s="6" t="n">
        <v>84</v>
      </c>
      <c r="G86" s="13" t="n">
        <f aca="false">$G$6</f>
        <v>2030</v>
      </c>
      <c r="H86" s="6" t="n">
        <f aca="false">H85+G86</f>
        <v>149135</v>
      </c>
      <c r="J86" s="6" t="s">
        <v>22</v>
      </c>
      <c r="K86" s="14" t="s">
        <v>36</v>
      </c>
      <c r="L86" s="14"/>
      <c r="M86" s="14"/>
      <c r="N86" s="13"/>
      <c r="P86" s="13"/>
    </row>
    <row r="87" customFormat="false" ht="12.8" hidden="false" customHeight="false" outlineLevel="0" collapsed="false">
      <c r="A87" s="6" t="n">
        <f aca="false">A85+1</f>
        <v>44</v>
      </c>
      <c r="B87" s="6" t="n">
        <f aca="false">B85+C85+D85</f>
        <v>149530</v>
      </c>
      <c r="C87" s="6" t="n">
        <f aca="false">$C$5</f>
        <v>3350</v>
      </c>
      <c r="D87" s="14" t="n">
        <v>10</v>
      </c>
      <c r="E87" s="6" t="n">
        <f aca="false">E85</f>
        <v>1</v>
      </c>
      <c r="F87" s="6" t="n">
        <v>85</v>
      </c>
      <c r="G87" s="13" t="n">
        <f aca="false">$G$5</f>
        <v>935</v>
      </c>
      <c r="H87" s="6" t="n">
        <f aca="false">G87+B87</f>
        <v>150465</v>
      </c>
      <c r="I87" s="26" t="n">
        <v>2</v>
      </c>
      <c r="J87" s="42" t="s">
        <v>18</v>
      </c>
      <c r="K87" s="32" t="s">
        <v>34</v>
      </c>
      <c r="L87" s="30" t="s">
        <v>37</v>
      </c>
      <c r="M87" s="43" t="s">
        <v>44</v>
      </c>
      <c r="N87" s="13"/>
      <c r="O87" s="13" t="n">
        <f aca="false">O85+C85+D85</f>
        <v>149800</v>
      </c>
      <c r="P87" s="13"/>
    </row>
    <row r="88" customFormat="false" ht="12.8" hidden="false" customHeight="false" outlineLevel="0" collapsed="false">
      <c r="A88" s="6" t="n">
        <f aca="false">A86+1</f>
        <v>44</v>
      </c>
      <c r="E88" s="6" t="n">
        <f aca="false">E86</f>
        <v>2</v>
      </c>
      <c r="F88" s="6" t="n">
        <v>86</v>
      </c>
      <c r="G88" s="13" t="n">
        <f aca="false">$G$6</f>
        <v>2030</v>
      </c>
      <c r="H88" s="6" t="n">
        <f aca="false">H87+G88</f>
        <v>152495</v>
      </c>
      <c r="J88" s="6" t="s">
        <v>22</v>
      </c>
      <c r="K88" s="14" t="s">
        <v>36</v>
      </c>
      <c r="L88" s="14"/>
      <c r="M88" s="14"/>
      <c r="N88" s="13"/>
      <c r="P88" s="13"/>
    </row>
    <row r="89" customFormat="false" ht="12.8" hidden="false" customHeight="false" outlineLevel="0" collapsed="false">
      <c r="A89" s="6" t="n">
        <f aca="false">A87+1</f>
        <v>45</v>
      </c>
      <c r="B89" s="6" t="n">
        <f aca="false">B87+C87+D87</f>
        <v>152890</v>
      </c>
      <c r="C89" s="6" t="n">
        <f aca="false">$C$5</f>
        <v>3350</v>
      </c>
      <c r="D89" s="14" t="n">
        <v>10</v>
      </c>
      <c r="E89" s="6" t="n">
        <f aca="false">E87</f>
        <v>1</v>
      </c>
      <c r="F89" s="6" t="n">
        <v>87</v>
      </c>
      <c r="G89" s="13" t="n">
        <f aca="false">$G$5</f>
        <v>935</v>
      </c>
      <c r="H89" s="6" t="n">
        <f aca="false">G89+B89</f>
        <v>153825</v>
      </c>
      <c r="I89" s="36" t="n">
        <v>3</v>
      </c>
      <c r="J89" s="29" t="s">
        <v>20</v>
      </c>
      <c r="K89" s="20" t="s">
        <v>35</v>
      </c>
      <c r="L89" s="37" t="s">
        <v>38</v>
      </c>
      <c r="M89" s="41" t="s">
        <v>46</v>
      </c>
      <c r="N89" s="13"/>
      <c r="O89" s="13" t="n">
        <f aca="false">O87+C87+D87</f>
        <v>153160</v>
      </c>
      <c r="P89" s="13"/>
    </row>
    <row r="90" customFormat="false" ht="12.8" hidden="false" customHeight="false" outlineLevel="0" collapsed="false">
      <c r="A90" s="6" t="n">
        <f aca="false">A88+1</f>
        <v>45</v>
      </c>
      <c r="E90" s="6" t="n">
        <f aca="false">E88</f>
        <v>2</v>
      </c>
      <c r="F90" s="6" t="n">
        <v>88</v>
      </c>
      <c r="G90" s="13" t="n">
        <f aca="false">$G$6</f>
        <v>2030</v>
      </c>
      <c r="H90" s="6" t="n">
        <f aca="false">H89+G90</f>
        <v>155855</v>
      </c>
      <c r="J90" s="6" t="s">
        <v>22</v>
      </c>
      <c r="K90" s="14" t="s">
        <v>36</v>
      </c>
      <c r="L90" s="14"/>
      <c r="M90" s="14"/>
      <c r="N90" s="13"/>
      <c r="P90" s="13"/>
    </row>
    <row r="91" customFormat="false" ht="12.8" hidden="false" customHeight="false" outlineLevel="0" collapsed="false">
      <c r="A91" s="6" t="n">
        <f aca="false">A89+1</f>
        <v>46</v>
      </c>
      <c r="B91" s="6" t="n">
        <f aca="false">B89+C89+D89</f>
        <v>156250</v>
      </c>
      <c r="C91" s="6" t="n">
        <f aca="false">$C$5</f>
        <v>3350</v>
      </c>
      <c r="D91" s="14" t="n">
        <v>10</v>
      </c>
      <c r="E91" s="6" t="n">
        <f aca="false">E89</f>
        <v>1</v>
      </c>
      <c r="F91" s="6" t="n">
        <v>89</v>
      </c>
      <c r="G91" s="13" t="n">
        <f aca="false">$G$5</f>
        <v>935</v>
      </c>
      <c r="H91" s="6" t="n">
        <f aca="false">G91+B91</f>
        <v>157185</v>
      </c>
      <c r="I91" s="26" t="n">
        <v>2</v>
      </c>
      <c r="J91" s="42" t="s">
        <v>18</v>
      </c>
      <c r="K91" s="32" t="s">
        <v>34</v>
      </c>
      <c r="L91" s="30" t="s">
        <v>37</v>
      </c>
      <c r="M91" s="43" t="s">
        <v>44</v>
      </c>
      <c r="N91" s="13"/>
      <c r="O91" s="13" t="n">
        <f aca="false">O89+C89+D89</f>
        <v>156520</v>
      </c>
      <c r="P91" s="13"/>
    </row>
    <row r="92" customFormat="false" ht="12.8" hidden="false" customHeight="false" outlineLevel="0" collapsed="false">
      <c r="A92" s="6" t="n">
        <f aca="false">A90+1</f>
        <v>46</v>
      </c>
      <c r="E92" s="6" t="n">
        <f aca="false">E90</f>
        <v>2</v>
      </c>
      <c r="F92" s="6" t="n">
        <v>90</v>
      </c>
      <c r="G92" s="13" t="n">
        <f aca="false">$G$6</f>
        <v>2030</v>
      </c>
      <c r="H92" s="6" t="n">
        <f aca="false">H91+G92</f>
        <v>159215</v>
      </c>
      <c r="J92" s="6" t="s">
        <v>22</v>
      </c>
      <c r="K92" s="14" t="s">
        <v>36</v>
      </c>
      <c r="L92" s="14"/>
      <c r="M92" s="14"/>
      <c r="N92" s="13"/>
      <c r="P92" s="13"/>
    </row>
    <row r="93" customFormat="false" ht="12.8" hidden="false" customHeight="false" outlineLevel="0" collapsed="false">
      <c r="A93" s="6" t="n">
        <f aca="false">A91+1</f>
        <v>47</v>
      </c>
      <c r="B93" s="6" t="n">
        <f aca="false">B91+C91+D91</f>
        <v>159610</v>
      </c>
      <c r="C93" s="6" t="n">
        <f aca="false">$C$5</f>
        <v>3350</v>
      </c>
      <c r="D93" s="14" t="n">
        <v>10</v>
      </c>
      <c r="E93" s="6" t="n">
        <f aca="false">E91</f>
        <v>1</v>
      </c>
      <c r="F93" s="6" t="n">
        <v>91</v>
      </c>
      <c r="G93" s="13" t="n">
        <f aca="false">$G$5</f>
        <v>935</v>
      </c>
      <c r="H93" s="6" t="n">
        <f aca="false">G93+B93</f>
        <v>160545</v>
      </c>
      <c r="I93" s="36" t="n">
        <v>3</v>
      </c>
      <c r="J93" s="29" t="s">
        <v>20</v>
      </c>
      <c r="K93" s="20" t="s">
        <v>35</v>
      </c>
      <c r="L93" s="37" t="s">
        <v>38</v>
      </c>
      <c r="M93" s="41" t="s">
        <v>46</v>
      </c>
      <c r="N93" s="13"/>
      <c r="O93" s="13" t="n">
        <f aca="false">O91+C91+D91</f>
        <v>159880</v>
      </c>
      <c r="P93" s="13"/>
    </row>
    <row r="94" customFormat="false" ht="12.8" hidden="false" customHeight="false" outlineLevel="0" collapsed="false">
      <c r="A94" s="6" t="n">
        <f aca="false">A92+1</f>
        <v>47</v>
      </c>
      <c r="E94" s="6" t="n">
        <f aca="false">E92</f>
        <v>2</v>
      </c>
      <c r="F94" s="6" t="n">
        <v>92</v>
      </c>
      <c r="G94" s="13" t="n">
        <f aca="false">$G$6</f>
        <v>2030</v>
      </c>
      <c r="H94" s="6" t="n">
        <f aca="false">H93+G94</f>
        <v>162575</v>
      </c>
      <c r="J94" s="6" t="s">
        <v>22</v>
      </c>
      <c r="K94" s="14" t="s">
        <v>36</v>
      </c>
      <c r="L94" s="14"/>
      <c r="M94" s="14"/>
      <c r="N94" s="13"/>
      <c r="P94" s="13"/>
    </row>
    <row r="95" customFormat="false" ht="12.8" hidden="false" customHeight="false" outlineLevel="0" collapsed="false">
      <c r="A95" s="6" t="n">
        <f aca="false">A93+1</f>
        <v>48</v>
      </c>
      <c r="B95" s="6" t="n">
        <f aca="false">B93+C93+D93</f>
        <v>162970</v>
      </c>
      <c r="C95" s="6" t="n">
        <f aca="false">$C$5</f>
        <v>3350</v>
      </c>
      <c r="D95" s="14" t="n">
        <v>10</v>
      </c>
      <c r="E95" s="6" t="n">
        <f aca="false">E93</f>
        <v>1</v>
      </c>
      <c r="F95" s="6" t="n">
        <v>93</v>
      </c>
      <c r="G95" s="13" t="n">
        <f aca="false">$G$5</f>
        <v>935</v>
      </c>
      <c r="H95" s="6" t="n">
        <f aca="false">G95+B95</f>
        <v>163905</v>
      </c>
      <c r="I95" s="26" t="n">
        <v>2</v>
      </c>
      <c r="J95" s="42" t="s">
        <v>18</v>
      </c>
      <c r="K95" s="32" t="s">
        <v>34</v>
      </c>
      <c r="L95" s="30" t="s">
        <v>37</v>
      </c>
      <c r="M95" s="43" t="s">
        <v>44</v>
      </c>
      <c r="N95" s="13"/>
      <c r="O95" s="13" t="n">
        <f aca="false">O93+C93+D93</f>
        <v>163240</v>
      </c>
      <c r="P95" s="13"/>
    </row>
    <row r="96" customFormat="false" ht="12.8" hidden="false" customHeight="false" outlineLevel="0" collapsed="false">
      <c r="A96" s="6" t="n">
        <f aca="false">A94+1</f>
        <v>48</v>
      </c>
      <c r="E96" s="6" t="n">
        <f aca="false">E94</f>
        <v>2</v>
      </c>
      <c r="F96" s="6" t="n">
        <v>94</v>
      </c>
      <c r="G96" s="13" t="n">
        <f aca="false">$G$6</f>
        <v>2030</v>
      </c>
      <c r="H96" s="6" t="n">
        <f aca="false">H95+G96</f>
        <v>165935</v>
      </c>
      <c r="J96" s="6" t="s">
        <v>22</v>
      </c>
      <c r="K96" s="14" t="s">
        <v>36</v>
      </c>
      <c r="L96" s="14"/>
      <c r="M96" s="14"/>
      <c r="N96" s="13"/>
      <c r="P96" s="13"/>
    </row>
    <row r="97" customFormat="false" ht="12.8" hidden="false" customHeight="false" outlineLevel="0" collapsed="false">
      <c r="A97" s="6" t="n">
        <f aca="false">A95+1</f>
        <v>49</v>
      </c>
      <c r="B97" s="6" t="n">
        <f aca="false">B95+C95+D95</f>
        <v>166330</v>
      </c>
      <c r="C97" s="6" t="n">
        <f aca="false">$C$5</f>
        <v>3350</v>
      </c>
      <c r="D97" s="14" t="n">
        <v>10</v>
      </c>
      <c r="E97" s="6" t="n">
        <f aca="false">E95</f>
        <v>1</v>
      </c>
      <c r="F97" s="6" t="n">
        <v>95</v>
      </c>
      <c r="G97" s="13" t="n">
        <f aca="false">$G$5</f>
        <v>935</v>
      </c>
      <c r="H97" s="6" t="n">
        <f aca="false">G97+B97</f>
        <v>167265</v>
      </c>
      <c r="I97" s="36" t="n">
        <v>3</v>
      </c>
      <c r="J97" s="29" t="s">
        <v>20</v>
      </c>
      <c r="K97" s="20" t="s">
        <v>35</v>
      </c>
      <c r="L97" s="37" t="s">
        <v>38</v>
      </c>
      <c r="M97" s="41" t="s">
        <v>46</v>
      </c>
      <c r="N97" s="13"/>
      <c r="O97" s="13" t="n">
        <f aca="false">O95+C95+D95</f>
        <v>166600</v>
      </c>
      <c r="P97" s="13"/>
    </row>
    <row r="98" customFormat="false" ht="12.8" hidden="false" customHeight="false" outlineLevel="0" collapsed="false">
      <c r="A98" s="6" t="n">
        <f aca="false">A96+1</f>
        <v>49</v>
      </c>
      <c r="E98" s="6" t="n">
        <f aca="false">E96</f>
        <v>2</v>
      </c>
      <c r="F98" s="6" t="n">
        <v>96</v>
      </c>
      <c r="G98" s="13" t="n">
        <f aca="false">$G$6</f>
        <v>2030</v>
      </c>
      <c r="H98" s="6" t="n">
        <f aca="false">H97+G98</f>
        <v>169295</v>
      </c>
      <c r="J98" s="6" t="s">
        <v>22</v>
      </c>
      <c r="K98" s="14" t="s">
        <v>36</v>
      </c>
      <c r="L98" s="14"/>
      <c r="M98" s="14"/>
      <c r="N98" s="13"/>
      <c r="P98" s="13"/>
    </row>
    <row r="99" customFormat="false" ht="12.8" hidden="false" customHeight="false" outlineLevel="0" collapsed="false">
      <c r="A99" s="6" t="n">
        <f aca="false">A97+1</f>
        <v>50</v>
      </c>
      <c r="B99" s="6" t="n">
        <f aca="false">B97+C97+D97</f>
        <v>169690</v>
      </c>
      <c r="C99" s="6" t="n">
        <f aca="false">$C$5</f>
        <v>3350</v>
      </c>
      <c r="D99" s="14" t="n">
        <v>10</v>
      </c>
      <c r="E99" s="6" t="n">
        <f aca="false">E97</f>
        <v>1</v>
      </c>
      <c r="F99" s="6" t="n">
        <v>97</v>
      </c>
      <c r="G99" s="13" t="n">
        <f aca="false">$G$5</f>
        <v>935</v>
      </c>
      <c r="H99" s="6" t="n">
        <f aca="false">G99+B99</f>
        <v>170625</v>
      </c>
      <c r="I99" s="26" t="n">
        <v>2</v>
      </c>
      <c r="J99" s="42" t="s">
        <v>18</v>
      </c>
      <c r="K99" s="32" t="s">
        <v>34</v>
      </c>
      <c r="L99" s="30" t="s">
        <v>37</v>
      </c>
      <c r="M99" s="43" t="s">
        <v>44</v>
      </c>
      <c r="N99" s="13"/>
      <c r="O99" s="13" t="n">
        <f aca="false">O97+C97+D97</f>
        <v>169960</v>
      </c>
      <c r="P99" s="13"/>
    </row>
    <row r="100" customFormat="false" ht="12.8" hidden="false" customHeight="false" outlineLevel="0" collapsed="false">
      <c r="A100" s="6" t="n">
        <f aca="false">A98+1</f>
        <v>50</v>
      </c>
      <c r="E100" s="6" t="n">
        <f aca="false">E98</f>
        <v>2</v>
      </c>
      <c r="F100" s="6" t="n">
        <v>98</v>
      </c>
      <c r="G100" s="13" t="n">
        <f aca="false">$G$6</f>
        <v>2030</v>
      </c>
      <c r="H100" s="6" t="n">
        <f aca="false">H99+G100</f>
        <v>172655</v>
      </c>
      <c r="J100" s="6" t="s">
        <v>22</v>
      </c>
      <c r="K100" s="14" t="s">
        <v>36</v>
      </c>
      <c r="L100" s="14"/>
      <c r="M100" s="14"/>
      <c r="N100" s="13"/>
      <c r="P100" s="13"/>
    </row>
    <row r="101" customFormat="false" ht="12.8" hidden="false" customHeight="false" outlineLevel="0" collapsed="false">
      <c r="A101" s="6" t="n">
        <f aca="false">A99+1</f>
        <v>51</v>
      </c>
      <c r="B101" s="6" t="n">
        <f aca="false">B99+C99+D99</f>
        <v>173050</v>
      </c>
      <c r="C101" s="6" t="n">
        <f aca="false">$C$5</f>
        <v>3350</v>
      </c>
      <c r="D101" s="14" t="n">
        <v>10</v>
      </c>
      <c r="E101" s="6" t="n">
        <f aca="false">E99</f>
        <v>1</v>
      </c>
      <c r="F101" s="6" t="n">
        <v>99</v>
      </c>
      <c r="G101" s="13" t="n">
        <f aca="false">$G$5</f>
        <v>935</v>
      </c>
      <c r="H101" s="6" t="n">
        <f aca="false">G101+B101</f>
        <v>173985</v>
      </c>
      <c r="I101" s="36" t="n">
        <v>3</v>
      </c>
      <c r="J101" s="29" t="s">
        <v>20</v>
      </c>
      <c r="K101" s="20" t="s">
        <v>35</v>
      </c>
      <c r="L101" s="37" t="s">
        <v>38</v>
      </c>
      <c r="M101" s="41" t="s">
        <v>46</v>
      </c>
      <c r="N101" s="13"/>
      <c r="O101" s="13" t="n">
        <f aca="false">O99+C99+D99</f>
        <v>173320</v>
      </c>
      <c r="P101" s="13"/>
    </row>
    <row r="102" customFormat="false" ht="12.8" hidden="false" customHeight="false" outlineLevel="0" collapsed="false">
      <c r="A102" s="6" t="n">
        <f aca="false">A100+1</f>
        <v>51</v>
      </c>
      <c r="E102" s="6" t="n">
        <f aca="false">E100</f>
        <v>2</v>
      </c>
      <c r="F102" s="6" t="n">
        <v>100</v>
      </c>
      <c r="G102" s="13" t="n">
        <f aca="false">$G$6</f>
        <v>2030</v>
      </c>
      <c r="H102" s="6" t="n">
        <f aca="false">H101+G102</f>
        <v>176015</v>
      </c>
      <c r="J102" s="6" t="s">
        <v>22</v>
      </c>
      <c r="K102" s="14" t="s">
        <v>36</v>
      </c>
      <c r="L102" s="14"/>
      <c r="M102" s="14"/>
      <c r="N102" s="13"/>
      <c r="P102" s="13"/>
    </row>
    <row r="103" customFormat="false" ht="12.8" hidden="false" customHeight="false" outlineLevel="0" collapsed="false">
      <c r="A103" s="6" t="n">
        <f aca="false">A101+1</f>
        <v>52</v>
      </c>
      <c r="B103" s="6" t="n">
        <f aca="false">B101+C101+D101</f>
        <v>176410</v>
      </c>
      <c r="C103" s="6" t="n">
        <f aca="false">$C$5</f>
        <v>3350</v>
      </c>
      <c r="D103" s="14" t="n">
        <v>10</v>
      </c>
      <c r="E103" s="6" t="n">
        <f aca="false">E101</f>
        <v>1</v>
      </c>
      <c r="F103" s="6" t="n">
        <v>101</v>
      </c>
      <c r="G103" s="13" t="n">
        <f aca="false">$G$5</f>
        <v>935</v>
      </c>
      <c r="H103" s="6" t="n">
        <f aca="false">G103+B103</f>
        <v>177345</v>
      </c>
      <c r="I103" s="26" t="n">
        <v>2</v>
      </c>
      <c r="J103" s="42" t="s">
        <v>18</v>
      </c>
      <c r="K103" s="32" t="s">
        <v>34</v>
      </c>
      <c r="L103" s="30" t="s">
        <v>37</v>
      </c>
      <c r="M103" s="43" t="s">
        <v>44</v>
      </c>
      <c r="N103" s="13"/>
      <c r="O103" s="13" t="n">
        <f aca="false">O101+C101+D101</f>
        <v>176680</v>
      </c>
      <c r="P103" s="13"/>
    </row>
    <row r="104" customFormat="false" ht="12.8" hidden="false" customHeight="false" outlineLevel="0" collapsed="false">
      <c r="A104" s="6" t="n">
        <f aca="false">A102+1</f>
        <v>52</v>
      </c>
      <c r="E104" s="6" t="n">
        <f aca="false">E102</f>
        <v>2</v>
      </c>
      <c r="F104" s="6" t="n">
        <v>102</v>
      </c>
      <c r="G104" s="13" t="n">
        <f aca="false">$G$6</f>
        <v>2030</v>
      </c>
      <c r="H104" s="6" t="n">
        <f aca="false">H103+G104</f>
        <v>179375</v>
      </c>
      <c r="J104" s="6" t="s">
        <v>22</v>
      </c>
      <c r="K104" s="14" t="s">
        <v>36</v>
      </c>
      <c r="L104" s="14"/>
      <c r="M104" s="14"/>
      <c r="N104" s="13"/>
      <c r="P104" s="13"/>
    </row>
    <row r="105" customFormat="false" ht="12.8" hidden="false" customHeight="false" outlineLevel="0" collapsed="false">
      <c r="A105" s="6" t="n">
        <f aca="false">A103+1</f>
        <v>53</v>
      </c>
      <c r="B105" s="6" t="n">
        <f aca="false">B103+C103+D103</f>
        <v>179770</v>
      </c>
      <c r="C105" s="6" t="n">
        <f aca="false">$C$5</f>
        <v>3350</v>
      </c>
      <c r="D105" s="14" t="n">
        <v>10</v>
      </c>
      <c r="E105" s="6" t="n">
        <f aca="false">E103</f>
        <v>1</v>
      </c>
      <c r="F105" s="6" t="n">
        <v>103</v>
      </c>
      <c r="G105" s="13" t="n">
        <f aca="false">$G$5</f>
        <v>935</v>
      </c>
      <c r="H105" s="6" t="n">
        <f aca="false">G105+B105</f>
        <v>180705</v>
      </c>
      <c r="I105" s="36" t="n">
        <v>3</v>
      </c>
      <c r="J105" s="29" t="s">
        <v>20</v>
      </c>
      <c r="K105" s="20" t="s">
        <v>35</v>
      </c>
      <c r="L105" s="37" t="s">
        <v>38</v>
      </c>
      <c r="M105" s="41" t="s">
        <v>46</v>
      </c>
      <c r="N105" s="13"/>
      <c r="O105" s="13" t="n">
        <f aca="false">O103+C103+D103</f>
        <v>180040</v>
      </c>
      <c r="P105" s="13"/>
    </row>
    <row r="106" customFormat="false" ht="12.8" hidden="false" customHeight="false" outlineLevel="0" collapsed="false">
      <c r="A106" s="6" t="n">
        <f aca="false">A104+1</f>
        <v>53</v>
      </c>
      <c r="E106" s="6" t="n">
        <f aca="false">E104</f>
        <v>2</v>
      </c>
      <c r="F106" s="6" t="n">
        <v>104</v>
      </c>
      <c r="G106" s="13" t="n">
        <f aca="false">$G$6</f>
        <v>2030</v>
      </c>
      <c r="H106" s="6" t="n">
        <f aca="false">H105+G106</f>
        <v>182735</v>
      </c>
      <c r="J106" s="6" t="s">
        <v>22</v>
      </c>
      <c r="K106" s="14" t="s">
        <v>36</v>
      </c>
      <c r="L106" s="14"/>
      <c r="M106" s="14"/>
      <c r="N106" s="13"/>
      <c r="P106" s="13"/>
    </row>
    <row r="107" customFormat="false" ht="12.8" hidden="false" customHeight="false" outlineLevel="0" collapsed="false">
      <c r="A107" s="6" t="n">
        <f aca="false">A105+1</f>
        <v>54</v>
      </c>
      <c r="B107" s="6" t="n">
        <f aca="false">B105+C105+D105</f>
        <v>183130</v>
      </c>
      <c r="C107" s="6" t="n">
        <f aca="false">$C$5</f>
        <v>3350</v>
      </c>
      <c r="D107" s="14" t="n">
        <v>10</v>
      </c>
      <c r="E107" s="6" t="n">
        <f aca="false">E105</f>
        <v>1</v>
      </c>
      <c r="F107" s="6" t="n">
        <v>105</v>
      </c>
      <c r="G107" s="13" t="n">
        <f aca="false">$G$5</f>
        <v>935</v>
      </c>
      <c r="H107" s="6" t="n">
        <f aca="false">G107+B107</f>
        <v>184065</v>
      </c>
      <c r="I107" s="26" t="n">
        <v>2</v>
      </c>
      <c r="J107" s="42" t="s">
        <v>18</v>
      </c>
      <c r="K107" s="32" t="s">
        <v>34</v>
      </c>
      <c r="L107" s="30" t="s">
        <v>37</v>
      </c>
      <c r="M107" s="43" t="s">
        <v>44</v>
      </c>
      <c r="N107" s="13"/>
      <c r="O107" s="13" t="n">
        <f aca="false">O105+C105+D105</f>
        <v>183400</v>
      </c>
      <c r="P107" s="13"/>
    </row>
    <row r="108" customFormat="false" ht="12.8" hidden="false" customHeight="false" outlineLevel="0" collapsed="false">
      <c r="A108" s="6" t="n">
        <f aca="false">A106+1</f>
        <v>54</v>
      </c>
      <c r="E108" s="6" t="n">
        <f aca="false">E106</f>
        <v>2</v>
      </c>
      <c r="F108" s="6" t="n">
        <v>106</v>
      </c>
      <c r="G108" s="13" t="n">
        <f aca="false">$G$6</f>
        <v>2030</v>
      </c>
      <c r="H108" s="6" t="n">
        <f aca="false">H107+G108</f>
        <v>186095</v>
      </c>
      <c r="J108" s="6" t="s">
        <v>22</v>
      </c>
      <c r="K108" s="14" t="s">
        <v>36</v>
      </c>
      <c r="L108" s="14"/>
      <c r="M108" s="14"/>
      <c r="N108" s="13"/>
      <c r="P108" s="13"/>
    </row>
    <row r="109" customFormat="false" ht="12.8" hidden="false" customHeight="false" outlineLevel="0" collapsed="false">
      <c r="A109" s="6" t="n">
        <f aca="false">A107+1</f>
        <v>55</v>
      </c>
      <c r="B109" s="6" t="n">
        <f aca="false">B107+C107+D107</f>
        <v>186490</v>
      </c>
      <c r="C109" s="6" t="n">
        <f aca="false">$C$5</f>
        <v>3350</v>
      </c>
      <c r="D109" s="14" t="n">
        <v>10</v>
      </c>
      <c r="E109" s="6" t="n">
        <f aca="false">E107</f>
        <v>1</v>
      </c>
      <c r="F109" s="6" t="n">
        <v>107</v>
      </c>
      <c r="G109" s="13" t="n">
        <f aca="false">$G$5</f>
        <v>935</v>
      </c>
      <c r="H109" s="6" t="n">
        <f aca="false">G109+B109</f>
        <v>187425</v>
      </c>
      <c r="I109" s="36" t="n">
        <v>3</v>
      </c>
      <c r="J109" s="29" t="s">
        <v>20</v>
      </c>
      <c r="K109" s="20" t="s">
        <v>35</v>
      </c>
      <c r="L109" s="37" t="s">
        <v>38</v>
      </c>
      <c r="M109" s="41" t="s">
        <v>46</v>
      </c>
      <c r="N109" s="13"/>
      <c r="O109" s="13" t="n">
        <f aca="false">O107+C107+D107</f>
        <v>186760</v>
      </c>
      <c r="P109" s="13"/>
    </row>
    <row r="110" customFormat="false" ht="12.8" hidden="false" customHeight="false" outlineLevel="0" collapsed="false">
      <c r="A110" s="6" t="n">
        <f aca="false">A108+1</f>
        <v>55</v>
      </c>
      <c r="E110" s="6" t="n">
        <f aca="false">E108</f>
        <v>2</v>
      </c>
      <c r="F110" s="6" t="n">
        <v>108</v>
      </c>
      <c r="G110" s="13" t="n">
        <f aca="false">$G$6</f>
        <v>2030</v>
      </c>
      <c r="H110" s="6" t="n">
        <f aca="false">H109+G110</f>
        <v>189455</v>
      </c>
      <c r="J110" s="6" t="s">
        <v>22</v>
      </c>
      <c r="K110" s="14" t="s">
        <v>36</v>
      </c>
      <c r="L110" s="14"/>
      <c r="M110" s="14"/>
      <c r="N110" s="13"/>
      <c r="P110" s="13"/>
    </row>
    <row r="111" customFormat="false" ht="12.8" hidden="false" customHeight="false" outlineLevel="0" collapsed="false">
      <c r="A111" s="6" t="n">
        <f aca="false">A109+1</f>
        <v>56</v>
      </c>
      <c r="B111" s="6" t="n">
        <f aca="false">B109+C109+D109</f>
        <v>189850</v>
      </c>
      <c r="C111" s="6" t="n">
        <f aca="false">$C$5</f>
        <v>3350</v>
      </c>
      <c r="D111" s="14" t="n">
        <v>10</v>
      </c>
      <c r="E111" s="6" t="n">
        <f aca="false">E109</f>
        <v>1</v>
      </c>
      <c r="F111" s="6" t="n">
        <v>109</v>
      </c>
      <c r="G111" s="13" t="n">
        <f aca="false">$G$5</f>
        <v>935</v>
      </c>
      <c r="H111" s="6" t="n">
        <f aca="false">G111+B111</f>
        <v>190785</v>
      </c>
      <c r="I111" s="26" t="n">
        <v>2</v>
      </c>
      <c r="J111" s="42" t="s">
        <v>18</v>
      </c>
      <c r="K111" s="32" t="s">
        <v>34</v>
      </c>
      <c r="L111" s="30" t="s">
        <v>37</v>
      </c>
      <c r="M111" s="43" t="s">
        <v>44</v>
      </c>
      <c r="N111" s="13"/>
      <c r="O111" s="13" t="n">
        <f aca="false">O109+C109+D109</f>
        <v>190120</v>
      </c>
      <c r="P111" s="13"/>
    </row>
    <row r="112" customFormat="false" ht="12.8" hidden="false" customHeight="false" outlineLevel="0" collapsed="false">
      <c r="A112" s="6" t="n">
        <f aca="false">A110+1</f>
        <v>56</v>
      </c>
      <c r="E112" s="6" t="n">
        <f aca="false">E110</f>
        <v>2</v>
      </c>
      <c r="F112" s="6" t="n">
        <v>110</v>
      </c>
      <c r="G112" s="13" t="n">
        <f aca="false">$G$6</f>
        <v>2030</v>
      </c>
      <c r="H112" s="6" t="n">
        <f aca="false">H111+G112</f>
        <v>192815</v>
      </c>
      <c r="J112" s="6" t="s">
        <v>22</v>
      </c>
      <c r="K112" s="14" t="s">
        <v>36</v>
      </c>
      <c r="L112" s="14"/>
      <c r="M112" s="14"/>
      <c r="N112" s="13"/>
      <c r="P112" s="13"/>
    </row>
    <row r="113" customFormat="false" ht="12.8" hidden="false" customHeight="false" outlineLevel="0" collapsed="false">
      <c r="A113" s="6" t="n">
        <f aca="false">A111+1</f>
        <v>57</v>
      </c>
      <c r="B113" s="6" t="n">
        <f aca="false">B111+C111+D111</f>
        <v>193210</v>
      </c>
      <c r="C113" s="40" t="n">
        <v>3930</v>
      </c>
      <c r="D113" s="14" t="n">
        <v>10</v>
      </c>
      <c r="E113" s="6" t="n">
        <f aca="false">E111</f>
        <v>1</v>
      </c>
      <c r="F113" s="6" t="n">
        <v>111</v>
      </c>
      <c r="G113" s="13" t="n">
        <f aca="false">$G$5</f>
        <v>935</v>
      </c>
      <c r="H113" s="6" t="n">
        <f aca="false">G113+B113</f>
        <v>194145</v>
      </c>
      <c r="I113" s="36" t="n">
        <v>3</v>
      </c>
      <c r="J113" s="44" t="s">
        <v>21</v>
      </c>
      <c r="K113" s="20" t="s">
        <v>35</v>
      </c>
      <c r="L113" s="37" t="s">
        <v>38</v>
      </c>
      <c r="M113" s="25" t="s">
        <v>47</v>
      </c>
      <c r="N113" s="13"/>
      <c r="O113" s="13" t="n">
        <f aca="false">O111+C111+D111</f>
        <v>193480</v>
      </c>
      <c r="P113" s="13"/>
    </row>
    <row r="114" customFormat="false" ht="12.8" hidden="false" customHeight="false" outlineLevel="0" collapsed="false">
      <c r="A114" s="6" t="n">
        <f aca="false">A112+1</f>
        <v>57</v>
      </c>
      <c r="E114" s="6" t="n">
        <f aca="false">E112</f>
        <v>2</v>
      </c>
      <c r="F114" s="6" t="n">
        <v>112</v>
      </c>
      <c r="G114" s="40" t="n">
        <v>2610</v>
      </c>
      <c r="H114" s="6" t="n">
        <f aca="false">H113+G114</f>
        <v>196755</v>
      </c>
      <c r="J114" s="6" t="s">
        <v>22</v>
      </c>
      <c r="K114" s="14" t="s">
        <v>36</v>
      </c>
      <c r="L114" s="14"/>
      <c r="M114" s="3"/>
      <c r="N114" s="13"/>
      <c r="P114" s="13"/>
    </row>
    <row r="115" customFormat="false" ht="12.8" hidden="false" customHeight="true" outlineLevel="0" collapsed="false">
      <c r="J115" s="6"/>
      <c r="K115" s="14"/>
      <c r="L115" s="14"/>
      <c r="M115" s="14"/>
    </row>
  </sheetData>
  <sheetProtection sheet="true" objects="true" scenarios="true" autoFilter="false"/>
  <autoFilter ref="A1:Q114"/>
  <dataValidations count="5">
    <dataValidation allowBlank="true" errorStyle="stop" operator="equal" showDropDown="false" showErrorMessage="true" showInputMessage="false" sqref="J115:M115" type="list">
      <formula1>#ref!</formula1>
      <formula2>0</formula2>
    </dataValidation>
    <dataValidation allowBlank="true" errorStyle="stop" operator="equal" showDropDown="false" showErrorMessage="true" showInputMessage="false" sqref="K2:K114" type="list">
      <formula1>Data!$F$2:$F$25</formula1>
      <formula2>0</formula2>
    </dataValidation>
    <dataValidation allowBlank="true" errorStyle="stop" operator="equal" showDropDown="false" showErrorMessage="true" showInputMessage="false" sqref="L2:L114" type="list">
      <formula1>Data!$H$2:$H$25</formula1>
      <formula2>0</formula2>
    </dataValidation>
    <dataValidation allowBlank="true" errorStyle="stop" operator="equal" showDropDown="false" showErrorMessage="true" showInputMessage="false" sqref="J2:J114" type="list">
      <formula1>Data!$D$2:$D$25</formula1>
      <formula2>0</formula2>
    </dataValidation>
    <dataValidation allowBlank="true" errorStyle="stop" operator="equal" showDropDown="false" showErrorMessage="true" showInputMessage="false" sqref="M2:M114" type="list">
      <formula1>Data!$T$2:$T$26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3" width="15.99"/>
    <col collapsed="false" customWidth="true" hidden="false" outlineLevel="0" max="3" min="3" style="13" width="15.3"/>
    <col collapsed="false" customWidth="true" hidden="false" outlineLevel="0" max="4" min="4" style="13" width="18.22"/>
  </cols>
  <sheetData>
    <row r="1" customFormat="false" ht="12.8" hidden="false" customHeight="false" outlineLevel="0" collapsed="false">
      <c r="A1" s="2" t="s">
        <v>16</v>
      </c>
      <c r="B1" s="2" t="s">
        <v>76</v>
      </c>
      <c r="C1" s="2" t="s">
        <v>77</v>
      </c>
      <c r="D1" s="2" t="s">
        <v>78</v>
      </c>
    </row>
    <row r="2" customFormat="false" ht="12.8" hidden="false" customHeight="false" outlineLevel="0" collapsed="false">
      <c r="A2" s="13" t="n">
        <v>1</v>
      </c>
      <c r="B2" s="13" t="n">
        <v>1</v>
      </c>
      <c r="C2" s="13" t="n">
        <v>35</v>
      </c>
      <c r="D2" s="13" t="n">
        <v>1</v>
      </c>
    </row>
    <row r="3" customFormat="false" ht="12.8" hidden="false" customHeight="false" outlineLevel="0" collapsed="false">
      <c r="A3" s="13" t="n">
        <v>2</v>
      </c>
      <c r="B3" s="13" t="n">
        <v>1</v>
      </c>
      <c r="C3" s="13" t="n">
        <v>35</v>
      </c>
      <c r="D3" s="13" t="n">
        <v>1</v>
      </c>
    </row>
    <row r="4" customFormat="false" ht="12.8" hidden="false" customHeight="false" outlineLevel="0" collapsed="false">
      <c r="A4" s="13" t="n">
        <v>3</v>
      </c>
      <c r="B4" s="13" t="n">
        <v>1</v>
      </c>
      <c r="C4" s="13" t="n">
        <v>35</v>
      </c>
      <c r="D4" s="13" t="n">
        <v>1</v>
      </c>
    </row>
    <row r="5" customFormat="false" ht="12.8" hidden="false" customHeight="false" outlineLevel="0" collapsed="false">
      <c r="A5" s="13" t="n">
        <v>4</v>
      </c>
      <c r="B5" s="13" t="n">
        <v>1</v>
      </c>
      <c r="C5" s="13" t="n">
        <v>35</v>
      </c>
      <c r="D5" s="13" t="n">
        <v>1</v>
      </c>
    </row>
    <row r="6" customFormat="false" ht="12.8" hidden="false" customHeight="false" outlineLevel="0" collapsed="false">
      <c r="A6" s="13" t="n">
        <v>5</v>
      </c>
      <c r="B6" s="13" t="n">
        <v>1</v>
      </c>
      <c r="C6" s="13" t="n">
        <v>35</v>
      </c>
      <c r="D6" s="13" t="n">
        <v>1</v>
      </c>
    </row>
    <row r="7" customFormat="false" ht="12.8" hidden="false" customHeight="false" outlineLevel="0" collapsed="false">
      <c r="A7" s="13" t="n">
        <v>6</v>
      </c>
      <c r="B7" s="13" t="n">
        <v>1</v>
      </c>
      <c r="C7" s="13" t="n">
        <v>35</v>
      </c>
      <c r="D7" s="13" t="n">
        <v>1</v>
      </c>
    </row>
    <row r="8" customFormat="false" ht="12.8" hidden="false" customHeight="false" outlineLevel="0" collapsed="false">
      <c r="A8" s="13" t="n">
        <v>7</v>
      </c>
      <c r="B8" s="13" t="n">
        <v>1</v>
      </c>
      <c r="C8" s="13" t="n">
        <v>35</v>
      </c>
      <c r="D8" s="13" t="n">
        <v>1</v>
      </c>
    </row>
    <row r="9" customFormat="false" ht="12.8" hidden="false" customHeight="false" outlineLevel="0" collapsed="false">
      <c r="A9" s="13" t="n">
        <v>8</v>
      </c>
      <c r="B9" s="13" t="n">
        <v>1</v>
      </c>
      <c r="C9" s="13" t="n">
        <v>35</v>
      </c>
      <c r="D9" s="13" t="n">
        <v>1</v>
      </c>
    </row>
    <row r="10" customFormat="false" ht="12.8" hidden="false" customHeight="false" outlineLevel="0" collapsed="false">
      <c r="A10" s="13" t="n">
        <v>9</v>
      </c>
      <c r="B10" s="13" t="n">
        <v>1</v>
      </c>
      <c r="C10" s="13" t="n">
        <v>35</v>
      </c>
      <c r="D10" s="13" t="n">
        <v>1</v>
      </c>
    </row>
    <row r="11" customFormat="false" ht="12.8" hidden="false" customHeight="false" outlineLevel="0" collapsed="false">
      <c r="A11" s="13" t="n">
        <v>10</v>
      </c>
      <c r="B11" s="13" t="n">
        <v>1</v>
      </c>
      <c r="C11" s="13" t="n">
        <v>35</v>
      </c>
      <c r="D11" s="13" t="n">
        <v>1</v>
      </c>
    </row>
    <row r="12" customFormat="false" ht="12.8" hidden="false" customHeight="false" outlineLevel="0" collapsed="false">
      <c r="A12" s="13" t="n">
        <v>11</v>
      </c>
      <c r="B12" s="13" t="n">
        <v>1</v>
      </c>
      <c r="C12" s="13" t="n">
        <v>35</v>
      </c>
      <c r="D12" s="13" t="n">
        <v>1</v>
      </c>
    </row>
    <row r="13" customFormat="false" ht="12.8" hidden="false" customHeight="false" outlineLevel="0" collapsed="false">
      <c r="A13" s="13" t="n">
        <v>12</v>
      </c>
      <c r="B13" s="13" t="n">
        <v>1</v>
      </c>
      <c r="C13" s="13" t="n">
        <v>35</v>
      </c>
      <c r="D13" s="13" t="n">
        <v>1</v>
      </c>
    </row>
    <row r="14" customFormat="false" ht="12.8" hidden="false" customHeight="false" outlineLevel="0" collapsed="false">
      <c r="A14" s="13" t="n">
        <v>13</v>
      </c>
      <c r="B14" s="13" t="n">
        <v>1</v>
      </c>
      <c r="C14" s="13" t="n">
        <v>35</v>
      </c>
      <c r="D14" s="13" t="n">
        <v>1</v>
      </c>
    </row>
    <row r="15" customFormat="false" ht="12.8" hidden="false" customHeight="false" outlineLevel="0" collapsed="false">
      <c r="A15" s="13" t="n">
        <v>14</v>
      </c>
      <c r="B15" s="13" t="n">
        <v>1</v>
      </c>
      <c r="C15" s="13" t="n">
        <v>35</v>
      </c>
      <c r="D15" s="13" t="n">
        <v>1</v>
      </c>
    </row>
    <row r="16" customFormat="false" ht="12.8" hidden="false" customHeight="false" outlineLevel="0" collapsed="false">
      <c r="A16" s="13" t="n">
        <v>15</v>
      </c>
      <c r="B16" s="13" t="n">
        <v>1</v>
      </c>
      <c r="C16" s="13" t="n">
        <v>35</v>
      </c>
      <c r="D16" s="13" t="n">
        <v>1</v>
      </c>
    </row>
    <row r="17" customFormat="false" ht="12.8" hidden="false" customHeight="false" outlineLevel="0" collapsed="false">
      <c r="A17" s="13" t="n">
        <v>16</v>
      </c>
      <c r="B17" s="13" t="n">
        <v>1</v>
      </c>
      <c r="C17" s="13" t="n">
        <v>35</v>
      </c>
      <c r="D17" s="13" t="n">
        <v>1</v>
      </c>
    </row>
    <row r="18" customFormat="false" ht="12.8" hidden="false" customHeight="false" outlineLevel="0" collapsed="false">
      <c r="A18" s="13" t="n">
        <v>17</v>
      </c>
      <c r="B18" s="13" t="n">
        <v>1</v>
      </c>
      <c r="C18" s="13" t="n">
        <v>35</v>
      </c>
      <c r="D18" s="13" t="n">
        <v>1</v>
      </c>
    </row>
    <row r="19" customFormat="false" ht="12.8" hidden="false" customHeight="false" outlineLevel="0" collapsed="false">
      <c r="A19" s="13" t="n">
        <v>18</v>
      </c>
      <c r="B19" s="13" t="n">
        <v>1</v>
      </c>
      <c r="C19" s="13" t="n">
        <v>35</v>
      </c>
      <c r="D19" s="13" t="n">
        <v>1</v>
      </c>
    </row>
    <row r="20" customFormat="false" ht="12.8" hidden="false" customHeight="false" outlineLevel="0" collapsed="false">
      <c r="A20" s="13" t="n">
        <v>19</v>
      </c>
      <c r="B20" s="13" t="n">
        <v>1</v>
      </c>
      <c r="C20" s="13" t="n">
        <v>35</v>
      </c>
      <c r="D20" s="13" t="n">
        <v>1</v>
      </c>
    </row>
    <row r="21" customFormat="false" ht="12.8" hidden="false" customHeight="false" outlineLevel="0" collapsed="false">
      <c r="A21" s="13" t="n">
        <v>20</v>
      </c>
      <c r="B21" s="13" t="n">
        <v>1</v>
      </c>
      <c r="C21" s="13" t="n">
        <v>35</v>
      </c>
      <c r="D21" s="13" t="n">
        <v>1</v>
      </c>
    </row>
    <row r="22" customFormat="false" ht="12.8" hidden="false" customHeight="false" outlineLevel="0" collapsed="false">
      <c r="A22" s="13" t="n">
        <v>21</v>
      </c>
      <c r="B22" s="13" t="n">
        <v>1</v>
      </c>
      <c r="C22" s="13" t="n">
        <v>35</v>
      </c>
      <c r="D22" s="13" t="n">
        <v>1</v>
      </c>
    </row>
    <row r="23" customFormat="false" ht="12.8" hidden="false" customHeight="false" outlineLevel="0" collapsed="false">
      <c r="A23" s="13" t="n">
        <v>22</v>
      </c>
      <c r="B23" s="13" t="n">
        <v>1</v>
      </c>
      <c r="C23" s="13" t="n">
        <v>35</v>
      </c>
      <c r="D23" s="13" t="n">
        <v>1</v>
      </c>
    </row>
    <row r="24" customFormat="false" ht="12.8" hidden="false" customHeight="false" outlineLevel="0" collapsed="false">
      <c r="A24" s="13" t="n">
        <v>23</v>
      </c>
      <c r="B24" s="13" t="n">
        <v>1</v>
      </c>
      <c r="C24" s="13" t="n">
        <v>35</v>
      </c>
      <c r="D24" s="13" t="n">
        <v>1</v>
      </c>
    </row>
    <row r="25" customFormat="false" ht="12.8" hidden="false" customHeight="false" outlineLevel="0" collapsed="false">
      <c r="A25" s="13" t="n">
        <v>24</v>
      </c>
      <c r="B25" s="13" t="n">
        <v>1</v>
      </c>
      <c r="C25" s="13" t="n">
        <v>35</v>
      </c>
      <c r="D25" s="13" t="n">
        <v>1</v>
      </c>
    </row>
    <row r="26" customFormat="false" ht="12.8" hidden="false" customHeight="false" outlineLevel="0" collapsed="false">
      <c r="A26" s="13" t="n">
        <v>25</v>
      </c>
      <c r="B26" s="13" t="n">
        <v>1</v>
      </c>
      <c r="C26" s="13" t="n">
        <v>35</v>
      </c>
      <c r="D26" s="13" t="n">
        <v>1</v>
      </c>
    </row>
    <row r="27" customFormat="false" ht="12.8" hidden="false" customHeight="false" outlineLevel="0" collapsed="false">
      <c r="A27" s="13" t="n">
        <v>26</v>
      </c>
      <c r="B27" s="13" t="n">
        <v>1</v>
      </c>
      <c r="C27" s="13" t="n">
        <v>35</v>
      </c>
      <c r="D27" s="13" t="n">
        <v>1</v>
      </c>
    </row>
    <row r="28" customFormat="false" ht="12.8" hidden="false" customHeight="false" outlineLevel="0" collapsed="false">
      <c r="A28" s="13" t="n">
        <v>27</v>
      </c>
      <c r="B28" s="13" t="n">
        <v>1</v>
      </c>
      <c r="C28" s="13" t="n">
        <v>35</v>
      </c>
      <c r="D28" s="13" t="n">
        <v>1</v>
      </c>
    </row>
    <row r="29" customFormat="false" ht="12.8" hidden="false" customHeight="false" outlineLevel="0" collapsed="false">
      <c r="A29" s="13" t="n">
        <v>28</v>
      </c>
      <c r="B29" s="13" t="n">
        <v>1</v>
      </c>
      <c r="C29" s="13" t="n">
        <v>35</v>
      </c>
      <c r="D29" s="13" t="n">
        <v>1</v>
      </c>
    </row>
    <row r="30" customFormat="false" ht="12.8" hidden="false" customHeight="false" outlineLevel="0" collapsed="false">
      <c r="A30" s="13" t="n">
        <v>29</v>
      </c>
      <c r="B30" s="13" t="n">
        <v>1</v>
      </c>
      <c r="C30" s="13" t="n">
        <v>35</v>
      </c>
      <c r="D30" s="13" t="n">
        <v>1</v>
      </c>
    </row>
    <row r="31" customFormat="false" ht="12.8" hidden="false" customHeight="true" outlineLevel="0" collapsed="false">
      <c r="A31" s="13" t="n">
        <v>30</v>
      </c>
      <c r="B31" s="13" t="n">
        <v>1</v>
      </c>
      <c r="C31" s="13" t="n">
        <v>35</v>
      </c>
      <c r="D31" s="13" t="n">
        <v>1</v>
      </c>
    </row>
    <row r="32" customFormat="false" ht="12.8" hidden="false" customHeight="true" outlineLevel="0" collapsed="false">
      <c r="A32" s="13" t="n">
        <v>31</v>
      </c>
      <c r="B32" s="13" t="n">
        <v>1</v>
      </c>
      <c r="C32" s="13" t="n">
        <v>35</v>
      </c>
      <c r="D32" s="13" t="n">
        <v>1</v>
      </c>
    </row>
    <row r="33" customFormat="false" ht="12.8" hidden="false" customHeight="true" outlineLevel="0" collapsed="false">
      <c r="A33" s="13" t="n">
        <v>32</v>
      </c>
      <c r="B33" s="13" t="n">
        <v>1</v>
      </c>
      <c r="C33" s="13" t="n">
        <v>35</v>
      </c>
      <c r="D33" s="13" t="n">
        <v>1</v>
      </c>
    </row>
    <row r="34" customFormat="false" ht="12.8" hidden="false" customHeight="true" outlineLevel="0" collapsed="false">
      <c r="A34" s="13" t="n">
        <v>33</v>
      </c>
      <c r="B34" s="13" t="n">
        <v>1</v>
      </c>
      <c r="C34" s="13" t="n">
        <v>35</v>
      </c>
      <c r="D34" s="13" t="n">
        <v>1</v>
      </c>
    </row>
    <row r="35" customFormat="false" ht="12.8" hidden="false" customHeight="true" outlineLevel="0" collapsed="false">
      <c r="A35" s="13" t="n">
        <v>34</v>
      </c>
      <c r="B35" s="13" t="n">
        <v>1</v>
      </c>
      <c r="C35" s="13" t="n">
        <v>35</v>
      </c>
      <c r="D35" s="13" t="n">
        <v>1</v>
      </c>
    </row>
    <row r="36" customFormat="false" ht="12.8" hidden="false" customHeight="true" outlineLevel="0" collapsed="false">
      <c r="A36" s="13" t="n">
        <v>35</v>
      </c>
      <c r="B36" s="13" t="n">
        <v>1</v>
      </c>
      <c r="C36" s="13" t="n">
        <v>35</v>
      </c>
      <c r="D36" s="13" t="n">
        <v>1</v>
      </c>
    </row>
  </sheetData>
  <sheetProtection sheet="true" objects="true" scenarios="true"/>
  <autoFilter ref="A1:C3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7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20.43"/>
  </cols>
  <sheetData>
    <row r="1" customFormat="false" ht="12.8" hidden="false" customHeight="false" outlineLevel="0" collapsed="false">
      <c r="A1" s="3" t="s">
        <v>57</v>
      </c>
      <c r="B1" s="3" t="s">
        <v>79</v>
      </c>
    </row>
    <row r="2" customFormat="false" ht="12.8" hidden="false" customHeight="false" outlineLevel="0" collapsed="false">
      <c r="A2" s="45" t="n">
        <v>57</v>
      </c>
      <c r="B2" s="46" t="s">
        <v>80</v>
      </c>
    </row>
    <row r="3" customFormat="false" ht="12.8" hidden="false" customHeight="false" outlineLevel="0" collapsed="false">
      <c r="A3" s="1" t="n">
        <v>56</v>
      </c>
      <c r="B3" s="47" t="s">
        <v>81</v>
      </c>
    </row>
    <row r="4" customFormat="false" ht="12.8" hidden="false" customHeight="false" outlineLevel="0" collapsed="false">
      <c r="A4" s="1" t="n">
        <v>55</v>
      </c>
      <c r="B4" s="48" t="s">
        <v>82</v>
      </c>
    </row>
    <row r="5" customFormat="false" ht="12.8" hidden="false" customHeight="false" outlineLevel="0" collapsed="false">
      <c r="A5" s="1" t="n">
        <v>54</v>
      </c>
      <c r="B5" s="47" t="s">
        <v>81</v>
      </c>
    </row>
    <row r="6" customFormat="false" ht="12.8" hidden="false" customHeight="false" outlineLevel="0" collapsed="false">
      <c r="A6" s="1" t="n">
        <v>53</v>
      </c>
      <c r="B6" s="48" t="s">
        <v>82</v>
      </c>
    </row>
    <row r="7" customFormat="false" ht="12.8" hidden="false" customHeight="false" outlineLevel="0" collapsed="false">
      <c r="A7" s="1" t="n">
        <v>52</v>
      </c>
      <c r="B7" s="47" t="s">
        <v>81</v>
      </c>
    </row>
    <row r="8" customFormat="false" ht="12.8" hidden="false" customHeight="false" outlineLevel="0" collapsed="false">
      <c r="A8" s="1" t="n">
        <v>51</v>
      </c>
      <c r="B8" s="48" t="s">
        <v>82</v>
      </c>
    </row>
    <row r="9" customFormat="false" ht="12.8" hidden="false" customHeight="false" outlineLevel="0" collapsed="false">
      <c r="A9" s="1" t="n">
        <v>50</v>
      </c>
      <c r="B9" s="47" t="s">
        <v>81</v>
      </c>
    </row>
    <row r="10" customFormat="false" ht="12.8" hidden="false" customHeight="false" outlineLevel="0" collapsed="false">
      <c r="A10" s="1" t="n">
        <v>49</v>
      </c>
      <c r="B10" s="48" t="s">
        <v>82</v>
      </c>
    </row>
    <row r="11" customFormat="false" ht="12.8" hidden="false" customHeight="false" outlineLevel="0" collapsed="false">
      <c r="A11" s="1" t="n">
        <v>48</v>
      </c>
      <c r="B11" s="47" t="s">
        <v>81</v>
      </c>
    </row>
    <row r="12" customFormat="false" ht="12.8" hidden="false" customHeight="false" outlineLevel="0" collapsed="false">
      <c r="A12" s="1" t="n">
        <v>47</v>
      </c>
      <c r="B12" s="48" t="s">
        <v>82</v>
      </c>
    </row>
    <row r="13" customFormat="false" ht="12.8" hidden="false" customHeight="false" outlineLevel="0" collapsed="false">
      <c r="A13" s="1" t="n">
        <v>46</v>
      </c>
      <c r="B13" s="47" t="s">
        <v>81</v>
      </c>
    </row>
    <row r="14" customFormat="false" ht="12.8" hidden="false" customHeight="false" outlineLevel="0" collapsed="false">
      <c r="A14" s="1" t="n">
        <v>45</v>
      </c>
      <c r="B14" s="48" t="s">
        <v>82</v>
      </c>
    </row>
    <row r="15" customFormat="false" ht="12.8" hidden="false" customHeight="false" outlineLevel="0" collapsed="false">
      <c r="A15" s="1" t="n">
        <v>44</v>
      </c>
      <c r="B15" s="47" t="s">
        <v>81</v>
      </c>
    </row>
    <row r="16" customFormat="false" ht="12.8" hidden="false" customHeight="false" outlineLevel="0" collapsed="false">
      <c r="A16" s="1" t="n">
        <v>43</v>
      </c>
      <c r="B16" s="48" t="s">
        <v>82</v>
      </c>
    </row>
    <row r="17" customFormat="false" ht="12.8" hidden="false" customHeight="false" outlineLevel="0" collapsed="false">
      <c r="A17" s="1" t="n">
        <v>42</v>
      </c>
      <c r="B17" s="47" t="s">
        <v>81</v>
      </c>
    </row>
    <row r="18" customFormat="false" ht="12.8" hidden="false" customHeight="false" outlineLevel="0" collapsed="false">
      <c r="A18" s="1" t="n">
        <v>41</v>
      </c>
      <c r="B18" s="48" t="s">
        <v>82</v>
      </c>
    </row>
    <row r="19" customFormat="false" ht="12.8" hidden="false" customHeight="false" outlineLevel="0" collapsed="false">
      <c r="A19" s="1" t="n">
        <v>40</v>
      </c>
      <c r="B19" s="47" t="s">
        <v>81</v>
      </c>
    </row>
    <row r="20" customFormat="false" ht="12.8" hidden="false" customHeight="false" outlineLevel="0" collapsed="false">
      <c r="A20" s="49" t="n">
        <v>39</v>
      </c>
      <c r="B20" s="50" t="s">
        <v>83</v>
      </c>
    </row>
    <row r="21" customFormat="false" ht="12.8" hidden="false" customHeight="false" outlineLevel="0" collapsed="false">
      <c r="A21" s="1" t="n">
        <v>38</v>
      </c>
      <c r="B21" s="47" t="s">
        <v>81</v>
      </c>
    </row>
    <row r="22" customFormat="false" ht="12.8" hidden="false" customHeight="false" outlineLevel="0" collapsed="false">
      <c r="A22" s="1" t="n">
        <v>37</v>
      </c>
      <c r="B22" s="48" t="s">
        <v>82</v>
      </c>
    </row>
    <row r="23" customFormat="false" ht="12.8" hidden="false" customHeight="false" outlineLevel="0" collapsed="false">
      <c r="A23" s="1" t="n">
        <v>36</v>
      </c>
      <c r="B23" s="47" t="s">
        <v>81</v>
      </c>
    </row>
    <row r="24" customFormat="false" ht="12.8" hidden="false" customHeight="false" outlineLevel="0" collapsed="false">
      <c r="A24" s="1" t="n">
        <v>35</v>
      </c>
      <c r="B24" s="48" t="s">
        <v>82</v>
      </c>
    </row>
    <row r="25" customFormat="false" ht="12.8" hidden="false" customHeight="false" outlineLevel="0" collapsed="false">
      <c r="A25" s="1" t="n">
        <v>34</v>
      </c>
      <c r="B25" s="47" t="s">
        <v>81</v>
      </c>
    </row>
    <row r="26" customFormat="false" ht="12.8" hidden="false" customHeight="false" outlineLevel="0" collapsed="false">
      <c r="A26" s="1" t="n">
        <v>33</v>
      </c>
      <c r="B26" s="48" t="s">
        <v>82</v>
      </c>
    </row>
    <row r="27" customFormat="false" ht="12.8" hidden="false" customHeight="false" outlineLevel="0" collapsed="false">
      <c r="A27" s="1" t="n">
        <v>32</v>
      </c>
      <c r="B27" s="47" t="s">
        <v>81</v>
      </c>
    </row>
    <row r="28" customFormat="false" ht="12.8" hidden="false" customHeight="false" outlineLevel="0" collapsed="false">
      <c r="A28" s="1" t="n">
        <v>31</v>
      </c>
      <c r="B28" s="48" t="s">
        <v>82</v>
      </c>
    </row>
    <row r="29" customFormat="false" ht="12.8" hidden="false" customHeight="false" outlineLevel="0" collapsed="false">
      <c r="A29" s="1" t="n">
        <v>30</v>
      </c>
      <c r="B29" s="47" t="s">
        <v>81</v>
      </c>
    </row>
    <row r="30" customFormat="false" ht="12.8" hidden="false" customHeight="false" outlineLevel="0" collapsed="false">
      <c r="A30" s="1" t="n">
        <v>29</v>
      </c>
      <c r="B30" s="48" t="s">
        <v>82</v>
      </c>
    </row>
    <row r="31" customFormat="false" ht="12.8" hidden="false" customHeight="false" outlineLevel="0" collapsed="false">
      <c r="A31" s="1" t="n">
        <v>28</v>
      </c>
      <c r="B31" s="51" t="s">
        <v>84</v>
      </c>
    </row>
    <row r="32" customFormat="false" ht="12.8" hidden="false" customHeight="false" outlineLevel="0" collapsed="false">
      <c r="A32" s="1" t="n">
        <v>27</v>
      </c>
      <c r="B32" s="52" t="s">
        <v>85</v>
      </c>
    </row>
    <row r="33" customFormat="false" ht="12.8" hidden="false" customHeight="false" outlineLevel="0" collapsed="false">
      <c r="A33" s="1" t="n">
        <v>26</v>
      </c>
      <c r="B33" s="51" t="s">
        <v>84</v>
      </c>
    </row>
    <row r="34" customFormat="false" ht="12.8" hidden="false" customHeight="false" outlineLevel="0" collapsed="false">
      <c r="A34" s="1" t="n">
        <v>25</v>
      </c>
      <c r="B34" s="52" t="s">
        <v>85</v>
      </c>
    </row>
    <row r="35" customFormat="false" ht="12.8" hidden="false" customHeight="false" outlineLevel="0" collapsed="false">
      <c r="A35" s="1" t="n">
        <v>24</v>
      </c>
      <c r="B35" s="51" t="s">
        <v>84</v>
      </c>
    </row>
    <row r="36" customFormat="false" ht="12.8" hidden="false" customHeight="false" outlineLevel="0" collapsed="false">
      <c r="A36" s="1" t="n">
        <v>23</v>
      </c>
      <c r="B36" s="52" t="s">
        <v>85</v>
      </c>
    </row>
    <row r="37" customFormat="false" ht="12.8" hidden="false" customHeight="false" outlineLevel="0" collapsed="false">
      <c r="A37" s="1" t="n">
        <v>22</v>
      </c>
      <c r="B37" s="51" t="s">
        <v>84</v>
      </c>
    </row>
    <row r="38" customFormat="false" ht="12.8" hidden="false" customHeight="false" outlineLevel="0" collapsed="false">
      <c r="A38" s="1" t="n">
        <v>21</v>
      </c>
      <c r="B38" s="52" t="s">
        <v>85</v>
      </c>
    </row>
    <row r="39" customFormat="false" ht="12.8" hidden="false" customHeight="false" outlineLevel="0" collapsed="false">
      <c r="A39" s="1" t="n">
        <v>20</v>
      </c>
      <c r="B39" s="51" t="s">
        <v>84</v>
      </c>
    </row>
    <row r="40" customFormat="false" ht="12.8" hidden="false" customHeight="false" outlineLevel="0" collapsed="false">
      <c r="A40" s="49" t="n">
        <v>19</v>
      </c>
      <c r="B40" s="53" t="s">
        <v>86</v>
      </c>
    </row>
    <row r="41" customFormat="false" ht="12.8" hidden="false" customHeight="false" outlineLevel="0" collapsed="false">
      <c r="A41" s="1" t="n">
        <v>18</v>
      </c>
      <c r="B41" s="51" t="s">
        <v>84</v>
      </c>
    </row>
    <row r="42" customFormat="false" ht="12.8" hidden="false" customHeight="false" outlineLevel="0" collapsed="false">
      <c r="A42" s="1" t="n">
        <v>17</v>
      </c>
      <c r="B42" s="52" t="s">
        <v>85</v>
      </c>
    </row>
    <row r="43" customFormat="false" ht="12.8" hidden="false" customHeight="false" outlineLevel="0" collapsed="false">
      <c r="A43" s="1" t="n">
        <v>16</v>
      </c>
      <c r="B43" s="51" t="s">
        <v>84</v>
      </c>
    </row>
    <row r="44" customFormat="false" ht="12.8" hidden="false" customHeight="false" outlineLevel="0" collapsed="false">
      <c r="A44" s="1" t="n">
        <v>15</v>
      </c>
      <c r="B44" s="52" t="s">
        <v>85</v>
      </c>
    </row>
    <row r="45" customFormat="false" ht="12.8" hidden="false" customHeight="false" outlineLevel="0" collapsed="false">
      <c r="A45" s="1" t="n">
        <v>14</v>
      </c>
      <c r="B45" s="51" t="s">
        <v>84</v>
      </c>
    </row>
    <row r="46" customFormat="false" ht="12.8" hidden="false" customHeight="false" outlineLevel="0" collapsed="false">
      <c r="A46" s="1" t="n">
        <v>13</v>
      </c>
      <c r="B46" s="52" t="s">
        <v>85</v>
      </c>
    </row>
    <row r="47" customFormat="false" ht="12.8" hidden="false" customHeight="false" outlineLevel="0" collapsed="false">
      <c r="A47" s="1" t="n">
        <v>12</v>
      </c>
      <c r="B47" s="51" t="s">
        <v>84</v>
      </c>
    </row>
    <row r="48" customFormat="false" ht="12.8" hidden="false" customHeight="false" outlineLevel="0" collapsed="false">
      <c r="A48" s="1" t="n">
        <v>11</v>
      </c>
      <c r="B48" s="52" t="s">
        <v>85</v>
      </c>
    </row>
    <row r="49" customFormat="false" ht="12.8" hidden="false" customHeight="false" outlineLevel="0" collapsed="false">
      <c r="A49" s="1" t="n">
        <v>10</v>
      </c>
      <c r="B49" s="51" t="s">
        <v>84</v>
      </c>
    </row>
    <row r="50" customFormat="false" ht="12.8" hidden="false" customHeight="false" outlineLevel="0" collapsed="false">
      <c r="A50" s="1" t="n">
        <v>9</v>
      </c>
      <c r="B50" s="52" t="s">
        <v>85</v>
      </c>
    </row>
    <row r="51" customFormat="false" ht="12.8" hidden="false" customHeight="false" outlineLevel="0" collapsed="false">
      <c r="A51" s="1" t="n">
        <v>8</v>
      </c>
      <c r="B51" s="51" t="s">
        <v>84</v>
      </c>
    </row>
    <row r="52" customFormat="false" ht="12.8" hidden="false" customHeight="false" outlineLevel="0" collapsed="false">
      <c r="A52" s="1" t="n">
        <v>7</v>
      </c>
      <c r="B52" s="52" t="s">
        <v>85</v>
      </c>
    </row>
    <row r="53" customFormat="false" ht="12.8" hidden="false" customHeight="false" outlineLevel="0" collapsed="false">
      <c r="A53" s="1" t="n">
        <v>6</v>
      </c>
      <c r="B53" s="51" t="s">
        <v>84</v>
      </c>
    </row>
    <row r="54" customFormat="false" ht="12.8" hidden="false" customHeight="false" outlineLevel="0" collapsed="false">
      <c r="A54" s="1" t="n">
        <v>5</v>
      </c>
      <c r="B54" s="52" t="s">
        <v>85</v>
      </c>
    </row>
    <row r="55" customFormat="false" ht="12.8" hidden="false" customHeight="false" outlineLevel="0" collapsed="false">
      <c r="A55" s="1" t="n">
        <v>4</v>
      </c>
      <c r="B55" s="51" t="s">
        <v>84</v>
      </c>
    </row>
    <row r="56" customFormat="false" ht="12.8" hidden="false" customHeight="false" outlineLevel="0" collapsed="false">
      <c r="A56" s="1" t="n">
        <v>3</v>
      </c>
      <c r="B56" s="52" t="s">
        <v>85</v>
      </c>
    </row>
    <row r="57" customFormat="false" ht="12.8" hidden="false" customHeight="false" outlineLevel="0" collapsed="false">
      <c r="A57" s="1" t="n">
        <v>2</v>
      </c>
      <c r="B57" s="51" t="s">
        <v>84</v>
      </c>
    </row>
  </sheetData>
  <sheetProtection sheet="true" objects="true" scenarios="true"/>
  <autoFilter ref="A1:B5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3" width="5.84"/>
    <col collapsed="false" customWidth="true" hidden="false" outlineLevel="0" max="2" min="2" style="13" width="21.7"/>
    <col collapsed="false" customWidth="true" hidden="false" outlineLevel="0" max="3" min="3" style="13" width="46.47"/>
    <col collapsed="false" customWidth="true" hidden="false" outlineLevel="0" max="4" min="4" style="13" width="15.44"/>
  </cols>
  <sheetData>
    <row r="1" customFormat="false" ht="12.8" hidden="false" customHeight="false" outlineLevel="0" collapsed="false">
      <c r="A1" s="54" t="s">
        <v>87</v>
      </c>
      <c r="B1" s="54" t="s">
        <v>88</v>
      </c>
      <c r="C1" s="54" t="s">
        <v>89</v>
      </c>
      <c r="D1" s="54" t="s">
        <v>90</v>
      </c>
    </row>
    <row r="2" customFormat="false" ht="12.8" hidden="false" customHeight="false" outlineLevel="0" collapsed="false">
      <c r="A2" s="1" t="n">
        <v>1</v>
      </c>
      <c r="B2" s="51" t="s">
        <v>84</v>
      </c>
      <c r="C2" s="1" t="s">
        <v>91</v>
      </c>
      <c r="D2" s="13" t="n">
        <v>14</v>
      </c>
    </row>
    <row r="3" customFormat="false" ht="12.8" hidden="false" customHeight="false" outlineLevel="0" collapsed="false">
      <c r="A3" s="1" t="n">
        <v>2</v>
      </c>
      <c r="B3" s="52" t="s">
        <v>85</v>
      </c>
      <c r="C3" s="1" t="s">
        <v>92</v>
      </c>
      <c r="D3" s="13" t="n">
        <v>12</v>
      </c>
    </row>
    <row r="4" customFormat="false" ht="12.8" hidden="false" customHeight="false" outlineLevel="0" collapsed="false">
      <c r="A4" s="1" t="n">
        <v>3</v>
      </c>
      <c r="B4" s="53" t="s">
        <v>86</v>
      </c>
      <c r="C4" s="1" t="n">
        <v>19</v>
      </c>
      <c r="D4" s="13" t="n">
        <v>1</v>
      </c>
    </row>
    <row r="5" customFormat="false" ht="12.8" hidden="false" customHeight="false" outlineLevel="0" collapsed="false">
      <c r="A5" s="1" t="n">
        <v>4</v>
      </c>
      <c r="B5" s="48" t="s">
        <v>82</v>
      </c>
      <c r="C5" s="1" t="s">
        <v>93</v>
      </c>
      <c r="D5" s="13" t="n">
        <v>13</v>
      </c>
    </row>
    <row r="6" customFormat="false" ht="12.8" hidden="false" customHeight="false" outlineLevel="0" collapsed="false">
      <c r="A6" s="1" t="n">
        <v>5</v>
      </c>
      <c r="B6" s="47" t="s">
        <v>81</v>
      </c>
      <c r="C6" s="1" t="s">
        <v>94</v>
      </c>
      <c r="D6" s="13" t="n">
        <v>14</v>
      </c>
    </row>
    <row r="7" customFormat="false" ht="12.8" hidden="false" customHeight="false" outlineLevel="0" collapsed="false">
      <c r="A7" s="1" t="n">
        <v>6</v>
      </c>
      <c r="B7" s="50" t="s">
        <v>83</v>
      </c>
      <c r="C7" s="1" t="n">
        <v>39</v>
      </c>
      <c r="D7" s="13" t="n">
        <v>1</v>
      </c>
    </row>
    <row r="8" customFormat="false" ht="12.8" hidden="false" customHeight="false" outlineLevel="0" collapsed="false">
      <c r="A8" s="1" t="n">
        <v>7</v>
      </c>
      <c r="B8" s="46" t="s">
        <v>80</v>
      </c>
      <c r="C8" s="1" t="n">
        <v>57</v>
      </c>
      <c r="D8" s="13" t="n">
        <v>1</v>
      </c>
    </row>
  </sheetData>
  <sheetProtection sheet="true" objects="true" scenarios="true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8" activeCellId="0" sqref="G2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3" width="18.92"/>
    <col collapsed="false" customWidth="true" hidden="false" outlineLevel="0" max="2" min="2" style="1" width="18.92"/>
    <col collapsed="false" customWidth="true" hidden="false" outlineLevel="0" max="4" min="3" style="13" width="18.92"/>
  </cols>
  <sheetData>
    <row r="1" customFormat="false" ht="12.8" hidden="false" customHeight="false" outlineLevel="0" collapsed="false">
      <c r="A1" s="6" t="s">
        <v>95</v>
      </c>
      <c r="B1" s="1" t="s">
        <v>57</v>
      </c>
      <c r="C1" s="6" t="s">
        <v>88</v>
      </c>
      <c r="D1" s="6" t="s">
        <v>96</v>
      </c>
    </row>
    <row r="2" customFormat="false" ht="12.8" hidden="false" customHeight="false" outlineLevel="0" collapsed="false">
      <c r="A2" s="13" t="n">
        <v>1</v>
      </c>
      <c r="B2" s="1" t="n">
        <f aca="false">Изделия3!A2</f>
        <v>57</v>
      </c>
      <c r="C2" s="13" t="str">
        <f aca="false">Изделия3!B2</f>
        <v>ВН-24-К5(б)-1</v>
      </c>
      <c r="D2" s="13" t="n">
        <v>1</v>
      </c>
    </row>
    <row r="3" customFormat="false" ht="12.8" hidden="false" customHeight="false" outlineLevel="0" collapsed="false">
      <c r="A3" s="13" t="n">
        <v>1</v>
      </c>
      <c r="B3" s="1" t="n">
        <f aca="false">Изделия3!A3</f>
        <v>56</v>
      </c>
      <c r="C3" s="13" t="str">
        <f aca="false">Изделия3!B3</f>
        <v>ВН-22-К5(б)-1</v>
      </c>
      <c r="D3" s="13" t="n">
        <v>1</v>
      </c>
    </row>
    <row r="4" customFormat="false" ht="12.8" hidden="false" customHeight="false" outlineLevel="0" collapsed="false">
      <c r="A4" s="13" t="n">
        <v>1</v>
      </c>
      <c r="B4" s="1" t="n">
        <f aca="false">Изделия3!A4</f>
        <v>55</v>
      </c>
      <c r="C4" s="13" t="str">
        <f aca="false">Изделия3!B4</f>
        <v>ВН-23-К5(б)-1</v>
      </c>
      <c r="D4" s="13" t="n">
        <v>1</v>
      </c>
    </row>
    <row r="5" customFormat="false" ht="12.8" hidden="false" customHeight="false" outlineLevel="0" collapsed="false">
      <c r="A5" s="13" t="n">
        <v>1</v>
      </c>
      <c r="B5" s="1" t="n">
        <f aca="false">Изделия3!A5</f>
        <v>54</v>
      </c>
      <c r="C5" s="13" t="str">
        <f aca="false">Изделия3!B5</f>
        <v>ВН-22-К5(б)-1</v>
      </c>
      <c r="D5" s="13" t="n">
        <v>1</v>
      </c>
    </row>
    <row r="6" customFormat="false" ht="12.8" hidden="false" customHeight="false" outlineLevel="0" collapsed="false">
      <c r="A6" s="13" t="n">
        <v>1</v>
      </c>
      <c r="B6" s="1" t="n">
        <f aca="false">Изделия3!A6</f>
        <v>53</v>
      </c>
      <c r="C6" s="13" t="str">
        <f aca="false">Изделия3!B6</f>
        <v>ВН-23-К5(б)-1</v>
      </c>
      <c r="D6" s="13" t="n">
        <v>1</v>
      </c>
    </row>
    <row r="7" customFormat="false" ht="12.8" hidden="false" customHeight="false" outlineLevel="0" collapsed="false">
      <c r="A7" s="13" t="n">
        <v>1</v>
      </c>
      <c r="B7" s="1" t="n">
        <f aca="false">Изделия3!A7</f>
        <v>52</v>
      </c>
      <c r="C7" s="13" t="str">
        <f aca="false">Изделия3!B7</f>
        <v>ВН-22-К5(б)-1</v>
      </c>
      <c r="D7" s="13" t="n">
        <v>1</v>
      </c>
    </row>
    <row r="8" customFormat="false" ht="12.8" hidden="false" customHeight="false" outlineLevel="0" collapsed="false">
      <c r="A8" s="13" t="n">
        <v>1</v>
      </c>
      <c r="B8" s="1" t="n">
        <f aca="false">Изделия3!A8</f>
        <v>51</v>
      </c>
      <c r="C8" s="13" t="str">
        <f aca="false">Изделия3!B8</f>
        <v>ВН-23-К5(б)-1</v>
      </c>
      <c r="D8" s="13" t="n">
        <v>1</v>
      </c>
    </row>
    <row r="9" customFormat="false" ht="12.8" hidden="false" customHeight="false" outlineLevel="0" collapsed="false">
      <c r="A9" s="13" t="n">
        <v>1</v>
      </c>
      <c r="B9" s="1" t="n">
        <f aca="false">Изделия3!A9</f>
        <v>50</v>
      </c>
      <c r="C9" s="13" t="str">
        <f aca="false">Изделия3!B9</f>
        <v>ВН-22-К5(б)-1</v>
      </c>
      <c r="D9" s="13" t="n">
        <v>1</v>
      </c>
    </row>
    <row r="10" customFormat="false" ht="12.8" hidden="false" customHeight="false" outlineLevel="0" collapsed="false">
      <c r="A10" s="13" t="n">
        <v>1</v>
      </c>
      <c r="B10" s="1" t="n">
        <f aca="false">Изделия3!A10</f>
        <v>49</v>
      </c>
      <c r="C10" s="13" t="str">
        <f aca="false">Изделия3!B10</f>
        <v>ВН-23-К5(б)-1</v>
      </c>
      <c r="D10" s="13" t="n">
        <v>1</v>
      </c>
    </row>
    <row r="11" customFormat="false" ht="12.8" hidden="false" customHeight="false" outlineLevel="0" collapsed="false">
      <c r="A11" s="13" t="n">
        <v>1</v>
      </c>
      <c r="B11" s="1" t="n">
        <f aca="false">Изделия3!A11</f>
        <v>48</v>
      </c>
      <c r="C11" s="13" t="str">
        <f aca="false">Изделия3!B11</f>
        <v>ВН-22-К5(б)-1</v>
      </c>
      <c r="D11" s="13" t="n">
        <v>1</v>
      </c>
    </row>
    <row r="12" customFormat="false" ht="12.8" hidden="false" customHeight="false" outlineLevel="0" collapsed="false">
      <c r="A12" s="13" t="n">
        <v>1</v>
      </c>
      <c r="B12" s="1" t="n">
        <f aca="false">Изделия3!A12</f>
        <v>47</v>
      </c>
      <c r="C12" s="13" t="str">
        <f aca="false">Изделия3!B12</f>
        <v>ВН-23-К5(б)-1</v>
      </c>
      <c r="D12" s="13" t="n">
        <v>1</v>
      </c>
    </row>
    <row r="13" customFormat="false" ht="12.8" hidden="false" customHeight="false" outlineLevel="0" collapsed="false">
      <c r="A13" s="13" t="n">
        <v>1</v>
      </c>
      <c r="B13" s="1" t="n">
        <f aca="false">Изделия3!A13</f>
        <v>46</v>
      </c>
      <c r="C13" s="13" t="str">
        <f aca="false">Изделия3!B13</f>
        <v>ВН-22-К5(б)-1</v>
      </c>
      <c r="D13" s="13" t="n">
        <v>1</v>
      </c>
    </row>
    <row r="14" customFormat="false" ht="12.8" hidden="false" customHeight="false" outlineLevel="0" collapsed="false">
      <c r="A14" s="13" t="n">
        <v>1</v>
      </c>
      <c r="B14" s="1" t="n">
        <f aca="false">Изделия3!A14</f>
        <v>45</v>
      </c>
      <c r="C14" s="13" t="str">
        <f aca="false">Изделия3!B14</f>
        <v>ВН-23-К5(б)-1</v>
      </c>
      <c r="D14" s="13" t="n">
        <v>1</v>
      </c>
    </row>
    <row r="15" customFormat="false" ht="12.8" hidden="false" customHeight="false" outlineLevel="0" collapsed="false">
      <c r="A15" s="13" t="n">
        <v>1</v>
      </c>
      <c r="B15" s="1" t="n">
        <f aca="false">Изделия3!A15</f>
        <v>44</v>
      </c>
      <c r="C15" s="13" t="str">
        <f aca="false">Изделия3!B15</f>
        <v>ВН-22-К5(б)-1</v>
      </c>
      <c r="D15" s="13" t="n">
        <v>1</v>
      </c>
    </row>
    <row r="16" customFormat="false" ht="12.8" hidden="false" customHeight="false" outlineLevel="0" collapsed="false">
      <c r="A16" s="13" t="n">
        <v>1</v>
      </c>
      <c r="B16" s="1" t="n">
        <f aca="false">Изделия3!A16</f>
        <v>43</v>
      </c>
      <c r="C16" s="13" t="str">
        <f aca="false">Изделия3!B16</f>
        <v>ВН-23-К5(б)-1</v>
      </c>
      <c r="D16" s="13" t="n">
        <v>1</v>
      </c>
    </row>
    <row r="17" customFormat="false" ht="12.8" hidden="false" customHeight="false" outlineLevel="0" collapsed="false">
      <c r="A17" s="13" t="n">
        <v>1</v>
      </c>
      <c r="B17" s="1" t="n">
        <f aca="false">Изделия3!A17</f>
        <v>42</v>
      </c>
      <c r="C17" s="13" t="str">
        <f aca="false">Изделия3!B17</f>
        <v>ВН-22-К5(б)-1</v>
      </c>
      <c r="D17" s="13" t="n">
        <v>1</v>
      </c>
    </row>
    <row r="18" customFormat="false" ht="12.8" hidden="false" customHeight="false" outlineLevel="0" collapsed="false">
      <c r="A18" s="13" t="n">
        <v>1</v>
      </c>
      <c r="B18" s="1" t="n">
        <f aca="false">Изделия3!A18</f>
        <v>41</v>
      </c>
      <c r="C18" s="13" t="str">
        <f aca="false">Изделия3!B18</f>
        <v>ВН-23-К5(б)-1</v>
      </c>
      <c r="D18" s="13" t="n">
        <v>1</v>
      </c>
    </row>
    <row r="19" customFormat="false" ht="12.8" hidden="false" customHeight="false" outlineLevel="0" collapsed="false">
      <c r="A19" s="13" t="n">
        <v>1</v>
      </c>
      <c r="B19" s="1" t="n">
        <f aca="false">Изделия3!A19</f>
        <v>40</v>
      </c>
      <c r="C19" s="13" t="str">
        <f aca="false">Изделия3!B19</f>
        <v>ВН-22-К5(б)-1</v>
      </c>
      <c r="D19" s="13" t="n">
        <v>1</v>
      </c>
    </row>
    <row r="20" customFormat="false" ht="12.8" hidden="false" customHeight="false" outlineLevel="0" collapsed="false">
      <c r="A20" s="13" t="n">
        <v>1</v>
      </c>
      <c r="B20" s="1" t="n">
        <f aca="false">Изделия3!A20</f>
        <v>39</v>
      </c>
      <c r="C20" s="13" t="str">
        <f aca="false">Изделия3!B20</f>
        <v>ВН-23-К5(б)-2</v>
      </c>
      <c r="D20" s="13" t="n">
        <v>1</v>
      </c>
    </row>
    <row r="21" customFormat="false" ht="12.8" hidden="false" customHeight="false" outlineLevel="0" collapsed="false">
      <c r="A21" s="13" t="n">
        <v>1</v>
      </c>
      <c r="B21" s="1" t="n">
        <f aca="false">Изделия3!A21</f>
        <v>38</v>
      </c>
      <c r="C21" s="13" t="str">
        <f aca="false">Изделия3!B21</f>
        <v>ВН-22-К5(б)-1</v>
      </c>
      <c r="D21" s="13" t="n">
        <v>1</v>
      </c>
    </row>
    <row r="22" customFormat="false" ht="12.8" hidden="false" customHeight="false" outlineLevel="0" collapsed="false">
      <c r="A22" s="13" t="n">
        <v>1</v>
      </c>
      <c r="B22" s="1" t="n">
        <f aca="false">Изделия3!A22</f>
        <v>37</v>
      </c>
      <c r="C22" s="13" t="str">
        <f aca="false">Изделия3!B22</f>
        <v>ВН-23-К5(б)-1</v>
      </c>
      <c r="D22" s="13" t="n">
        <v>1</v>
      </c>
    </row>
    <row r="23" customFormat="false" ht="12.8" hidden="false" customHeight="false" outlineLevel="0" collapsed="false">
      <c r="A23" s="13" t="n">
        <v>1</v>
      </c>
      <c r="B23" s="1" t="n">
        <f aca="false">Изделия3!A23</f>
        <v>36</v>
      </c>
      <c r="C23" s="13" t="str">
        <f aca="false">Изделия3!B23</f>
        <v>ВН-22-К5(б)-1</v>
      </c>
      <c r="D23" s="13" t="n">
        <v>1</v>
      </c>
    </row>
    <row r="24" customFormat="false" ht="12.8" hidden="false" customHeight="false" outlineLevel="0" collapsed="false">
      <c r="A24" s="13" t="n">
        <v>1</v>
      </c>
      <c r="B24" s="1" t="n">
        <f aca="false">Изделия3!A24</f>
        <v>35</v>
      </c>
      <c r="C24" s="13" t="str">
        <f aca="false">Изделия3!B24</f>
        <v>ВН-23-К5(б)-1</v>
      </c>
      <c r="D24" s="13" t="n">
        <v>1</v>
      </c>
    </row>
    <row r="25" customFormat="false" ht="12.8" hidden="false" customHeight="false" outlineLevel="0" collapsed="false">
      <c r="A25" s="13" t="n">
        <v>1</v>
      </c>
      <c r="B25" s="1" t="n">
        <f aca="false">Изделия3!A25</f>
        <v>34</v>
      </c>
      <c r="C25" s="13" t="str">
        <f aca="false">Изделия3!B25</f>
        <v>ВН-22-К5(б)-1</v>
      </c>
      <c r="D25" s="13" t="n">
        <v>1</v>
      </c>
    </row>
    <row r="26" customFormat="false" ht="12.8" hidden="false" customHeight="false" outlineLevel="0" collapsed="false">
      <c r="A26" s="13" t="n">
        <v>1</v>
      </c>
      <c r="B26" s="1" t="n">
        <f aca="false">Изделия3!A26</f>
        <v>33</v>
      </c>
      <c r="C26" s="13" t="str">
        <f aca="false">Изделия3!B26</f>
        <v>ВН-23-К5(б)-1</v>
      </c>
      <c r="D26" s="13" t="n">
        <v>1</v>
      </c>
    </row>
    <row r="27" customFormat="false" ht="12.8" hidden="false" customHeight="false" outlineLevel="0" collapsed="false">
      <c r="A27" s="13" t="n">
        <v>1</v>
      </c>
      <c r="B27" s="1" t="n">
        <f aca="false">Изделия3!A27</f>
        <v>32</v>
      </c>
      <c r="C27" s="13" t="str">
        <f aca="false">Изделия3!B27</f>
        <v>ВН-22-К5(б)-1</v>
      </c>
      <c r="D27" s="13" t="n">
        <v>1</v>
      </c>
    </row>
    <row r="28" customFormat="false" ht="12.8" hidden="false" customHeight="false" outlineLevel="0" collapsed="false">
      <c r="A28" s="13" t="n">
        <v>1</v>
      </c>
      <c r="B28" s="1" t="n">
        <f aca="false">Изделия3!A28</f>
        <v>31</v>
      </c>
      <c r="C28" s="13" t="str">
        <f aca="false">Изделия3!B28</f>
        <v>ВН-23-К5(б)-1</v>
      </c>
      <c r="D28" s="13" t="n">
        <v>1</v>
      </c>
    </row>
    <row r="29" customFormat="false" ht="12.8" hidden="false" customHeight="false" outlineLevel="0" collapsed="false">
      <c r="A29" s="13" t="n">
        <v>1</v>
      </c>
      <c r="B29" s="1" t="n">
        <f aca="false">Изделия3!A29</f>
        <v>30</v>
      </c>
      <c r="C29" s="13" t="str">
        <f aca="false">Изделия3!B29</f>
        <v>ВН-22-К5(б)-1</v>
      </c>
      <c r="D29" s="13" t="n">
        <v>1</v>
      </c>
    </row>
    <row r="30" customFormat="false" ht="12.8" hidden="false" customHeight="false" outlineLevel="0" collapsed="false">
      <c r="A30" s="13" t="n">
        <v>1</v>
      </c>
      <c r="B30" s="1" t="n">
        <f aca="false">Изделия3!A30</f>
        <v>29</v>
      </c>
      <c r="C30" s="13" t="str">
        <f aca="false">Изделия3!B30</f>
        <v>ВН-23-К5(б)-1</v>
      </c>
      <c r="D30" s="13" t="n">
        <v>1</v>
      </c>
    </row>
    <row r="31" customFormat="false" ht="12.8" hidden="false" customHeight="false" outlineLevel="0" collapsed="false">
      <c r="A31" s="13" t="n">
        <v>1</v>
      </c>
      <c r="B31" s="1" t="n">
        <f aca="false">Изделия3!A31</f>
        <v>28</v>
      </c>
      <c r="C31" s="13" t="str">
        <f aca="false">Изделия3!B31</f>
        <v>ВН-22-К5(а)-1</v>
      </c>
      <c r="D31" s="13" t="n">
        <v>1</v>
      </c>
    </row>
    <row r="32" customFormat="false" ht="12.8" hidden="false" customHeight="false" outlineLevel="0" collapsed="false">
      <c r="A32" s="13" t="n">
        <v>1</v>
      </c>
      <c r="B32" s="1" t="n">
        <f aca="false">Изделия3!A32</f>
        <v>27</v>
      </c>
      <c r="C32" s="13" t="str">
        <f aca="false">Изделия3!B32</f>
        <v>ВН-23-К5(а)-1</v>
      </c>
      <c r="D32" s="13" t="n">
        <v>1</v>
      </c>
    </row>
    <row r="33" customFormat="false" ht="12.8" hidden="false" customHeight="false" outlineLevel="0" collapsed="false">
      <c r="A33" s="13" t="n">
        <v>1</v>
      </c>
      <c r="B33" s="1" t="n">
        <f aca="false">Изделия3!A33</f>
        <v>26</v>
      </c>
      <c r="C33" s="13" t="str">
        <f aca="false">Изделия3!B33</f>
        <v>ВН-22-К5(а)-1</v>
      </c>
      <c r="D33" s="13" t="n">
        <v>1</v>
      </c>
    </row>
    <row r="34" customFormat="false" ht="12.8" hidden="false" customHeight="false" outlineLevel="0" collapsed="false">
      <c r="A34" s="13" t="n">
        <v>1</v>
      </c>
      <c r="B34" s="1" t="n">
        <f aca="false">Изделия3!A34</f>
        <v>25</v>
      </c>
      <c r="C34" s="13" t="str">
        <f aca="false">Изделия3!B34</f>
        <v>ВН-23-К5(а)-1</v>
      </c>
      <c r="D34" s="13" t="n">
        <v>1</v>
      </c>
    </row>
    <row r="35" customFormat="false" ht="12.8" hidden="false" customHeight="false" outlineLevel="0" collapsed="false">
      <c r="A35" s="13" t="n">
        <v>1</v>
      </c>
      <c r="B35" s="1" t="n">
        <f aca="false">Изделия3!A35</f>
        <v>24</v>
      </c>
      <c r="C35" s="13" t="str">
        <f aca="false">Изделия3!B35</f>
        <v>ВН-22-К5(а)-1</v>
      </c>
      <c r="D35" s="13" t="n">
        <v>1</v>
      </c>
    </row>
    <row r="36" customFormat="false" ht="12.8" hidden="false" customHeight="false" outlineLevel="0" collapsed="false">
      <c r="A36" s="13" t="n">
        <v>1</v>
      </c>
      <c r="B36" s="1" t="n">
        <f aca="false">Изделия3!A36</f>
        <v>23</v>
      </c>
      <c r="C36" s="13" t="str">
        <f aca="false">Изделия3!B36</f>
        <v>ВН-23-К5(а)-1</v>
      </c>
      <c r="D36" s="13" t="n">
        <v>1</v>
      </c>
    </row>
    <row r="37" customFormat="false" ht="12.8" hidden="false" customHeight="false" outlineLevel="0" collapsed="false">
      <c r="A37" s="13" t="n">
        <v>1</v>
      </c>
      <c r="B37" s="1" t="n">
        <f aca="false">Изделия3!A37</f>
        <v>22</v>
      </c>
      <c r="C37" s="13" t="str">
        <f aca="false">Изделия3!B37</f>
        <v>ВН-22-К5(а)-1</v>
      </c>
      <c r="D37" s="13" t="n">
        <v>1</v>
      </c>
    </row>
    <row r="38" customFormat="false" ht="12.8" hidden="false" customHeight="false" outlineLevel="0" collapsed="false">
      <c r="A38" s="13" t="n">
        <v>1</v>
      </c>
      <c r="B38" s="1" t="n">
        <f aca="false">Изделия3!A38</f>
        <v>21</v>
      </c>
      <c r="C38" s="13" t="str">
        <f aca="false">Изделия3!B38</f>
        <v>ВН-23-К5(а)-1</v>
      </c>
      <c r="D38" s="13" t="n">
        <v>1</v>
      </c>
    </row>
    <row r="39" customFormat="false" ht="12.8" hidden="false" customHeight="false" outlineLevel="0" collapsed="false">
      <c r="A39" s="13" t="n">
        <v>1</v>
      </c>
      <c r="B39" s="1" t="n">
        <f aca="false">Изделия3!A39</f>
        <v>20</v>
      </c>
      <c r="C39" s="13" t="str">
        <f aca="false">Изделия3!B39</f>
        <v>ВН-22-К5(а)-1</v>
      </c>
      <c r="D39" s="13" t="n">
        <v>1</v>
      </c>
    </row>
    <row r="40" customFormat="false" ht="12.8" hidden="false" customHeight="false" outlineLevel="0" collapsed="false">
      <c r="A40" s="13" t="n">
        <v>1</v>
      </c>
      <c r="B40" s="1" t="n">
        <f aca="false">Изделия3!A40</f>
        <v>19</v>
      </c>
      <c r="C40" s="13" t="str">
        <f aca="false">Изделия3!B40</f>
        <v>ВН-23-К5(а)-2</v>
      </c>
      <c r="D40" s="13" t="n">
        <v>1</v>
      </c>
    </row>
    <row r="41" customFormat="false" ht="12.8" hidden="false" customHeight="false" outlineLevel="0" collapsed="false">
      <c r="A41" s="13" t="n">
        <v>1</v>
      </c>
      <c r="B41" s="1" t="n">
        <f aca="false">Изделия3!A41</f>
        <v>18</v>
      </c>
      <c r="C41" s="13" t="str">
        <f aca="false">Изделия3!B41</f>
        <v>ВН-22-К5(а)-1</v>
      </c>
      <c r="D41" s="13" t="n">
        <v>1</v>
      </c>
    </row>
    <row r="42" customFormat="false" ht="12.8" hidden="false" customHeight="false" outlineLevel="0" collapsed="false">
      <c r="A42" s="13" t="n">
        <v>1</v>
      </c>
      <c r="B42" s="1" t="n">
        <f aca="false">Изделия3!A42</f>
        <v>17</v>
      </c>
      <c r="C42" s="13" t="str">
        <f aca="false">Изделия3!B42</f>
        <v>ВН-23-К5(а)-1</v>
      </c>
      <c r="D42" s="13" t="n">
        <v>1</v>
      </c>
    </row>
    <row r="43" customFormat="false" ht="12.8" hidden="false" customHeight="false" outlineLevel="0" collapsed="false">
      <c r="A43" s="13" t="n">
        <v>1</v>
      </c>
      <c r="B43" s="1" t="n">
        <f aca="false">Изделия3!A43</f>
        <v>16</v>
      </c>
      <c r="C43" s="13" t="str">
        <f aca="false">Изделия3!B43</f>
        <v>ВН-22-К5(а)-1</v>
      </c>
      <c r="D43" s="13" t="n">
        <v>1</v>
      </c>
    </row>
    <row r="44" customFormat="false" ht="12.8" hidden="false" customHeight="false" outlineLevel="0" collapsed="false">
      <c r="A44" s="13" t="n">
        <v>1</v>
      </c>
      <c r="B44" s="1" t="n">
        <f aca="false">Изделия3!A44</f>
        <v>15</v>
      </c>
      <c r="C44" s="13" t="str">
        <f aca="false">Изделия3!B44</f>
        <v>ВН-23-К5(а)-1</v>
      </c>
      <c r="D44" s="13" t="n">
        <v>1</v>
      </c>
    </row>
    <row r="45" customFormat="false" ht="12.8" hidden="false" customHeight="false" outlineLevel="0" collapsed="false">
      <c r="A45" s="13" t="n">
        <v>1</v>
      </c>
      <c r="B45" s="1" t="n">
        <f aca="false">Изделия3!A45</f>
        <v>14</v>
      </c>
      <c r="C45" s="13" t="str">
        <f aca="false">Изделия3!B45</f>
        <v>ВН-22-К5(а)-1</v>
      </c>
      <c r="D45" s="13" t="n">
        <v>1</v>
      </c>
    </row>
    <row r="46" customFormat="false" ht="12.8" hidden="false" customHeight="false" outlineLevel="0" collapsed="false">
      <c r="A46" s="13" t="n">
        <v>1</v>
      </c>
      <c r="B46" s="1" t="n">
        <f aca="false">Изделия3!A46</f>
        <v>13</v>
      </c>
      <c r="C46" s="13" t="str">
        <f aca="false">Изделия3!B46</f>
        <v>ВН-23-К5(а)-1</v>
      </c>
      <c r="D46" s="13" t="n">
        <v>1</v>
      </c>
    </row>
    <row r="47" customFormat="false" ht="12.8" hidden="false" customHeight="false" outlineLevel="0" collapsed="false">
      <c r="A47" s="13" t="n">
        <v>1</v>
      </c>
      <c r="B47" s="1" t="n">
        <f aca="false">Изделия3!A47</f>
        <v>12</v>
      </c>
      <c r="C47" s="13" t="str">
        <f aca="false">Изделия3!B47</f>
        <v>ВН-22-К5(а)-1</v>
      </c>
      <c r="D47" s="13" t="n">
        <v>1</v>
      </c>
    </row>
    <row r="48" customFormat="false" ht="12.8" hidden="false" customHeight="false" outlineLevel="0" collapsed="false">
      <c r="A48" s="13" t="n">
        <v>1</v>
      </c>
      <c r="B48" s="1" t="n">
        <f aca="false">Изделия3!A48</f>
        <v>11</v>
      </c>
      <c r="C48" s="13" t="str">
        <f aca="false">Изделия3!B48</f>
        <v>ВН-23-К5(а)-1</v>
      </c>
      <c r="D48" s="13" t="n">
        <v>1</v>
      </c>
    </row>
    <row r="49" customFormat="false" ht="12.8" hidden="false" customHeight="false" outlineLevel="0" collapsed="false">
      <c r="A49" s="13" t="n">
        <v>1</v>
      </c>
      <c r="B49" s="1" t="n">
        <f aca="false">Изделия3!A49</f>
        <v>10</v>
      </c>
      <c r="C49" s="13" t="str">
        <f aca="false">Изделия3!B49</f>
        <v>ВН-22-К5(а)-1</v>
      </c>
      <c r="D49" s="13" t="n">
        <v>1</v>
      </c>
    </row>
    <row r="50" customFormat="false" ht="12.8" hidden="false" customHeight="false" outlineLevel="0" collapsed="false">
      <c r="A50" s="13" t="n">
        <v>1</v>
      </c>
      <c r="B50" s="1" t="n">
        <f aca="false">Изделия3!A50</f>
        <v>9</v>
      </c>
      <c r="C50" s="13" t="str">
        <f aca="false">Изделия3!B50</f>
        <v>ВН-23-К5(а)-1</v>
      </c>
      <c r="D50" s="13" t="n">
        <v>1</v>
      </c>
    </row>
    <row r="51" customFormat="false" ht="12.8" hidden="false" customHeight="false" outlineLevel="0" collapsed="false">
      <c r="A51" s="13" t="n">
        <v>1</v>
      </c>
      <c r="B51" s="1" t="n">
        <f aca="false">Изделия3!A51</f>
        <v>8</v>
      </c>
      <c r="C51" s="13" t="str">
        <f aca="false">Изделия3!B51</f>
        <v>ВН-22-К5(а)-1</v>
      </c>
      <c r="D51" s="13" t="n">
        <v>1</v>
      </c>
    </row>
    <row r="52" customFormat="false" ht="12.8" hidden="false" customHeight="false" outlineLevel="0" collapsed="false">
      <c r="A52" s="13" t="n">
        <v>1</v>
      </c>
      <c r="B52" s="1" t="n">
        <f aca="false">Изделия3!A52</f>
        <v>7</v>
      </c>
      <c r="C52" s="13" t="str">
        <f aca="false">Изделия3!B52</f>
        <v>ВН-23-К5(а)-1</v>
      </c>
      <c r="D52" s="13" t="n">
        <v>1</v>
      </c>
    </row>
    <row r="53" customFormat="false" ht="12.8" hidden="false" customHeight="false" outlineLevel="0" collapsed="false">
      <c r="A53" s="13" t="n">
        <v>1</v>
      </c>
      <c r="B53" s="1" t="n">
        <f aca="false">Изделия3!A53</f>
        <v>6</v>
      </c>
      <c r="C53" s="13" t="str">
        <f aca="false">Изделия3!B53</f>
        <v>ВН-22-К5(а)-1</v>
      </c>
      <c r="D53" s="13" t="n">
        <v>1</v>
      </c>
    </row>
    <row r="54" customFormat="false" ht="12.8" hidden="false" customHeight="false" outlineLevel="0" collapsed="false">
      <c r="A54" s="13" t="n">
        <v>1</v>
      </c>
      <c r="B54" s="1" t="n">
        <f aca="false">Изделия3!A54</f>
        <v>5</v>
      </c>
      <c r="C54" s="13" t="str">
        <f aca="false">Изделия3!B54</f>
        <v>ВН-23-К5(а)-1</v>
      </c>
      <c r="D54" s="13" t="n">
        <v>1</v>
      </c>
    </row>
    <row r="55" customFormat="false" ht="12.8" hidden="false" customHeight="false" outlineLevel="0" collapsed="false">
      <c r="A55" s="13" t="n">
        <v>1</v>
      </c>
      <c r="B55" s="1" t="n">
        <f aca="false">Изделия3!A55</f>
        <v>4</v>
      </c>
      <c r="C55" s="13" t="str">
        <f aca="false">Изделия3!B55</f>
        <v>ВН-22-К5(а)-1</v>
      </c>
      <c r="D55" s="13" t="n">
        <v>1</v>
      </c>
    </row>
    <row r="56" customFormat="false" ht="12.8" hidden="false" customHeight="false" outlineLevel="0" collapsed="false">
      <c r="A56" s="13" t="n">
        <v>1</v>
      </c>
      <c r="B56" s="1" t="n">
        <f aca="false">Изделия3!A56</f>
        <v>3</v>
      </c>
      <c r="C56" s="13" t="str">
        <f aca="false">Изделия3!B56</f>
        <v>ВН-23-К5(а)-1</v>
      </c>
      <c r="D56" s="13" t="n">
        <v>1</v>
      </c>
    </row>
    <row r="57" customFormat="false" ht="12.8" hidden="false" customHeight="false" outlineLevel="0" collapsed="false">
      <c r="A57" s="13" t="n">
        <v>1</v>
      </c>
      <c r="B57" s="1" t="n">
        <f aca="false">Изделия3!A57</f>
        <v>2</v>
      </c>
      <c r="C57" s="13" t="str">
        <f aca="false">Изделия3!B57</f>
        <v>ВН-22-К5(а)-1</v>
      </c>
      <c r="D57" s="13" t="n">
        <v>1</v>
      </c>
    </row>
  </sheetData>
  <sheetProtection sheet="true" objects="true" scenarios="true"/>
  <autoFilter ref="A1:D5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3" width="15.72"/>
    <col collapsed="false" customWidth="true" hidden="false" outlineLevel="0" max="2" min="2" style="13" width="19.62"/>
  </cols>
  <sheetData>
    <row r="1" customFormat="false" ht="12.8" hidden="false" customHeight="false" outlineLevel="0" collapsed="false">
      <c r="A1" s="55" t="s">
        <v>88</v>
      </c>
      <c r="B1" s="56" t="s">
        <v>97</v>
      </c>
    </row>
    <row r="2" customFormat="false" ht="12.8" hidden="false" customHeight="false" outlineLevel="0" collapsed="false">
      <c r="A2" s="57" t="s">
        <v>84</v>
      </c>
      <c r="B2" s="58" t="n">
        <v>14</v>
      </c>
    </row>
    <row r="3" customFormat="false" ht="12.8" hidden="false" customHeight="false" outlineLevel="0" collapsed="false">
      <c r="A3" s="59" t="s">
        <v>81</v>
      </c>
      <c r="B3" s="60" t="n">
        <v>14</v>
      </c>
    </row>
    <row r="4" customFormat="false" ht="12.8" hidden="false" customHeight="false" outlineLevel="0" collapsed="false">
      <c r="A4" s="59" t="s">
        <v>85</v>
      </c>
      <c r="B4" s="60" t="n">
        <v>12</v>
      </c>
    </row>
    <row r="5" customFormat="false" ht="12.8" hidden="false" customHeight="false" outlineLevel="0" collapsed="false">
      <c r="A5" s="59" t="s">
        <v>86</v>
      </c>
      <c r="B5" s="60" t="n">
        <v>1</v>
      </c>
    </row>
    <row r="6" customFormat="false" ht="12.8" hidden="false" customHeight="false" outlineLevel="0" collapsed="false">
      <c r="A6" s="59" t="s">
        <v>82</v>
      </c>
      <c r="B6" s="60" t="n">
        <v>13</v>
      </c>
    </row>
    <row r="7" customFormat="false" ht="12.8" hidden="false" customHeight="false" outlineLevel="0" collapsed="false">
      <c r="A7" s="59" t="s">
        <v>83</v>
      </c>
      <c r="B7" s="60" t="n">
        <v>1</v>
      </c>
    </row>
    <row r="8" customFormat="false" ht="12.8" hidden="false" customHeight="false" outlineLevel="0" collapsed="false">
      <c r="A8" s="59" t="s">
        <v>80</v>
      </c>
      <c r="B8" s="61" t="n">
        <v>1</v>
      </c>
    </row>
    <row r="9" customFormat="false" ht="12.8" hidden="false" customHeight="false" outlineLevel="0" collapsed="false">
      <c r="A9" s="62" t="s">
        <v>98</v>
      </c>
      <c r="B9" s="63" t="n">
        <v>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T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5" activeCellId="0" sqref="J1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4" style="1" width="20.54"/>
    <col collapsed="false" customWidth="false" hidden="false" outlineLevel="0" max="5" min="5" style="1" width="11.53"/>
    <col collapsed="false" customWidth="true" hidden="false" outlineLevel="0" max="6" min="6" style="1" width="14.98"/>
    <col collapsed="false" customWidth="false" hidden="false" outlineLevel="0" max="7" min="7" style="1" width="11.53"/>
    <col collapsed="false" customWidth="true" hidden="false" outlineLevel="0" max="8" min="8" style="1" width="17.76"/>
    <col collapsed="false" customWidth="false" hidden="false" outlineLevel="0" max="10" min="9" style="1" width="11.53"/>
    <col collapsed="false" customWidth="false" hidden="false" outlineLevel="0" max="11" min="11" style="13" width="11.53"/>
    <col collapsed="false" customWidth="true" hidden="false" outlineLevel="0" max="12" min="12" style="13" width="13.27"/>
    <col collapsed="false" customWidth="true" hidden="false" outlineLevel="0" max="14" min="14" style="13" width="17.76"/>
    <col collapsed="false" customWidth="true" hidden="false" outlineLevel="0" max="20" min="20" style="13" width="14.87"/>
  </cols>
  <sheetData>
    <row r="1" customFormat="false" ht="12.8" hidden="false" customHeight="false" outlineLevel="0" collapsed="false">
      <c r="B1" s="64" t="s">
        <v>99</v>
      </c>
      <c r="D1" s="64" t="s">
        <v>65</v>
      </c>
      <c r="E1" s="65"/>
      <c r="F1" s="64" t="s">
        <v>66</v>
      </c>
      <c r="G1" s="65"/>
      <c r="H1" s="64" t="s">
        <v>67</v>
      </c>
      <c r="I1" s="65"/>
      <c r="J1" s="54" t="s">
        <v>68</v>
      </c>
      <c r="L1" s="64" t="s">
        <v>100</v>
      </c>
      <c r="N1" s="64" t="s">
        <v>101</v>
      </c>
      <c r="P1" s="64" t="s">
        <v>102</v>
      </c>
      <c r="R1" s="64" t="s">
        <v>68</v>
      </c>
      <c r="T1" s="64" t="s">
        <v>103</v>
      </c>
    </row>
    <row r="2" customFormat="false" ht="12.8" hidden="false" customHeight="false" outlineLevel="0" collapsed="false">
      <c r="B2" s="13" t="s">
        <v>29</v>
      </c>
      <c r="D2" s="14" t="s">
        <v>104</v>
      </c>
      <c r="E2" s="14"/>
      <c r="F2" s="14" t="s">
        <v>105</v>
      </c>
      <c r="G2" s="14"/>
      <c r="H2" s="66" t="s">
        <v>106</v>
      </c>
      <c r="I2" s="14"/>
      <c r="J2" s="14" t="s">
        <v>49</v>
      </c>
      <c r="L2" s="13" t="s">
        <v>107</v>
      </c>
      <c r="N2" s="13" t="s">
        <v>79</v>
      </c>
      <c r="P2" s="13" t="s">
        <v>102</v>
      </c>
      <c r="R2" s="13" t="s">
        <v>52</v>
      </c>
      <c r="T2" s="13" t="s">
        <v>108</v>
      </c>
    </row>
    <row r="3" customFormat="false" ht="12.8" hidden="false" customHeight="false" outlineLevel="0" collapsed="false">
      <c r="B3" s="13" t="s">
        <v>24</v>
      </c>
      <c r="D3" s="14" t="s">
        <v>109</v>
      </c>
      <c r="E3" s="14"/>
      <c r="F3" s="14" t="s">
        <v>110</v>
      </c>
      <c r="G3" s="14"/>
      <c r="H3" s="13" t="s">
        <v>111</v>
      </c>
      <c r="I3" s="14"/>
      <c r="J3" s="14" t="s">
        <v>52</v>
      </c>
      <c r="L3" s="13" t="s">
        <v>112</v>
      </c>
      <c r="N3" s="13" t="s">
        <v>39</v>
      </c>
      <c r="R3" s="13" t="s">
        <v>55</v>
      </c>
      <c r="T3" s="13" t="s">
        <v>113</v>
      </c>
    </row>
    <row r="4" customFormat="false" ht="12.8" hidden="false" customHeight="false" outlineLevel="0" collapsed="false">
      <c r="B4" s="13" t="s">
        <v>40</v>
      </c>
      <c r="D4" s="14" t="s">
        <v>17</v>
      </c>
      <c r="E4" s="14"/>
      <c r="F4" s="14" t="s">
        <v>34</v>
      </c>
      <c r="G4" s="14"/>
      <c r="H4" s="66" t="s">
        <v>37</v>
      </c>
      <c r="I4" s="14"/>
      <c r="J4" s="14" t="s">
        <v>55</v>
      </c>
      <c r="L4" s="13" t="s">
        <v>114</v>
      </c>
      <c r="N4" s="13" t="s">
        <v>42</v>
      </c>
      <c r="R4" s="13" t="s">
        <v>49</v>
      </c>
      <c r="T4" s="13" t="s">
        <v>115</v>
      </c>
    </row>
    <row r="5" customFormat="false" ht="12.8" hidden="false" customHeight="false" outlineLevel="0" collapsed="false">
      <c r="B5" s="13" t="s">
        <v>28</v>
      </c>
      <c r="D5" s="14" t="s">
        <v>116</v>
      </c>
      <c r="E5" s="14"/>
      <c r="F5" s="14" t="s">
        <v>117</v>
      </c>
      <c r="G5" s="14"/>
      <c r="H5" s="66" t="s">
        <v>118</v>
      </c>
      <c r="I5" s="14"/>
      <c r="J5" s="14" t="s">
        <v>51</v>
      </c>
      <c r="L5" s="13" t="s">
        <v>119</v>
      </c>
      <c r="N5" s="13" t="s">
        <v>120</v>
      </c>
      <c r="R5" s="13" t="s">
        <v>121</v>
      </c>
      <c r="T5" s="13" t="s">
        <v>122</v>
      </c>
    </row>
    <row r="6" customFormat="false" ht="12.8" hidden="false" customHeight="false" outlineLevel="0" collapsed="false">
      <c r="D6" s="14" t="s">
        <v>123</v>
      </c>
      <c r="E6" s="14"/>
      <c r="F6" s="14" t="s">
        <v>124</v>
      </c>
      <c r="G6" s="14"/>
      <c r="H6" s="13"/>
      <c r="I6" s="14"/>
      <c r="J6" s="14" t="s">
        <v>121</v>
      </c>
      <c r="L6" s="13" t="s">
        <v>125</v>
      </c>
      <c r="N6" s="13" t="s">
        <v>126</v>
      </c>
      <c r="R6" s="13" t="s">
        <v>48</v>
      </c>
      <c r="T6" s="13" t="s">
        <v>127</v>
      </c>
    </row>
    <row r="7" customFormat="false" ht="12.8" hidden="false" customHeight="false" outlineLevel="0" collapsed="false">
      <c r="B7" s="13" t="s">
        <v>41</v>
      </c>
      <c r="D7" s="14" t="s">
        <v>128</v>
      </c>
      <c r="E7" s="14"/>
      <c r="F7" s="14" t="s">
        <v>129</v>
      </c>
      <c r="G7" s="14"/>
      <c r="H7" s="66" t="s">
        <v>130</v>
      </c>
      <c r="I7" s="14"/>
      <c r="J7" s="14" t="s">
        <v>48</v>
      </c>
      <c r="L7" s="13" t="s">
        <v>131</v>
      </c>
      <c r="N7" s="13" t="s">
        <v>132</v>
      </c>
      <c r="R7" s="13" t="s">
        <v>51</v>
      </c>
    </row>
    <row r="8" customFormat="false" ht="12.8" hidden="false" customHeight="false" outlineLevel="0" collapsed="false">
      <c r="B8" s="13" t="s">
        <v>26</v>
      </c>
      <c r="D8" s="14" t="s">
        <v>22</v>
      </c>
      <c r="E8" s="14"/>
      <c r="F8" s="13"/>
      <c r="G8" s="14"/>
      <c r="H8" s="66" t="s">
        <v>133</v>
      </c>
      <c r="I8" s="14"/>
      <c r="J8" s="1" t="s">
        <v>50</v>
      </c>
      <c r="L8" s="13" t="s">
        <v>134</v>
      </c>
      <c r="N8" s="13" t="s">
        <v>135</v>
      </c>
      <c r="T8" s="13" t="s">
        <v>43</v>
      </c>
    </row>
    <row r="9" customFormat="false" ht="12.8" hidden="false" customHeight="false" outlineLevel="0" collapsed="false">
      <c r="B9" s="13" t="s">
        <v>27</v>
      </c>
      <c r="D9" s="14" t="s">
        <v>136</v>
      </c>
      <c r="E9" s="14"/>
      <c r="F9" s="13"/>
      <c r="G9" s="14"/>
      <c r="H9" s="66" t="s">
        <v>137</v>
      </c>
      <c r="I9" s="14"/>
      <c r="J9" s="14" t="s">
        <v>56</v>
      </c>
      <c r="L9" s="13" t="s">
        <v>138</v>
      </c>
      <c r="N9" s="13" t="s">
        <v>139</v>
      </c>
      <c r="T9" s="13" t="s">
        <v>140</v>
      </c>
    </row>
    <row r="10" customFormat="false" ht="12.8" hidden="false" customHeight="false" outlineLevel="0" collapsed="false">
      <c r="B10" s="13" t="s">
        <v>30</v>
      </c>
      <c r="D10" s="14" t="s">
        <v>141</v>
      </c>
      <c r="E10" s="14"/>
      <c r="F10" s="14" t="s">
        <v>142</v>
      </c>
      <c r="G10" s="14"/>
      <c r="H10" s="14"/>
      <c r="I10" s="14"/>
      <c r="J10" s="14" t="s">
        <v>143</v>
      </c>
    </row>
    <row r="11" customFormat="false" ht="12.8" hidden="false" customHeight="false" outlineLevel="0" collapsed="false">
      <c r="B11" s="13" t="s">
        <v>144</v>
      </c>
      <c r="D11" s="14" t="s">
        <v>145</v>
      </c>
      <c r="E11" s="6"/>
      <c r="F11" s="14" t="s">
        <v>146</v>
      </c>
      <c r="G11" s="6"/>
      <c r="H11" s="6"/>
      <c r="I11" s="6"/>
      <c r="J11" s="14" t="s">
        <v>54</v>
      </c>
    </row>
    <row r="12" customFormat="false" ht="12.8" hidden="false" customHeight="false" outlineLevel="0" collapsed="false">
      <c r="B12" s="13" t="s">
        <v>31</v>
      </c>
      <c r="D12" s="14" t="s">
        <v>147</v>
      </c>
      <c r="E12" s="14"/>
      <c r="F12" s="14" t="s">
        <v>148</v>
      </c>
      <c r="G12" s="14"/>
      <c r="H12" s="14"/>
      <c r="I12" s="14"/>
      <c r="J12" s="14" t="s">
        <v>149</v>
      </c>
    </row>
    <row r="13" customFormat="false" ht="12.8" hidden="false" customHeight="false" outlineLevel="0" collapsed="false">
      <c r="D13" s="14" t="s">
        <v>150</v>
      </c>
      <c r="E13" s="14"/>
      <c r="F13" s="14" t="s">
        <v>151</v>
      </c>
      <c r="G13" s="14"/>
      <c r="H13" s="14"/>
      <c r="I13" s="14"/>
      <c r="J13" s="14" t="s">
        <v>152</v>
      </c>
    </row>
    <row r="14" customFormat="false" ht="12.8" hidden="false" customHeight="false" outlineLevel="0" collapsed="false">
      <c r="B14" s="13" t="s">
        <v>25</v>
      </c>
      <c r="D14" s="14" t="s">
        <v>153</v>
      </c>
      <c r="E14" s="14"/>
      <c r="F14" s="13"/>
      <c r="G14" s="14"/>
      <c r="H14" s="14"/>
      <c r="I14" s="14"/>
      <c r="J14" s="14" t="s">
        <v>154</v>
      </c>
    </row>
    <row r="15" customFormat="false" ht="12.8" hidden="false" customHeight="false" outlineLevel="0" collapsed="false">
      <c r="B15" s="13" t="s">
        <v>32</v>
      </c>
      <c r="D15" s="14" t="s">
        <v>155</v>
      </c>
      <c r="E15" s="14"/>
      <c r="F15" s="14" t="s">
        <v>41</v>
      </c>
      <c r="G15" s="14"/>
      <c r="H15" s="14"/>
      <c r="I15" s="14"/>
      <c r="J15" s="14"/>
    </row>
    <row r="16" customFormat="false" ht="12.8" hidden="false" customHeight="false" outlineLevel="0" collapsed="false">
      <c r="B16" s="13" t="s">
        <v>33</v>
      </c>
      <c r="D16" s="13"/>
      <c r="E16" s="6"/>
      <c r="F16" s="6"/>
      <c r="G16" s="6"/>
      <c r="H16" s="6"/>
      <c r="I16" s="6"/>
      <c r="J16" s="6"/>
    </row>
    <row r="17" customFormat="false" ht="12.8" hidden="false" customHeight="false" outlineLevel="0" collapsed="false">
      <c r="B17" s="13" t="s">
        <v>156</v>
      </c>
      <c r="D17" s="14" t="s">
        <v>41</v>
      </c>
      <c r="E17" s="6"/>
      <c r="F17" s="6"/>
      <c r="G17" s="6"/>
      <c r="H17" s="6"/>
      <c r="I17" s="6"/>
      <c r="J17" s="6"/>
    </row>
    <row r="18" customFormat="false" ht="12.8" hidden="false" customHeight="true" outlineLevel="0" collapsed="false">
      <c r="B18" s="13" t="s">
        <v>157</v>
      </c>
      <c r="D18" s="14" t="s">
        <v>158</v>
      </c>
      <c r="E18" s="14"/>
      <c r="F18" s="14"/>
      <c r="G18" s="14"/>
      <c r="H18" s="14"/>
      <c r="I18" s="14"/>
      <c r="J18" s="14"/>
    </row>
    <row r="19" customFormat="false" ht="12.8" hidden="false" customHeight="true" outlineLevel="0" collapsed="false">
      <c r="B19" s="13" t="s">
        <v>41</v>
      </c>
      <c r="D19" s="13"/>
      <c r="E19" s="14"/>
      <c r="F19" s="14"/>
      <c r="G19" s="14"/>
      <c r="H19" s="14"/>
      <c r="I19" s="14"/>
      <c r="J19" s="14"/>
    </row>
    <row r="20" customFormat="false" ht="12.8" hidden="false" customHeight="true" outlineLevel="0" collapsed="false">
      <c r="B20" s="13" t="s">
        <v>159</v>
      </c>
      <c r="D20" s="13"/>
      <c r="E20" s="14"/>
      <c r="F20" s="14"/>
      <c r="G20" s="14"/>
      <c r="H20" s="14"/>
      <c r="I20" s="14"/>
      <c r="J20" s="14"/>
    </row>
    <row r="21" customFormat="false" ht="12.8" hidden="false" customHeight="true" outlineLevel="0" collapsed="false">
      <c r="B21" s="13" t="s">
        <v>23</v>
      </c>
      <c r="D21" s="13"/>
      <c r="E21" s="14"/>
      <c r="F21" s="14"/>
      <c r="G21" s="14"/>
      <c r="H21" s="14"/>
      <c r="I21" s="14"/>
      <c r="J21" s="14"/>
    </row>
    <row r="22" customFormat="false" ht="12.8" hidden="false" customHeight="true" outlineLevel="0" collapsed="false">
      <c r="B22" s="13" t="s">
        <v>160</v>
      </c>
      <c r="D22" s="13"/>
      <c r="E22" s="14"/>
      <c r="F22" s="14"/>
      <c r="G22" s="14"/>
      <c r="H22" s="14"/>
      <c r="I22" s="14"/>
      <c r="J22" s="14"/>
    </row>
    <row r="23" customFormat="false" ht="12.8" hidden="false" customHeight="true" outlineLevel="0" collapsed="false">
      <c r="B23" s="13" t="s">
        <v>161</v>
      </c>
      <c r="D23" s="13"/>
      <c r="E23" s="14"/>
      <c r="F23" s="14"/>
      <c r="G23" s="14"/>
      <c r="H23" s="14"/>
      <c r="I23" s="14"/>
      <c r="J23" s="14"/>
    </row>
    <row r="24" customFormat="false" ht="12.8" hidden="false" customHeight="true" outlineLevel="0" collapsed="false">
      <c r="B24" s="13" t="s">
        <v>162</v>
      </c>
      <c r="D24" s="13"/>
      <c r="E24" s="14"/>
      <c r="F24" s="14"/>
      <c r="G24" s="14"/>
      <c r="H24" s="14"/>
      <c r="I24" s="14"/>
      <c r="J24" s="14"/>
    </row>
    <row r="25" customFormat="false" ht="12.8" hidden="false" customHeight="true" outlineLevel="0" collapsed="false">
      <c r="D25" s="13"/>
      <c r="E25" s="14"/>
      <c r="F25" s="14"/>
      <c r="G25" s="14"/>
      <c r="H25" s="14"/>
      <c r="I25" s="14"/>
      <c r="J25" s="14"/>
    </row>
    <row r="26" customFormat="false" ht="12.8" hidden="false" customHeight="true" outlineLevel="0" collapsed="false">
      <c r="D26" s="13"/>
      <c r="E26" s="14"/>
      <c r="F26" s="14"/>
      <c r="G26" s="14"/>
      <c r="H26" s="14"/>
      <c r="I26" s="14"/>
      <c r="J26" s="14"/>
    </row>
    <row r="27" customFormat="false" ht="12.8" hidden="false" customHeight="true" outlineLevel="0" collapsed="false">
      <c r="D27" s="13"/>
      <c r="E27" s="13"/>
      <c r="F27" s="13"/>
      <c r="G27" s="13"/>
      <c r="H27" s="13"/>
      <c r="I27" s="13"/>
      <c r="J27" s="13"/>
    </row>
    <row r="28" customFormat="false" ht="12.8" hidden="false" customHeight="true" outlineLevel="0" collapsed="false">
      <c r="D28" s="13"/>
      <c r="E28" s="13"/>
      <c r="F28" s="13"/>
      <c r="G28" s="13"/>
      <c r="H28" s="13"/>
      <c r="I28" s="13"/>
      <c r="J28" s="13"/>
    </row>
    <row r="29" customFormat="false" ht="12.8" hidden="false" customHeight="true" outlineLevel="0" collapsed="false">
      <c r="D29" s="13"/>
      <c r="E29" s="13"/>
      <c r="F29" s="13"/>
      <c r="G29" s="13"/>
      <c r="H29" s="13"/>
      <c r="I29" s="13"/>
      <c r="J29" s="13"/>
    </row>
    <row r="30" customFormat="false" ht="12.8" hidden="false" customHeight="true" outlineLevel="0" collapsed="false">
      <c r="D30" s="13"/>
      <c r="E30" s="13"/>
      <c r="F30" s="13"/>
      <c r="G30" s="13"/>
      <c r="H30" s="13"/>
      <c r="I30" s="13"/>
      <c r="J30" s="13"/>
    </row>
    <row r="31" customFormat="false" ht="12.8" hidden="false" customHeight="true" outlineLevel="0" collapsed="false">
      <c r="D31" s="13"/>
      <c r="E31" s="13"/>
      <c r="F31" s="13"/>
      <c r="G31" s="13"/>
      <c r="H31" s="13"/>
      <c r="I31" s="13"/>
      <c r="J31" s="13"/>
    </row>
    <row r="32" customFormat="false" ht="12.8" hidden="false" customHeight="true" outlineLevel="0" collapsed="false">
      <c r="D32" s="13"/>
      <c r="E32" s="13"/>
      <c r="F32" s="13"/>
      <c r="G32" s="13"/>
      <c r="H32" s="13"/>
      <c r="I32" s="13"/>
      <c r="J32" s="13"/>
    </row>
    <row r="35" customFormat="false" ht="12.8" hidden="false" customHeight="true" outlineLevel="0" collapsed="false">
      <c r="D35" s="14"/>
      <c r="E35" s="14"/>
      <c r="F35" s="14"/>
      <c r="G35" s="14"/>
      <c r="H35" s="14"/>
      <c r="I35" s="14"/>
      <c r="J35" s="14"/>
    </row>
    <row r="36" customFormat="false" ht="12.8" hidden="false" customHeight="true" outlineLevel="0" collapsed="false">
      <c r="D36" s="14"/>
      <c r="E36" s="14"/>
      <c r="F36" s="14"/>
      <c r="G36" s="14"/>
      <c r="H36" s="14"/>
      <c r="I36" s="14"/>
      <c r="J36" s="14"/>
    </row>
    <row r="37" customFormat="false" ht="12.8" hidden="false" customHeight="true" outlineLevel="0" collapsed="false">
      <c r="D37" s="14"/>
      <c r="E37" s="14"/>
      <c r="F37" s="14"/>
      <c r="G37" s="14"/>
      <c r="H37" s="14"/>
      <c r="I37" s="14"/>
      <c r="J37" s="14"/>
    </row>
    <row r="38" customFormat="false" ht="12.8" hidden="false" customHeight="true" outlineLevel="0" collapsed="false">
      <c r="D38" s="14"/>
      <c r="E38" s="14"/>
      <c r="F38" s="14"/>
      <c r="G38" s="14"/>
      <c r="H38" s="14"/>
      <c r="I38" s="14"/>
      <c r="J38" s="14"/>
    </row>
    <row r="39" customFormat="false" ht="12.8" hidden="false" customHeight="true" outlineLevel="0" collapsed="false">
      <c r="D39" s="14"/>
      <c r="E39" s="14"/>
      <c r="F39" s="14"/>
      <c r="G39" s="14"/>
      <c r="H39" s="14"/>
      <c r="I39" s="14"/>
      <c r="J39" s="14"/>
    </row>
    <row r="40" customFormat="false" ht="12.8" hidden="false" customHeight="true" outlineLevel="0" collapsed="false">
      <c r="D40" s="14"/>
      <c r="E40" s="14"/>
      <c r="F40" s="14"/>
      <c r="G40" s="14"/>
      <c r="H40" s="14"/>
      <c r="I40" s="14"/>
      <c r="J40" s="14"/>
    </row>
    <row r="41" customFormat="false" ht="12.8" hidden="false" customHeight="true" outlineLevel="0" collapsed="false">
      <c r="D41" s="14"/>
      <c r="E41" s="14"/>
      <c r="F41" s="14"/>
      <c r="G41" s="14"/>
      <c r="H41" s="14"/>
      <c r="I41" s="14"/>
      <c r="J41" s="1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6839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2025-11-16T23:15:15Z</dcterms:created>
  <dc:creator/>
  <dc:description/>
  <dc:language>ru-RU</dc:language>
  <cp:lastModifiedBy/>
  <dcterms:modified xsi:type="dcterms:W3CDTF">2026-03-19T18:52:27Z</dcterms:modified>
  <cp:revision>177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