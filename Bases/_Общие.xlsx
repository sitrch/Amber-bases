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8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Подсчёт листов" sheetId="1" state="visible" r:id="rId3"/>
    <sheet name="Плоскости" sheetId="2" state="visible" r:id="rId4"/>
    <sheet name="Открывания" sheetId="3" state="visible" r:id="rId5"/>
    <sheet name="Группы этажей" sheetId="4" state="visible" r:id="rId6"/>
    <sheet name="Группы этажей_2" sheetId="5" state="visible" r:id="rId7"/>
    <sheet name="Изделия" sheetId="6" state="visible" r:id="rId8"/>
    <sheet name="Видимость" sheetId="7" state="visible" r:id="rId9"/>
    <sheet name="Заполнения" sheetId="8" state="visible" r:id="rId10"/>
    <sheet name="ПроставкиЗаполнений" sheetId="9" state="visible" r:id="rId11"/>
    <sheet name="Скрипты" sheetId="10" state="visible" r:id="rId12"/>
    <sheet name="Лист10" sheetId="11" state="visible" r:id="rId13"/>
    <sheet name="Сводная таблица_Лист10_2" sheetId="12" state="visible" r:id="rId14"/>
    <sheet name="Сводная таблица_Лист10_1" sheetId="13" state="visible" r:id="rId15"/>
    <sheet name="Лист13" sheetId="14" state="visible" r:id="rId16"/>
    <sheet name="ЧОК" sheetId="15" state="visible" r:id="rId17"/>
    <sheet name="Обновил" sheetId="16" state="visible" r:id="rId18"/>
    <sheet name="Площадь" sheetId="17" state="visible" r:id="rId19"/>
  </sheets>
  <definedNames>
    <definedName function="false" hidden="true" localSheetId="10" name="_xlnm._FilterDatabase" vbProcedure="false">Лист10!$A$1:$J$875</definedName>
    <definedName function="false" hidden="true" localSheetId="2" name="_xlnm._FilterDatabase" vbProcedure="false">Открывания!$A$1:$F$113</definedName>
    <definedName function="false" hidden="true" localSheetId="8" name="_xlnm._FilterDatabase" vbProcedure="false">ПроставкиЗаполнений!$A$1:$L$43</definedName>
    <definedName function="false" hidden="true" localSheetId="11" name="_xlnm._FilterDatabase" vbProcedure="false">'Сводная таблица_Лист10_2'!$A:$C</definedName>
  </definedNames>
  <calcPr iterateCount="100" refMode="A1" iterate="false" iterateDelta="0.001"/>
  <pivotCaches>
    <pivotCache cacheId="1" r:id="rId21"/>
    <pivotCache cacheId="2" r:id="rId22"/>
  </pivotCaches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C14" authorId="0">
      <text>
        <r>
          <rPr>
            <sz val="10"/>
            <rFont val="Arial"/>
            <family val="2"/>
            <charset val="204"/>
          </rPr>
          <t xml:space="preserve">На сечении 44 мм</t>
        </r>
      </text>
    </comment>
  </commentList>
</comments>
</file>

<file path=xl/sharedStrings.xml><?xml version="1.0" encoding="utf-8"?>
<sst xmlns="http://schemas.openxmlformats.org/spreadsheetml/2006/main" count="8791" uniqueCount="819">
  <si>
    <t xml:space="preserve">Плоскость</t>
  </si>
  <si>
    <t xml:space="preserve">Этаж</t>
  </si>
  <si>
    <t xml:space="preserve">Листов_Чертёж</t>
  </si>
  <si>
    <t xml:space="preserve">Листов_Заказ</t>
  </si>
  <si>
    <t xml:space="preserve">Листов_Отгрузка</t>
  </si>
  <si>
    <t xml:space="preserve">Отступить</t>
  </si>
  <si>
    <t xml:space="preserve">(5-1)-(5-6)</t>
  </si>
  <si>
    <t xml:space="preserve">(5-6)-(5-1)</t>
  </si>
  <si>
    <t xml:space="preserve">(5-А)-(5-Л)</t>
  </si>
  <si>
    <t xml:space="preserve">(5-Л)-(5-А)</t>
  </si>
  <si>
    <t xml:space="preserve">РядовСтоек</t>
  </si>
  <si>
    <t xml:space="preserve">НижнийЭтаж</t>
  </si>
  <si>
    <t xml:space="preserve">ВерхнийЭтаж</t>
  </si>
  <si>
    <t xml:space="preserve">РядовРигелейФасада</t>
  </si>
  <si>
    <t xml:space="preserve">dbРядыСтоек</t>
  </si>
  <si>
    <t xml:space="preserve">dbРядыЗаполнений</t>
  </si>
  <si>
    <t xml:space="preserve">dbРядыРигелей</t>
  </si>
  <si>
    <t xml:space="preserve">dbРядыКреплений</t>
  </si>
  <si>
    <t xml:space="preserve">dbРядыОпор</t>
  </si>
  <si>
    <t xml:space="preserve">dbГраницыИзделий</t>
  </si>
  <si>
    <t xml:space="preserve">dbИзделия</t>
  </si>
  <si>
    <t xml:space="preserve">РядыСтоек1</t>
  </si>
  <si>
    <t xml:space="preserve">РядыЗаполнений1</t>
  </si>
  <si>
    <t xml:space="preserve">РядыРигелей1</t>
  </si>
  <si>
    <t xml:space="preserve">РядыКреплений1</t>
  </si>
  <si>
    <t xml:space="preserve">РядыОпор1</t>
  </si>
  <si>
    <t xml:space="preserve">ГраницыИзделий1</t>
  </si>
  <si>
    <t xml:space="preserve">Изделия1</t>
  </si>
  <si>
    <t xml:space="preserve">РядыСтоек2</t>
  </si>
  <si>
    <t xml:space="preserve">РядыЗаполнений2</t>
  </si>
  <si>
    <t xml:space="preserve">РядыРигелей2</t>
  </si>
  <si>
    <t xml:space="preserve">РядыКреплений2</t>
  </si>
  <si>
    <t xml:space="preserve">РядыОпор2</t>
  </si>
  <si>
    <t xml:space="preserve">ГраницыИзделий2</t>
  </si>
  <si>
    <t xml:space="preserve">Изделия2</t>
  </si>
  <si>
    <t xml:space="preserve">РядыСтоек3</t>
  </si>
  <si>
    <t xml:space="preserve">РядыЗаполнений3</t>
  </si>
  <si>
    <t xml:space="preserve">РядыРигелей3</t>
  </si>
  <si>
    <t xml:space="preserve">РядыКреплений3</t>
  </si>
  <si>
    <t xml:space="preserve">РядыОпор3</t>
  </si>
  <si>
    <t xml:space="preserve">ГраницыИзделий3</t>
  </si>
  <si>
    <t xml:space="preserve">Изделия3</t>
  </si>
  <si>
    <t xml:space="preserve">РядыСтоек4</t>
  </si>
  <si>
    <t xml:space="preserve">РядыЗаполнений4</t>
  </si>
  <si>
    <t xml:space="preserve">РядыРигелей4</t>
  </si>
  <si>
    <t xml:space="preserve">РядыКреплений4</t>
  </si>
  <si>
    <t xml:space="preserve">РядыОпор4</t>
  </si>
  <si>
    <t xml:space="preserve">ГраницыИзделий4</t>
  </si>
  <si>
    <t xml:space="preserve">Изделия4</t>
  </si>
  <si>
    <t xml:space="preserve">ТипОткрыванияИзнутри</t>
  </si>
  <si>
    <t xml:space="preserve">ВысотаРучки</t>
  </si>
  <si>
    <t xml:space="preserve">чётный</t>
  </si>
  <si>
    <t xml:space="preserve">лев</t>
  </si>
  <si>
    <t xml:space="preserve">прав</t>
  </si>
  <si>
    <t xml:space="preserve">Лист</t>
  </si>
  <si>
    <t xml:space="preserve">Листов</t>
  </si>
  <si>
    <t xml:space="preserve">Изделие</t>
  </si>
  <si>
    <t xml:space="preserve">Количество</t>
  </si>
  <si>
    <t xml:space="preserve">Замена</t>
  </si>
  <si>
    <t xml:space="preserve">МнЧисло</t>
  </si>
  <si>
    <t xml:space="preserve">Чертёж</t>
  </si>
  <si>
    <t xml:space="preserve">Этаж2</t>
  </si>
  <si>
    <t xml:space="preserve">этаж</t>
  </si>
  <si>
    <t xml:space="preserve">Этаж3</t>
  </si>
  <si>
    <t xml:space="preserve">Нечётные 3,5,…,17,21,…,37,41,…,55</t>
  </si>
  <si>
    <t xml:space="preserve">этажи</t>
  </si>
  <si>
    <t xml:space="preserve">Этаж4</t>
  </si>
  <si>
    <t xml:space="preserve">Чётные 4,6,…,18,22,…,38,42,…,56</t>
  </si>
  <si>
    <t xml:space="preserve">Этаж19</t>
  </si>
  <si>
    <t xml:space="preserve">19,39</t>
  </si>
  <si>
    <t xml:space="preserve">Этаж20</t>
  </si>
  <si>
    <t xml:space="preserve">Этаж40</t>
  </si>
  <si>
    <t xml:space="preserve">Этаж57</t>
  </si>
  <si>
    <t xml:space="preserve">20,40</t>
  </si>
  <si>
    <t xml:space="preserve">ВН-22-К5(а)-1</t>
  </si>
  <si>
    <t xml:space="preserve">Чётные 2,4,…,28</t>
  </si>
  <si>
    <t xml:space="preserve">ВН-23-К5(а)-1</t>
  </si>
  <si>
    <t xml:space="preserve">Нечётные 3,5,…,17,21,…,29</t>
  </si>
  <si>
    <t xml:space="preserve">ВН-23-К5(а)-2</t>
  </si>
  <si>
    <t xml:space="preserve">ВН-23-К5(б)-1</t>
  </si>
  <si>
    <t xml:space="preserve">Нечётные 29,31,…,37,41,…,55</t>
  </si>
  <si>
    <t xml:space="preserve">ВН-22-К5(б)-1</t>
  </si>
  <si>
    <t xml:space="preserve">Чётные 30,32,…,56</t>
  </si>
  <si>
    <t xml:space="preserve">ВН-23-К5(б)-2</t>
  </si>
  <si>
    <t xml:space="preserve">ВН-24-К5(б)-1</t>
  </si>
  <si>
    <t xml:space="preserve">ВН-01-К5(а)-1</t>
  </si>
  <si>
    <t xml:space="preserve">ВН-02-К5(а)-1</t>
  </si>
  <si>
    <t xml:space="preserve">ВН-02-К5(а)-2</t>
  </si>
  <si>
    <t xml:space="preserve">ВН-02-К5(б)-1 </t>
  </si>
  <si>
    <t xml:space="preserve">ВН-01-К5(б)-1</t>
  </si>
  <si>
    <t xml:space="preserve">ВН-02-К5(б)-2</t>
  </si>
  <si>
    <t xml:space="preserve">ВН-03-К5(б)-1</t>
  </si>
  <si>
    <t xml:space="preserve">Страница</t>
  </si>
  <si>
    <t xml:space="preserve">Страниц</t>
  </si>
  <si>
    <t xml:space="preserve">ФайлШаблона</t>
  </si>
  <si>
    <t xml:space="preserve">Файл</t>
  </si>
  <si>
    <t xml:space="preserve">Файл_DWG</t>
  </si>
  <si>
    <t xml:space="preserve">Этаж.grb</t>
  </si>
  <si>
    <t xml:space="preserve">нечётные 3,5,…,17,21,…,37,41,…,55</t>
  </si>
  <si>
    <t xml:space="preserve">чётные 4,6,…,18,22,…,38,42,…,56</t>
  </si>
  <si>
    <t xml:space="preserve">Изделие3.grb</t>
  </si>
  <si>
    <t xml:space="preserve">Изделие4.grb</t>
  </si>
  <si>
    <t xml:space="preserve">пп</t>
  </si>
  <si>
    <t xml:space="preserve">Кол-во</t>
  </si>
  <si>
    <t xml:space="preserve">ВН-25-К5(а)-1</t>
  </si>
  <si>
    <t xml:space="preserve">Изделие.grb</t>
  </si>
  <si>
    <t xml:space="preserve">ВН-25-К5(а)-2</t>
  </si>
  <si>
    <t xml:space="preserve">ВН-26-К5(а)-1</t>
  </si>
  <si>
    <t xml:space="preserve">ВН-26-К5(а)-2</t>
  </si>
  <si>
    <t xml:space="preserve">ВН-27-К5(а) </t>
  </si>
  <si>
    <t xml:space="preserve">ВН-28-К5(а) </t>
  </si>
  <si>
    <t xml:space="preserve">ВН-29-К5(а) </t>
  </si>
  <si>
    <t xml:space="preserve">ВН-30-К5(а) </t>
  </si>
  <si>
    <t xml:space="preserve">ВН-31-К5(а) </t>
  </si>
  <si>
    <t xml:space="preserve">ВН-32-К5(а) </t>
  </si>
  <si>
    <t xml:space="preserve">ВН-33-К5(а) </t>
  </si>
  <si>
    <t xml:space="preserve">ВН-34-К5(а) </t>
  </si>
  <si>
    <t xml:space="preserve">ВН-35-К5(а) </t>
  </si>
  <si>
    <t xml:space="preserve">ВН-36-К5(а) </t>
  </si>
  <si>
    <t xml:space="preserve">ВН-37-К5(а) </t>
  </si>
  <si>
    <t xml:space="preserve">ВН-38-К5(а) </t>
  </si>
  <si>
    <t xml:space="preserve">ВН-39-К5(а) </t>
  </si>
  <si>
    <t xml:space="preserve">ВН-40-К5(а) </t>
  </si>
  <si>
    <t xml:space="preserve">ВН-41-К5(а) </t>
  </si>
  <si>
    <t xml:space="preserve">ВН-42-К5(а) </t>
  </si>
  <si>
    <t xml:space="preserve">ВН-43-К5(а) </t>
  </si>
  <si>
    <t xml:space="preserve">ВН-44-К5(а) </t>
  </si>
  <si>
    <t xml:space="preserve">ВН-45-К5(а) </t>
  </si>
  <si>
    <t xml:space="preserve">ВН-46-К5(а) </t>
  </si>
  <si>
    <t xml:space="preserve">ВН-47-К5(а) </t>
  </si>
  <si>
    <t xml:space="preserve">ВН-48-К5(а) </t>
  </si>
  <si>
    <t xml:space="preserve">ВН-49-К5(а) </t>
  </si>
  <si>
    <t xml:space="preserve">ВН-50-К5(а) </t>
  </si>
  <si>
    <t xml:space="preserve">ВН-51-К5(а) </t>
  </si>
  <si>
    <t xml:space="preserve">ВН-52-К5(а) </t>
  </si>
  <si>
    <t xml:space="preserve">ВН-53-К5(а) </t>
  </si>
  <si>
    <t xml:space="preserve">ВН-54-К5(а) </t>
  </si>
  <si>
    <t xml:space="preserve">ВН-55-К5(а) </t>
  </si>
  <si>
    <t xml:space="preserve">ВН-56-К5(а) </t>
  </si>
  <si>
    <t xml:space="preserve">ВН-57-К5(а) </t>
  </si>
  <si>
    <t xml:space="preserve">ВН-58-К5(а) </t>
  </si>
  <si>
    <t xml:space="preserve">ВН-50-К5(а) -к1</t>
  </si>
  <si>
    <t xml:space="preserve">ВН-04-К5(а)-1</t>
  </si>
  <si>
    <t xml:space="preserve">ВН-04-К5(а)-2</t>
  </si>
  <si>
    <t xml:space="preserve">ВН-05-К5(а)-1</t>
  </si>
  <si>
    <t xml:space="preserve">ВН-05-К5(а)-2</t>
  </si>
  <si>
    <t xml:space="preserve">ВН-06-К5(а)</t>
  </si>
  <si>
    <t xml:space="preserve">ВН-07-К5(а)-1</t>
  </si>
  <si>
    <t xml:space="preserve">ВН-07-К5(а)-2</t>
  </si>
  <si>
    <t xml:space="preserve">ВН-08-К5(а)-1</t>
  </si>
  <si>
    <t xml:space="preserve">ВН-08-К5(а)-2</t>
  </si>
  <si>
    <t xml:space="preserve">ВН-09-К5(а)</t>
  </si>
  <si>
    <t xml:space="preserve">ВН-10-К5(а)-1</t>
  </si>
  <si>
    <t xml:space="preserve">ВН-10-К5(а)-2</t>
  </si>
  <si>
    <t xml:space="preserve">ВН-11-К5(а)-1</t>
  </si>
  <si>
    <t xml:space="preserve">ВН-11-К5(а)-2</t>
  </si>
  <si>
    <t xml:space="preserve">ВН-12-К5(а)</t>
  </si>
  <si>
    <t xml:space="preserve">ВН-13-К5(а)-1</t>
  </si>
  <si>
    <t xml:space="preserve">ВН-13-К5(а)-2</t>
  </si>
  <si>
    <t xml:space="preserve">ВН-14-К5(а)-1</t>
  </si>
  <si>
    <t xml:space="preserve">ВН-14-К5(а)-2</t>
  </si>
  <si>
    <t xml:space="preserve">ВН-15-К5(а)</t>
  </si>
  <si>
    <t xml:space="preserve">ВН-16-К5(а)-1</t>
  </si>
  <si>
    <t xml:space="preserve">ВН-16-К5(а)-2</t>
  </si>
  <si>
    <t xml:space="preserve">ВН-17-К5(а)-1</t>
  </si>
  <si>
    <t xml:space="preserve">ВН-17-К5(а)-2</t>
  </si>
  <si>
    <t xml:space="preserve">ВН-18-К5(а)</t>
  </si>
  <si>
    <t xml:space="preserve">ВН-19-К5(а)-1</t>
  </si>
  <si>
    <t xml:space="preserve">ВН-19-К5(а)-2</t>
  </si>
  <si>
    <t xml:space="preserve">ВН-20-К5(а)-1</t>
  </si>
  <si>
    <t xml:space="preserve">ВН-20-К5(а)-2</t>
  </si>
  <si>
    <t xml:space="preserve">ВН-21-К5(а)</t>
  </si>
  <si>
    <t xml:space="preserve">Вид</t>
  </si>
  <si>
    <t xml:space="preserve">СкрытьТермомосты</t>
  </si>
  <si>
    <t xml:space="preserve">СкрытьКрышкиПрижимы</t>
  </si>
  <si>
    <t xml:space="preserve">СкрытьЗаполнения</t>
  </si>
  <si>
    <t xml:space="preserve">СкрытьСухарьСтойки</t>
  </si>
  <si>
    <t xml:space="preserve">СкрытьОбозначенияЗаполнений</t>
  </si>
  <si>
    <t xml:space="preserve">СкрытьОбозначенияНаборов</t>
  </si>
  <si>
    <t xml:space="preserve">СкрытьОбозначенияКрепленийРигеля</t>
  </si>
  <si>
    <t xml:space="preserve">СкрытьОбозначенияОпор</t>
  </si>
  <si>
    <t xml:space="preserve">СкрытьПодписиТермомостов</t>
  </si>
  <si>
    <t xml:space="preserve">СкрытьПодписиКрышекСтойки</t>
  </si>
  <si>
    <t xml:space="preserve">СкрытьПодписиПрижимовСтойки</t>
  </si>
  <si>
    <t xml:space="preserve">СкрытьОбозначенияРигеля</t>
  </si>
  <si>
    <t xml:space="preserve">СкрытьПодписиКрышекРигеля</t>
  </si>
  <si>
    <t xml:space="preserve">СкрытьПодписиПрижимовРигеля</t>
  </si>
  <si>
    <t xml:space="preserve">Заполнения</t>
  </si>
  <si>
    <t xml:space="preserve">Каркас</t>
  </si>
  <si>
    <t xml:space="preserve">Монтаж</t>
  </si>
  <si>
    <t xml:space="preserve">Тип </t>
  </si>
  <si>
    <t xml:space="preserve">Заполнение</t>
  </si>
  <si>
    <t xml:space="preserve">Размер</t>
  </si>
  <si>
    <t xml:space="preserve">РазмерНабора</t>
  </si>
  <si>
    <t xml:space="preserve">ЗаполнениеИзделия</t>
  </si>
  <si>
    <t xml:space="preserve">Цвет</t>
  </si>
  <si>
    <t xml:space="preserve">1а</t>
  </si>
  <si>
    <t xml:space="preserve">1б</t>
  </si>
  <si>
    <t xml:space="preserve">3а</t>
  </si>
  <si>
    <t xml:space="preserve">3б</t>
  </si>
  <si>
    <t xml:space="preserve">5а</t>
  </si>
  <si>
    <t xml:space="preserve">5б</t>
  </si>
  <si>
    <t xml:space="preserve">6а</t>
  </si>
  <si>
    <t xml:space="preserve">6б</t>
  </si>
  <si>
    <t xml:space="preserve">Тип 8</t>
  </si>
  <si>
    <t xml:space="preserve">7б</t>
  </si>
  <si>
    <t xml:space="preserve">Тип 10</t>
  </si>
  <si>
    <t xml:space="preserve">ВС</t>
  </si>
  <si>
    <t xml:space="preserve">СН</t>
  </si>
  <si>
    <t xml:space="preserve">Лист 2 мм</t>
  </si>
  <si>
    <t xml:space="preserve">Лист 1 мм</t>
  </si>
  <si>
    <t xml:space="preserve">ОК-1</t>
  </si>
  <si>
    <t xml:space="preserve">6а2</t>
  </si>
  <si>
    <t xml:space="preserve">ОК-1.1</t>
  </si>
  <si>
    <t xml:space="preserve">Лист Бок</t>
  </si>
  <si>
    <t xml:space="preserve">Лист Верх/Низ</t>
  </si>
  <si>
    <t xml:space="preserve">НВС</t>
  </si>
  <si>
    <t xml:space="preserve">ПП</t>
  </si>
  <si>
    <t xml:space="preserve">ТипЗаполнения</t>
  </si>
  <si>
    <t xml:space="preserve">Наименование</t>
  </si>
  <si>
    <t xml:space="preserve">ТипНабора</t>
  </si>
  <si>
    <t xml:space="preserve">УплотнительПодПроставку</t>
  </si>
  <si>
    <t xml:space="preserve">AL1</t>
  </si>
  <si>
    <t xml:space="preserve">PL1</t>
  </si>
  <si>
    <t xml:space="preserve">PL2</t>
  </si>
  <si>
    <t xml:space="preserve">PL3</t>
  </si>
  <si>
    <t xml:space="preserve">Уплотнитель</t>
  </si>
  <si>
    <t xml:space="preserve">Винты1</t>
  </si>
  <si>
    <t xml:space="preserve">Винты2</t>
  </si>
  <si>
    <t xml:space="preserve">ДляФиксации</t>
  </si>
  <si>
    <t xml:space="preserve">Набор стойки</t>
  </si>
  <si>
    <t xml:space="preserve">Набор ригеля</t>
  </si>
  <si>
    <t xml:space="preserve">FRK17</t>
  </si>
  <si>
    <t xml:space="preserve">FRK14</t>
  </si>
  <si>
    <t xml:space="preserve">FRK200</t>
  </si>
  <si>
    <t xml:space="preserve">F50.0701</t>
  </si>
  <si>
    <t xml:space="preserve">ВС 3,9х16 A2 ISO14586</t>
  </si>
  <si>
    <t xml:space="preserve">FRK18</t>
  </si>
  <si>
    <t xml:space="preserve">F50.0702</t>
  </si>
  <si>
    <t xml:space="preserve">FRK199</t>
  </si>
  <si>
    <t xml:space="preserve">FRK19</t>
  </si>
  <si>
    <t xml:space="preserve">F50.0704</t>
  </si>
  <si>
    <t xml:space="preserve">FRK15</t>
  </si>
  <si>
    <t xml:space="preserve">ВС 3,9х32 A2 ISO14586</t>
  </si>
  <si>
    <t xml:space="preserve">F50.0703 </t>
  </si>
  <si>
    <t xml:space="preserve">F50.0903-01</t>
  </si>
  <si>
    <t xml:space="preserve">ВС 3,9х38 A2 ISO14586</t>
  </si>
  <si>
    <t xml:space="preserve">F50.0902-01</t>
  </si>
  <si>
    <t xml:space="preserve">F50.0901-01</t>
  </si>
  <si>
    <t xml:space="preserve">ВС 3,9х50 A2 ISO14586</t>
  </si>
  <si>
    <t xml:space="preserve">ВС 3,9х45 A2 ISO14586</t>
  </si>
  <si>
    <t xml:space="preserve">ВС 3,9х25 A2 ISO14586</t>
  </si>
  <si>
    <t xml:space="preserve">FRK16</t>
  </si>
  <si>
    <t xml:space="preserve">F50.0703</t>
  </si>
  <si>
    <t xml:space="preserve">F50.1933</t>
  </si>
  <si>
    <t xml:space="preserve">ВС 3,9х70 A2 ISO14586</t>
  </si>
  <si>
    <t xml:space="preserve">ВС 3,9х75 A2 ISO14586</t>
  </si>
  <si>
    <t xml:space="preserve">Уменьшить страницу до A2</t>
  </si>
  <si>
    <t xml:space="preserve">gswin64c -sDEVICE=pdfwrite -dCompatibilityLevel=1.4 -dNOPAUSE -dQUIET -dBATCH -dPDFFitPage -sOutputFile=output.pdf -dDEVICEWIDTHPOINTS=1191 -dDEVICEHEIGHTPOINTS=1684 -dFixedMedia input.pdf </t>
  </si>
  <si>
    <t xml:space="preserve">вписать по ширине</t>
  </si>
  <si>
    <t xml:space="preserve">gswin64c -sDEVICE=pdfwrite -dCompatibilityLevel=1.4 -dNOPAUSE -dQUIET -dBATCH -dPDFFitPage -dFixedMedia -dDEVICEWIDTHPOINTS=1191 -dDEVICEHEIGHTPOINTS=10000 -sOutputFile=output.pdf input.pdf </t>
  </si>
  <si>
    <t xml:space="preserve">fit</t>
  </si>
  <si>
    <t xml:space="preserve">gswin64c -sDEVICE=pdfwrite -dPDFFitPage -sPAPERSIZE=a2 -dFIXEDMEDIA -o output.pdf input.pdf </t>
  </si>
  <si>
    <t xml:space="preserve">+$ </t>
  </si>
  <si>
    <t xml:space="preserve">Удалить пробелы в конце</t>
  </si>
  <si>
    <t xml:space="preserve">Стойка</t>
  </si>
  <si>
    <t xml:space="preserve">ЗапЛев</t>
  </si>
  <si>
    <t xml:space="preserve">ЗапПрав</t>
  </si>
  <si>
    <t xml:space="preserve">Высота</t>
  </si>
  <si>
    <t xml:space="preserve">Позиция</t>
  </si>
  <si>
    <t xml:space="preserve">Хэш</t>
  </si>
  <si>
    <t xml:space="preserve">Формула</t>
  </si>
  <si>
    <t xml:space="preserve">68fe1ada2a107e6b6e780adf9ba1f4d8022a8e42b6dd1e5ea6c8d80c9a4ef5bb</t>
  </si>
  <si>
    <t xml:space="preserve">b80cc47955fe639997963bec0d48505d3d867eade9eaa1015a41f45730e01b71</t>
  </si>
  <si>
    <t xml:space="preserve">6fcd56815d22dc3b159898badc45bad5f4f0ea614356922ae5f89f82ed55da38</t>
  </si>
  <si>
    <t xml:space="preserve">3e29b079b69c728af5e9c1fa90bb8c049a002b267c57626c49df19fcc643a1e9</t>
  </si>
  <si>
    <t xml:space="preserve">d2c9c34cc813d21d922075671956ddbc88c4ea7d5b82bae33dca82da0299a6a2</t>
  </si>
  <si>
    <t xml:space="preserve">0caf070fb0a3b9da279999ee189057aa07d0cb46920c3697f91a92426d83462b</t>
  </si>
  <si>
    <t xml:space="preserve">8090cd64f046681b693aec6938aa719dcbe1b6d86816e3856482db81fa2af575</t>
  </si>
  <si>
    <t xml:space="preserve">96d855cee385c0a2dcb57a81f065ccf48268a0e9d326ee82aee71c65dc803693</t>
  </si>
  <si>
    <t xml:space="preserve">ee51bad0d8a826282d38e2b2fafb0f4ec37e1adbd0c287cda6faa4c61070e824</t>
  </si>
  <si>
    <t xml:space="preserve">2ddb98a33f15a429588551d005266a92ac3215b8e5e8fa2ef7585835ecdfd9e2</t>
  </si>
  <si>
    <t xml:space="preserve">62f3bd3fc1dc5a9f97b6f3be10fe455ee85804e3554f5a6ec2aff6a7162d2cf2</t>
  </si>
  <si>
    <t xml:space="preserve">4ddd5fdf4bc6ee502479ffc3d44eff27de8c8f8cf117bf2480ffa0eb3804444d</t>
  </si>
  <si>
    <t xml:space="preserve">c4a01073dad8813d1b26ac22ef32e9168a0d0a682f4e01be7ab9814c09b686a2</t>
  </si>
  <si>
    <t xml:space="preserve">660e1e91d0eb09a406487cf27d1bff759d663715fa53b34f63993db3c795f3ad</t>
  </si>
  <si>
    <t xml:space="preserve">e5bfe8d63243a75e18152dfd89c742fd583b275a9ad06631afd452c052995b3f</t>
  </si>
  <si>
    <t xml:space="preserve">2c61aad1fce3565d4e8fce5e3abebc5d9b1af94cc5bd6be0c36af079c8d314ad</t>
  </si>
  <si>
    <t xml:space="preserve">37c34bd8cf4bc0a37ab6e9b0f56a833e7ec930b9dcf0291d27be643bf34164f3</t>
  </si>
  <si>
    <t xml:space="preserve">b834e5be6ebcd7443413e6076e09f99dafb8da6f30a4e6f0aba6405a805e0616</t>
  </si>
  <si>
    <t xml:space="preserve">cd30ad874beb18fa663f998b4321c5931be2163e361ed0b65c10853549cb3144</t>
  </si>
  <si>
    <t xml:space="preserve">160bf49f9cf913faad30c9dbd0c0756b5c8dc553a6cace25bf3f4fd6ce0ce79a</t>
  </si>
  <si>
    <t xml:space="preserve">41002164ef94575c7af5574ac1e7d21ad26d5dc0ba4a64ae4a06d0c0f6c321b3</t>
  </si>
  <si>
    <t xml:space="preserve">071ff40b0b74a93f789c990282f6c9a4203e383360c16cfc97b084273e337ede</t>
  </si>
  <si>
    <t xml:space="preserve">35656033cf485fb64d9a338e7a23b5e880580a2d4ee082ade2c49887feb731bc</t>
  </si>
  <si>
    <t xml:space="preserve">3bf41b16009df12981067d10ee9f6b5cd9a1880e362f48173c8c729622f2e387</t>
  </si>
  <si>
    <t xml:space="preserve">c2f46a27fc77813d8cdf032a9764f5d88afb6ec18fa004f512a3d9d92251f2ae</t>
  </si>
  <si>
    <t xml:space="preserve">a5e39eaa15b4cc7c249c8cbb6eae68dd6a4bd1e00632d19f3fc606e2b4e868ff</t>
  </si>
  <si>
    <t xml:space="preserve">9a105f1742f6db6977504699a847aaa0bbd9fe9a8c14832ded67c818f553d571</t>
  </si>
  <si>
    <t xml:space="preserve">4ef07ed7b365ffa62beabb2c4ee100bf1e6fdff3a4b72c4b278511aa86144639</t>
  </si>
  <si>
    <t xml:space="preserve">e30785aceac29db081278c54853383c7ebc0dc239aa72b5e6aa5d058c791be4a</t>
  </si>
  <si>
    <t xml:space="preserve">2b75bde25a65b9fb5dd2939f745b8aab0f824c7a100824d481a7c4e106cdee8e</t>
  </si>
  <si>
    <t xml:space="preserve">b88a538bac6a836f0b3b1748d2db3ba3c475de85210b98969924141341075bcc</t>
  </si>
  <si>
    <t xml:space="preserve">00e8a112f53793cef732f23461948db1a3a930c67f5dde1de7c9eaaca31c3d35</t>
  </si>
  <si>
    <t xml:space="preserve">0188c0eccdd5f082710988d45c8428a7982e1c9348d7962310aa38124e7814a4</t>
  </si>
  <si>
    <t xml:space="preserve">3b8951105f0dac5b85e9da92a9de07c6a3a643b22d06075d150c467207edef61</t>
  </si>
  <si>
    <t xml:space="preserve">a1b73ba9b5d5f46504ac0185622e0f0a41074ae8e46bdb625e032a74158e89ac</t>
  </si>
  <si>
    <t xml:space="preserve">080f6216f3bfa97cc89caa8283c6ad38604a5820e9b22d3548a037b821aa777b</t>
  </si>
  <si>
    <t xml:space="preserve">18d4912daa02143266e1e4f6a6bb67a15aa8ff04ffc8a961ccea1cd6fffb7512</t>
  </si>
  <si>
    <t xml:space="preserve">7558d11f705c9789f2ab81bd45098bb57b9bd7ab493ed846be633bdd5de1efd4</t>
  </si>
  <si>
    <t xml:space="preserve">12b8d7cb190313551b866f5843bea2931d6b70af0c88917ea4f4ae65e4939032</t>
  </si>
  <si>
    <t xml:space="preserve">6e15289123d40cbd1aa9d1a51d0e9ced79b6fb362ad6ba8f7b7904d8b3f50fdc</t>
  </si>
  <si>
    <t xml:space="preserve">d9ccb3e49e868829d09fb8e7bcd700ca487adaf88be51018056edf2e730f02ee</t>
  </si>
  <si>
    <t xml:space="preserve">f489596b82f7816584dfaaeb6b652161de3e0b55afcd12da6a80bed65a5a9597</t>
  </si>
  <si>
    <t xml:space="preserve">a6bd3f8da23f467c45723d67ec927dc9caee55215427346b8fcafbbe938ec57b</t>
  </si>
  <si>
    <t xml:space="preserve">c86d5c7de9e76f7baffdb8b75eb67d463d3cede5d5ba458e4190cce6d0e6cf52</t>
  </si>
  <si>
    <t xml:space="preserve">286ac56d1fd99afe745abb01c66fe07be37130d5ac77e632ab1e2638b01df491</t>
  </si>
  <si>
    <t xml:space="preserve">964468b3d515534951a4f11fe9bb1b265b796940769c85dfcd896bba5396e35a</t>
  </si>
  <si>
    <t xml:space="preserve">db565d69d85e629c35dbdbc3cd44746f5297ce3ef344efa960701dad8cc0bcdd</t>
  </si>
  <si>
    <t xml:space="preserve">90088dc9ccf2d419c26eb61d0518d57a7f2103de6663d80d52e4c662b622179e</t>
  </si>
  <si>
    <t xml:space="preserve">3c1e3e64a7d93dc3ed2540cb540e2a41416bb2e4dbae936b18a9eb66427e1c56</t>
  </si>
  <si>
    <t xml:space="preserve">b8f7f73d07b822c66b804d5c899b6f300c2644ee2801c076b4cb6fe04b080c13</t>
  </si>
  <si>
    <t xml:space="preserve">3e9f9cf9e0ec6878ef2a913c5de9c41de4ed37b070bb0b5683fa9e1c32baf49d</t>
  </si>
  <si>
    <t xml:space="preserve">d9cf774c036f292336ba4c48aefd68e973069a87be33aa7a893cc064e3a70708</t>
  </si>
  <si>
    <t xml:space="preserve">1c8651365d0342f5b0a789a3db946216cd96c717ab91a344bb763552dfabda33</t>
  </si>
  <si>
    <t xml:space="preserve">483e805ffc2230cd26b1bfc1a165c684036c560bb7ccb14dca4a771bd346101b</t>
  </si>
  <si>
    <t xml:space="preserve">4d7e8a8f0db50dbf7a97412dcb315ed0e0cd1f2abf8825e65913b58a2672a029</t>
  </si>
  <si>
    <t xml:space="preserve">cfde0d9e84230d90b5e5f5c1b541e7219f347fcf5a5801029906a96415fdbe8d</t>
  </si>
  <si>
    <t xml:space="preserve">1804e418dd6a2227424d83996e927555c68c2a47d52ed988eb4c0960b1a141c5</t>
  </si>
  <si>
    <t xml:space="preserve">398de1ef3bbf53be37b1b5ff0fc480cd79a6e1f712b6e87085610d6a5c0c9865</t>
  </si>
  <si>
    <t xml:space="preserve">e3cea6fdc6ecf00b8ee405d940019758adc70c6e859f25e08f34675129b7027b</t>
  </si>
  <si>
    <t xml:space="preserve">5f2ee0d2772dda8a55e51736003ea0feeaef3e721754b08b43469f9654f2e537</t>
  </si>
  <si>
    <t xml:space="preserve">8631e87446a933dafae4602c3a24ed4d5ddd7af97e3500633a1009ef1a3117ef</t>
  </si>
  <si>
    <t xml:space="preserve">37194e955d879b51309b6375b96551243558befaa5f11e90862d847fd528a495</t>
  </si>
  <si>
    <t xml:space="preserve">c6290a4c6c36d521c86a000cc3472511d78e5247c597e9164ebaaa7cbbe27a91</t>
  </si>
  <si>
    <t xml:space="preserve">7a318af88dd671c381bfe67d79cd184f74b15b29347c0f3b6fe548b1d256f011</t>
  </si>
  <si>
    <t xml:space="preserve">6eb6086996022c7005eb2fe02071321acd459604aa9918285381019bf24c3087</t>
  </si>
  <si>
    <t xml:space="preserve">9bdd22b0be6568fd28b61b32f1e96c91eada49fabc2818142321ac1bd6e4f3c6</t>
  </si>
  <si>
    <t xml:space="preserve">d8b04808c1fe8a2e5452c08cc7d8b5523595037ded47aa59224b36601d22cde9</t>
  </si>
  <si>
    <t xml:space="preserve">58bba4ecda8666664ce3b057bc63e7eb490ec9b2678663acfa9b1a4916b7d12e</t>
  </si>
  <si>
    <t xml:space="preserve">8a81f8dbd921c80de6ad5f03a94e66b9166d663e00baabd053f0cd452e028336</t>
  </si>
  <si>
    <t xml:space="preserve">9bd7c87431f0e96e357060a608372243583e71e71c3c04e5413f59f5e911c1e4</t>
  </si>
  <si>
    <t xml:space="preserve">4b50b9692e7362d1befe1c51ffda2dc826785c835227b70b16057eba88d33b98</t>
  </si>
  <si>
    <t xml:space="preserve">a5c779f949ad510acd771b9778b21ce357a3f5cdf224e5fcb5d864af92aaf639</t>
  </si>
  <si>
    <t xml:space="preserve">18ac8bd63729b54495c9d2ed4f73e71317e8d1714f92c57e96b3915640d86c95</t>
  </si>
  <si>
    <t xml:space="preserve">aaa157651d051afc2b8c00828e7c792563ea94ac3d375aafdc5719e312deefe8</t>
  </si>
  <si>
    <t xml:space="preserve">531b94050fedb047869e636a8a0e92dee46a6430e828942f1df195c614ecbfbd</t>
  </si>
  <si>
    <t xml:space="preserve">8ebdebce158cb2d5b2670d286938cde6d0c3ab6d245de11381660dd51c3ceb04</t>
  </si>
  <si>
    <t xml:space="preserve">6ef6d7504dcaa969db327a8f6225dac159bb0d7319fdea16c635901c9aacd0b7</t>
  </si>
  <si>
    <t xml:space="preserve">73bae56407ddb4d42f6b86315733e6ca423c5796c4ffd51988a475d7b5e077b3</t>
  </si>
  <si>
    <t xml:space="preserve">08ac0aa092a390a1c664826f8c6b79acff1fad10e6ccd21e7973d9bb55a9de4a</t>
  </si>
  <si>
    <t xml:space="preserve">cf4ae628a48821d62fcc6c27cc467ee2d27f3104971d3f66c96acb5c9c92140e</t>
  </si>
  <si>
    <t xml:space="preserve">3d25ce06dcbb4589e27e24c4d6df59193da22bb180c4ea601065761669814d91</t>
  </si>
  <si>
    <t xml:space="preserve">a574f495001d03c8351c351274008d14159a1190fe07e1d6adf67a37f5b161ac</t>
  </si>
  <si>
    <t xml:space="preserve">38ec03368c6b47bff8dbf0a8aa6e7afb71968db77546366155e91357f0275346</t>
  </si>
  <si>
    <t xml:space="preserve">756f87b834d73b7f9e70932d1d8a01711369616d652c08677a0cca9e183df22a</t>
  </si>
  <si>
    <t xml:space="preserve">40449bffcaeecef5e1882e802fd37557e3377c1a5c0c887781db8159c571c4cb</t>
  </si>
  <si>
    <t xml:space="preserve">014ae9bdf0facb907fa3d2543776d5b284c7d0f0450bba37433f4efd6e4c7f8d</t>
  </si>
  <si>
    <t xml:space="preserve">5edab27da590af44a6ea185b9ed3ec522b40f8559350330eab7f14159b12d007</t>
  </si>
  <si>
    <t xml:space="preserve">e8ffbdc7d30d0347093a07e3dfd03179320416c68a1edf216b38c32f1a4ab604</t>
  </si>
  <si>
    <t xml:space="preserve">664fdbc9c4c5b4215e951c3d3e309d2d5bbc03896f434a9538d443090e1b4db7</t>
  </si>
  <si>
    <t xml:space="preserve">831fd55ea70f59df70944c221957e6d9a03d0f7300aed7590436a426d104519b</t>
  </si>
  <si>
    <t xml:space="preserve">88c1919580587ef6099a20dfb97550a8b312463855b9b9db78419c6de92c5d23</t>
  </si>
  <si>
    <t xml:space="preserve">827363441374e0c0c5cef491c121718cb24efce00d464fde2343f92e15c9f599</t>
  </si>
  <si>
    <t xml:space="preserve">3c936e328636eac7c1c5cef3891949692ed6ca33d9894c12728f73e4a6e9feae</t>
  </si>
  <si>
    <t xml:space="preserve">b05f9819ec26d31b01dfc9454566452fc2178cdb8fa8c2d464a6bd57321e5b54</t>
  </si>
  <si>
    <t xml:space="preserve">ac963a105840acb802984b4657ec82189b32ed370c13095a950bf73daa737a48</t>
  </si>
  <si>
    <t xml:space="preserve">24bb594213916054e768d6e86ac881c73a1c0da39dbda6a2bbc856203f432c5a</t>
  </si>
  <si>
    <t xml:space="preserve">b219fa4babe19c9b745a4aa169ed6032a3a8db3a8a2ab61e473d540d1e6ecf21</t>
  </si>
  <si>
    <t xml:space="preserve">8e07a202a127e242f3e2507fa1452ea2778893dad27d7af7ca000292b57aefc6</t>
  </si>
  <si>
    <t xml:space="preserve">f121b63c8023da63ab36478177d2d683861dbf60deffd73136e29a2048842148</t>
  </si>
  <si>
    <t xml:space="preserve">486d83f75052e80f095466d32485831fce716c76b1c3f75618c48baa26977f1e</t>
  </si>
  <si>
    <t xml:space="preserve">404d8dcf1cf0a17aa9c67f5923b870c7e5f7d4c9121ce6a2a07dc4dad222cb1e</t>
  </si>
  <si>
    <t xml:space="preserve">22b2a5498d67137e14b4cb1d2942e48d4e650ab75008af5f37ee5dfa4b435aef</t>
  </si>
  <si>
    <t xml:space="preserve">5e9e8fe136d25e062bcbd6ff0a82d93c29f36781afb3887b48cb463645b2ab1d</t>
  </si>
  <si>
    <t xml:space="preserve">ba9770f8e6137fe3e72c5d369c0b1cf214132824627e8fcc687aaccfb0066698</t>
  </si>
  <si>
    <t xml:space="preserve">2f44952afe7b44a8a8cbc08a7829ebce275214d40a3932a3cb00442e48c382a0</t>
  </si>
  <si>
    <t xml:space="preserve">8b962d7067e40b1514148179a8ce2b23e0fd9ee2e177bc2bfda9891bf2d9138d</t>
  </si>
  <si>
    <t xml:space="preserve">4484e67f875a4e9d58c9ecada5496c4b3fde0df8dba03de4f5d4ca3fee36d63e</t>
  </si>
  <si>
    <t xml:space="preserve">27fa65fbf564140021532208b7e1e9c4a1f495eae07309dc1185468adf491fb4</t>
  </si>
  <si>
    <t xml:space="preserve">6e645ba9dec4efe58c536cfc5e767282f71c983b19a8f05ef2c19bac560cf599</t>
  </si>
  <si>
    <t xml:space="preserve">87cd406ebe3c153839d5548340ccea12f1f51aa11a5227242190fa70e4a4fb4f</t>
  </si>
  <si>
    <t xml:space="preserve">55c36b2ba5a6e67eda55b6732905505b5a833ce5c4f361639e5d604807c9710f</t>
  </si>
  <si>
    <t xml:space="preserve">d60262e1d2413a8dd8b7ca2366a6744356f96b99110ba87418bc51b433759994</t>
  </si>
  <si>
    <t xml:space="preserve">b6d36810547a5bcc0dfb653ad874503c687b2499f03cdd31a267385e9d9c39b1</t>
  </si>
  <si>
    <t xml:space="preserve">498eb537c7140d5f72be2e9b7d521fc29b2045c111bcbe0e981634211d3681df</t>
  </si>
  <si>
    <t xml:space="preserve">29ee2128a162528270ff6f62fdcf5299286f4a84df182fd1f2bedf8029ec4bd4</t>
  </si>
  <si>
    <t xml:space="preserve">8dd0263a8ee3443e94e55bec8c58296f3ec3398811035cd44908882056cad903</t>
  </si>
  <si>
    <t xml:space="preserve">0f57b28fc89cc4c4adfa5267fd5f6f0b5ac94dc9a649462caa3e6f9f2d89099f</t>
  </si>
  <si>
    <t xml:space="preserve">4f15b15352e4d0d0dc5af19591d446e17e2e4bffac4d51902945dfb53494ccab</t>
  </si>
  <si>
    <t xml:space="preserve">b142910eff5f97e86a2cadd1790c18d9fd27956baaff230edd99b13f7bc6bbd0</t>
  </si>
  <si>
    <t xml:space="preserve">cdd0bfec332d217094624e19e6b0611c6d8874de7ec35c67c57e9747d6a0a093</t>
  </si>
  <si>
    <t xml:space="preserve">31fee40e9b53651576fbccf2f9ef53022d85bd0c8805b0033013aabc8ec79ee7</t>
  </si>
  <si>
    <t xml:space="preserve">5a7f3d39ce1afc5a75758efc0ca792fa3ddcc0e970cbf64556173659d71b2e23</t>
  </si>
  <si>
    <t xml:space="preserve">b4df1baccf5ea6daa84615d0fe8d86ba767fb7182f38bfaa326b3fdb579ca0fb</t>
  </si>
  <si>
    <t xml:space="preserve">c2906d3c12d601295c2e59b996c00c8eb22f935062f79fad2e18a817722b0b48</t>
  </si>
  <si>
    <t xml:space="preserve">9fd11bd277273f0e632923403a78dc716cd8a61a70d4ecb407dba4fe6a92dd3b</t>
  </si>
  <si>
    <t xml:space="preserve">02112555734677b9f63d57bb17da05765a8c3a3ca46c7dd252916dd9c78cb539</t>
  </si>
  <si>
    <t xml:space="preserve">e78c76bf92ee58f4754858fe3af3de24736dde493b3f30acc84d18fd68499307</t>
  </si>
  <si>
    <t xml:space="preserve">a46cb6b7f51f4b398b0cf1d7a4e00cbd3f859ad39d545b04cd561ca51d4e6db1</t>
  </si>
  <si>
    <t xml:space="preserve">859952a7686b00bfef2f84d0955bfff4654605ea8e2f1c59c0e8623fb9ac007c</t>
  </si>
  <si>
    <t xml:space="preserve">22b18eb639767917825d59d9b134a68e4b7b3e60c56bfc625554219922c4baa4</t>
  </si>
  <si>
    <t xml:space="preserve">004b332d6efc246a106a9eba3c3bd2f067faa9c6e78cd184eab5700bb060ede7</t>
  </si>
  <si>
    <t xml:space="preserve">ace4891e0d1df1e508d136cf2e612e2e4ca5bfdfe20d658ca07ccdfb3622a485</t>
  </si>
  <si>
    <t xml:space="preserve">0a19198a8120598ac25f18f17d9ea924689bdd18a0e5beb7e0e749577fb7744c</t>
  </si>
  <si>
    <t xml:space="preserve">8bae290a4cef530c1f1f6522e71e158ccb1caf495d34053f4e0c2789a037ca05</t>
  </si>
  <si>
    <t xml:space="preserve">9518eeeeeb862711048a6bac964dcd4a5ab3a9fd5f63fa544f41a310e20266c3</t>
  </si>
  <si>
    <t xml:space="preserve">ce12e5ec16f69f46196eb4647dca7d498f1f74a8d105e65c062f32c268e78c25</t>
  </si>
  <si>
    <t xml:space="preserve">afc15774039e0d1155ef1bc22b53c5458554bbf6a62842155917b1092e4ab5de</t>
  </si>
  <si>
    <t xml:space="preserve">7d99b8c9f080af1497aacab86eacdc2ccd09230a6473dd0e97018764267db770</t>
  </si>
  <si>
    <t xml:space="preserve">e7a5dc41e7ab5ec2a35967417e65f21253f03043546e1c6523a63dd3bfa12e7a</t>
  </si>
  <si>
    <t xml:space="preserve">07cd3cc3ca184854660dade02bbf8bdc7dea9abbb9294fba3ba59ad9644ef558</t>
  </si>
  <si>
    <t xml:space="preserve">78f056da4ed2fa1151c8fe4b9af57bfd9bec6c045fa425266291b9288b11b8c6</t>
  </si>
  <si>
    <t xml:space="preserve">14de3af50b4d5b75003418e9d920c29b82eaef83ff5d026f5a5caa3fae97e7ed</t>
  </si>
  <si>
    <t xml:space="preserve">1a9c408fe5805c7970a6775af43e4dbba1c9c421980f92dc4ee94981684dcdd6</t>
  </si>
  <si>
    <t xml:space="preserve">a018f64718d6e7edc56bb50562612ca3367bf317b7990c87da407219f5c4d9ba</t>
  </si>
  <si>
    <t xml:space="preserve">e79ec359dbab97548781c950190917ee732e99291b5ba148e77143dc6bc76558</t>
  </si>
  <si>
    <t xml:space="preserve">cbf689a1d224d2a28eb4fdc0392cc33a99122f74cd93b9a8252c1f3f1a917b0a</t>
  </si>
  <si>
    <t xml:space="preserve">a828a99841ac276d14e393e9759920d16dfac43fd4aac45fa644d0962255b0ef</t>
  </si>
  <si>
    <t xml:space="preserve">121746a10aaa42ed76f08fb67546c7969a4c4be18cbf0d25af28ceb6e017ee87</t>
  </si>
  <si>
    <t xml:space="preserve">c0e413d52597795524f4eca81c05382be99db3ebb82dbe9eb9f8dcc0d70a274f</t>
  </si>
  <si>
    <t xml:space="preserve">9ed537e5d66f887420beb93de9f92ced8f70d7609104b3e84c3b6c3a1ef82586</t>
  </si>
  <si>
    <t xml:space="preserve">4d83324e93063d4fc9840c3c34acae541f4d8fa7acbdd0e8d15adeb395662c09</t>
  </si>
  <si>
    <t xml:space="preserve">6affcd33520b473bcfb36cf224f2e4921e2bed075ae239e7a5be672de3ea61f9</t>
  </si>
  <si>
    <t xml:space="preserve">a7b3c72742ee27f82d6b582d50657fa89fe2c94a6a6465d261d1e064f2505ae1</t>
  </si>
  <si>
    <t xml:space="preserve">177a92b90cca233cb58f8d4de3196d3bb6d59ce510cc9cbaf5e45ce6840c68b4</t>
  </si>
  <si>
    <t xml:space="preserve">ab42bf3705ce0f27cab5ebfec13e461bf36d350fc41befef64f6b9258c40ebc1</t>
  </si>
  <si>
    <t xml:space="preserve">539733a0fed1a23a03186997139fa14621584deee827ad7286cffffe2d9d8fab</t>
  </si>
  <si>
    <t xml:space="preserve">a2954690231a4e86dd8807b951384920d284254a649f5871f2d2254c02d609dc</t>
  </si>
  <si>
    <t xml:space="preserve">63a52e5998f2f1efa6adeb76e5711f978335b4b4f2ab6fe3f36a1c9e034953ec</t>
  </si>
  <si>
    <t xml:space="preserve">e0fc94b8dd72feb0874ddb47bf60fc5544fc087d46eabb11d8d6c422be92789e</t>
  </si>
  <si>
    <t xml:space="preserve">3a0b6af17b3850abd98daf84e21fe075a145c12c3f967d88b77ac20e2100ba00</t>
  </si>
  <si>
    <t xml:space="preserve">24527d94e3be1eca75f27be5c63d620d6d3cae07efcd0af9a2f8814a8afbef84</t>
  </si>
  <si>
    <t xml:space="preserve">ea7fe92a7be3309afc7d5a92c5ccde90fe465019dbf2c34e3ff606d997d810c3</t>
  </si>
  <si>
    <t xml:space="preserve">84d98eb79cf8991002b1237a089a3351393ce86acaa51eee170931e0d21e8ac1</t>
  </si>
  <si>
    <t xml:space="preserve">24fed4974616e84ee23b0044228cd7a720c5dbb0ae131dfa6d75f7e29caffac5</t>
  </si>
  <si>
    <t xml:space="preserve">653d14af2ee454399c1c655f080ab9df18ed3f00b0736f7e900630b7aafd49ea</t>
  </si>
  <si>
    <t xml:space="preserve">6f9a8e451336dd30b1911160ebb92318bd27a48c9629b42ccde7f43bb55c3a8a</t>
  </si>
  <si>
    <t xml:space="preserve">71c935b8216285ed62e870e4de7b2dd642a4deb3b5757725a562d5afb309d57e</t>
  </si>
  <si>
    <t xml:space="preserve">70de6b5d8fe5c0e04613aec59b8ca6eb7b880d70cb4c1355d0e7a6cb11c58940</t>
  </si>
  <si>
    <t xml:space="preserve">0be537ee89ebabe840276eb30dbac75702f84a1e80da21e03c98dab760758d7f</t>
  </si>
  <si>
    <t xml:space="preserve">6488fa385e3896d6f45aa581a58b77c57735536032d012aa0ed2588d977beb6d</t>
  </si>
  <si>
    <t xml:space="preserve">4897550b6ad56dfa61fc76d183365d94aa785c7adf451aea6bfc18ef825aeb40</t>
  </si>
  <si>
    <t xml:space="preserve">d3ce8e6ed77a5300cdb4faf36b11845071bc0d8b3970fa47ca6d0a4435b50211</t>
  </si>
  <si>
    <t xml:space="preserve">Сумма - Кол-во</t>
  </si>
  <si>
    <t xml:space="preserve">с3350 /</t>
  </si>
  <si>
    <t xml:space="preserve">с3350 1а/ВС</t>
  </si>
  <si>
    <t xml:space="preserve">с3350 1а/СН</t>
  </si>
  <si>
    <t xml:space="preserve">с3350 3а/ВС</t>
  </si>
  <si>
    <t xml:space="preserve">с3350 3а/ОК-1</t>
  </si>
  <si>
    <t xml:space="preserve">с3350 3а/СН</t>
  </si>
  <si>
    <t xml:space="preserve">с3350 3а/Тип 10</t>
  </si>
  <si>
    <t xml:space="preserve">с3350 3б/ОК-1.1</t>
  </si>
  <si>
    <t xml:space="preserve">с3350 3б/Тип 10</t>
  </si>
  <si>
    <t xml:space="preserve">с3350 5а/ВС</t>
  </si>
  <si>
    <t xml:space="preserve">с3350 5а/ОК-1</t>
  </si>
  <si>
    <t xml:space="preserve">с3350 5а/Тип 10</t>
  </si>
  <si>
    <t xml:space="preserve">с3350 5б/ОК-1.1</t>
  </si>
  <si>
    <t xml:space="preserve">с3350 5б/Тип 10</t>
  </si>
  <si>
    <t xml:space="preserve">с3350 6а/ОК-1</t>
  </si>
  <si>
    <t xml:space="preserve">с3350 6а/Тип 10</t>
  </si>
  <si>
    <t xml:space="preserve">с3350 6б/ОК-1.1</t>
  </si>
  <si>
    <t xml:space="preserve">с3350 6б/Тип 10</t>
  </si>
  <si>
    <t xml:space="preserve">с3350 ВС/1а</t>
  </si>
  <si>
    <t xml:space="preserve">с3350 ВС/3а</t>
  </si>
  <si>
    <t xml:space="preserve">с3350 ВС/5а</t>
  </si>
  <si>
    <t xml:space="preserve">с3350 ВС/СН</t>
  </si>
  <si>
    <t xml:space="preserve">с3350 ВС/Тип 10</t>
  </si>
  <si>
    <t xml:space="preserve">с3350 Лист 1 мм/Тип 10</t>
  </si>
  <si>
    <t xml:space="preserve">с3350 ОК-1.1/3б</t>
  </si>
  <si>
    <t xml:space="preserve">с3350 ОК-1.1/5б</t>
  </si>
  <si>
    <t xml:space="preserve">с3350 ОК-1.1/6б</t>
  </si>
  <si>
    <t xml:space="preserve">с3350 ОК-1.1/Тип 10</t>
  </si>
  <si>
    <t xml:space="preserve">с3350 ОК-1/3а</t>
  </si>
  <si>
    <t xml:space="preserve">с3350 ОК-1/5а</t>
  </si>
  <si>
    <t xml:space="preserve">с3350 ОК-1/6а</t>
  </si>
  <si>
    <t xml:space="preserve">с3350 ОК-1/Тип 10</t>
  </si>
  <si>
    <t xml:space="preserve">с3350 СН/1а</t>
  </si>
  <si>
    <t xml:space="preserve">с3350 СН/3а</t>
  </si>
  <si>
    <t xml:space="preserve">с3350 СН/ВС</t>
  </si>
  <si>
    <t xml:space="preserve">с3350 СН/Тип 10</t>
  </si>
  <si>
    <t xml:space="preserve">с3350 Тип 10/3а</t>
  </si>
  <si>
    <t xml:space="preserve">с3350 Тип 10/3б</t>
  </si>
  <si>
    <t xml:space="preserve">с3350 Тип 10/5а</t>
  </si>
  <si>
    <t xml:space="preserve">с3350 Тип 10/5б</t>
  </si>
  <si>
    <t xml:space="preserve">с3350 Тип 10/6а</t>
  </si>
  <si>
    <t xml:space="preserve">с3350 Тип 10/6б</t>
  </si>
  <si>
    <t xml:space="preserve">с3350 Тип 10/ВС</t>
  </si>
  <si>
    <t xml:space="preserve">с3350 Тип 10/Лист 1 мм</t>
  </si>
  <si>
    <t xml:space="preserve">с3350 Тип 10/ОК-1</t>
  </si>
  <si>
    <t xml:space="preserve">с3350 Тип 10/ОК-1.1</t>
  </si>
  <si>
    <t xml:space="preserve">с3350 Тип 10/СН</t>
  </si>
  <si>
    <t xml:space="preserve">с3510 /</t>
  </si>
  <si>
    <t xml:space="preserve">с3510 1а/СН</t>
  </si>
  <si>
    <t xml:space="preserve">с3510 3а/СН</t>
  </si>
  <si>
    <t xml:space="preserve">с3510 3а/Тип 10</t>
  </si>
  <si>
    <t xml:space="preserve">с3510 3б/Тип 10</t>
  </si>
  <si>
    <t xml:space="preserve">с3510 5а/ОК-1</t>
  </si>
  <si>
    <t xml:space="preserve">с3510 5а/Тип 10</t>
  </si>
  <si>
    <t xml:space="preserve">с3510 5б/ОК-1.1</t>
  </si>
  <si>
    <t xml:space="preserve">с3510 5б/Тип 10</t>
  </si>
  <si>
    <t xml:space="preserve">с3510 6а/Тип 10</t>
  </si>
  <si>
    <t xml:space="preserve">с3510 6б/Тип 10</t>
  </si>
  <si>
    <t xml:space="preserve">с3510 ВС/1а</t>
  </si>
  <si>
    <t xml:space="preserve">с3510 ВС/3а</t>
  </si>
  <si>
    <t xml:space="preserve">с3510 ВС/5а</t>
  </si>
  <si>
    <t xml:space="preserve">с3510 Лист 1 мм/Тип 10</t>
  </si>
  <si>
    <t xml:space="preserve">с3510 ОК-1.1/3б</t>
  </si>
  <si>
    <t xml:space="preserve">с3510 ОК-1.1/5б</t>
  </si>
  <si>
    <t xml:space="preserve">с3510 ОК-1.1/6б</t>
  </si>
  <si>
    <t xml:space="preserve">с3510 ОК-1.1/Тип 10</t>
  </si>
  <si>
    <t xml:space="preserve">с3510 ОК-1/3а</t>
  </si>
  <si>
    <t xml:space="preserve">с3510 ОК-1/5а</t>
  </si>
  <si>
    <t xml:space="preserve">с3510 ОК-1/6а</t>
  </si>
  <si>
    <t xml:space="preserve">с3510 ОК-1/Тип 10</t>
  </si>
  <si>
    <t xml:space="preserve">с3510 СН/ВС</t>
  </si>
  <si>
    <t xml:space="preserve">с3510 СН/Тип 10</t>
  </si>
  <si>
    <t xml:space="preserve">с3510 Тип 10/5а</t>
  </si>
  <si>
    <t xml:space="preserve">с3510 Тип 10/5б</t>
  </si>
  <si>
    <t xml:space="preserve">с3510 Тип 10/ВС</t>
  </si>
  <si>
    <t xml:space="preserve">с3510 Тип 10/Лист 1 мм</t>
  </si>
  <si>
    <t xml:space="preserve">с3510 Тип 10/ОК-1</t>
  </si>
  <si>
    <t xml:space="preserve">с3510 Тип 10/ОК-1.1</t>
  </si>
  <si>
    <t xml:space="preserve">с3510 Тип 10/СН</t>
  </si>
  <si>
    <t xml:space="preserve">с3770 1а/ВС</t>
  </si>
  <si>
    <t xml:space="preserve">с3770 3а/ВС</t>
  </si>
  <si>
    <t xml:space="preserve">с3770 5а/ВС</t>
  </si>
  <si>
    <t xml:space="preserve">с3770 ВС/СН</t>
  </si>
  <si>
    <t xml:space="preserve">с3770 ВС/Тип 10</t>
  </si>
  <si>
    <t xml:space="preserve">с3770 Лист 1 мм/Тип 10</t>
  </si>
  <si>
    <t xml:space="preserve">с3770 СН/1а</t>
  </si>
  <si>
    <t xml:space="preserve">с3770 СН/3а</t>
  </si>
  <si>
    <t xml:space="preserve">с3770 СН/Тип 10</t>
  </si>
  <si>
    <t xml:space="preserve">с3770 Тип 10/3а</t>
  </si>
  <si>
    <t xml:space="preserve">с3770 Тип 10/5а</t>
  </si>
  <si>
    <t xml:space="preserve">с3770 Тип 10/Лист 1 мм</t>
  </si>
  <si>
    <t xml:space="preserve">с3770 Тип 10/СН</t>
  </si>
  <si>
    <t xml:space="preserve">с3930 /</t>
  </si>
  <si>
    <t xml:space="preserve">с3930 1б/Тип 10</t>
  </si>
  <si>
    <t xml:space="preserve">с3930 3а/ВС</t>
  </si>
  <si>
    <t xml:space="preserve">с3930 3б/Тип 10</t>
  </si>
  <si>
    <t xml:space="preserve">с3930 5б/ОК-1.1</t>
  </si>
  <si>
    <t xml:space="preserve">с3930 5б/Тип 10</t>
  </si>
  <si>
    <t xml:space="preserve">с3930 6б/Тип 10</t>
  </si>
  <si>
    <t xml:space="preserve">с3930 ВС/СН</t>
  </si>
  <si>
    <t xml:space="preserve">с3930 ВС/Тип 10</t>
  </si>
  <si>
    <t xml:space="preserve">с3930 Лист 1 мм/Тип 10</t>
  </si>
  <si>
    <t xml:space="preserve">с3930 ОК-1.1/1б</t>
  </si>
  <si>
    <t xml:space="preserve">с3930 ОК-1.1/3б</t>
  </si>
  <si>
    <t xml:space="preserve">с3930 ОК-1.1/5б</t>
  </si>
  <si>
    <t xml:space="preserve">с3930 ОК-1.1/6б</t>
  </si>
  <si>
    <t xml:space="preserve">с3930 ОК-1.1/Тип 10</t>
  </si>
  <si>
    <t xml:space="preserve">с3930 СН/3а</t>
  </si>
  <si>
    <t xml:space="preserve">с3930 СН/Тип 10</t>
  </si>
  <si>
    <t xml:space="preserve">с3930 Тип 10/3а</t>
  </si>
  <si>
    <t xml:space="preserve">с3930 Тип 10/5б</t>
  </si>
  <si>
    <t xml:space="preserve">с3930 Тип 10/Лист 1 мм</t>
  </si>
  <si>
    <t xml:space="preserve">с3930 Тип 10/ОК-1.1</t>
  </si>
  <si>
    <t xml:space="preserve">с3930 Тип 10/СН</t>
  </si>
  <si>
    <t xml:space="preserve">с5360 1а/СН</t>
  </si>
  <si>
    <t xml:space="preserve">с5360 3а/СН</t>
  </si>
  <si>
    <t xml:space="preserve">с5360 3а/Тип 8</t>
  </si>
  <si>
    <t xml:space="preserve">с5360 5а/Тип 8</t>
  </si>
  <si>
    <t xml:space="preserve">с5360 ВС/1а</t>
  </si>
  <si>
    <t xml:space="preserve">с5360 ВС/3а</t>
  </si>
  <si>
    <t xml:space="preserve">с5360 ВС/5а</t>
  </si>
  <si>
    <t xml:space="preserve">с5360 Лист 1 мм/Тип 8</t>
  </si>
  <si>
    <t xml:space="preserve">с5360 СН/ВС</t>
  </si>
  <si>
    <t xml:space="preserve">с5360 СН/Тип 8</t>
  </si>
  <si>
    <t xml:space="preserve">с5360 Тип 8/ВС</t>
  </si>
  <si>
    <t xml:space="preserve">с5360 Тип 8/Лист 1 мм</t>
  </si>
  <si>
    <t xml:space="preserve">с5360 Тип 8/СН</t>
  </si>
  <si>
    <t xml:space="preserve">с3350 1а/ВС-1</t>
  </si>
  <si>
    <t xml:space="preserve">с3350 3а/ВС-1</t>
  </si>
  <si>
    <t xml:space="preserve">с3350 3а/ВС-2</t>
  </si>
  <si>
    <t xml:space="preserve">с3350 3а/Тип 10-1</t>
  </si>
  <si>
    <t xml:space="preserve">с3350 3б/ОК-1.1-1</t>
  </si>
  <si>
    <t xml:space="preserve">с3350 3б/Тип 10-1</t>
  </si>
  <si>
    <t xml:space="preserve">с3350 5а/ВС-1</t>
  </si>
  <si>
    <t xml:space="preserve">с3350 5а/ОК-1-1</t>
  </si>
  <si>
    <t xml:space="preserve">с3350 5а/Тип 10-1</t>
  </si>
  <si>
    <t xml:space="preserve">с3350 5б/ОК-1.1-1</t>
  </si>
  <si>
    <t xml:space="preserve">с3350 ВС/СН-1</t>
  </si>
  <si>
    <t xml:space="preserve">с3350 ВС/Тип 10-1</t>
  </si>
  <si>
    <t xml:space="preserve">с3350 Лист 1 мм/Тип 10-1</t>
  </si>
  <si>
    <t xml:space="preserve">с3350 ОК-1.1/3б-1</t>
  </si>
  <si>
    <t xml:space="preserve">с3350 ОК-1.1/3б-2</t>
  </si>
  <si>
    <t xml:space="preserve">с3350 ОК-1.1/5б-1</t>
  </si>
  <si>
    <t xml:space="preserve">с3350 ОК-1/3а-1</t>
  </si>
  <si>
    <t xml:space="preserve">с3350 ОК-1/5а-1</t>
  </si>
  <si>
    <t xml:space="preserve">с3350 СН/1а-1</t>
  </si>
  <si>
    <t xml:space="preserve">с3350 СН/3а-1</t>
  </si>
  <si>
    <t xml:space="preserve">с3350 СН/Тип 10-1</t>
  </si>
  <si>
    <t xml:space="preserve">с3350 Тип 10/3а-1</t>
  </si>
  <si>
    <t xml:space="preserve">с3350 Тип 10/3а-2</t>
  </si>
  <si>
    <t xml:space="preserve">с3350 Тип 10/3а-3</t>
  </si>
  <si>
    <t xml:space="preserve">с3350 Тип 10/3б-1</t>
  </si>
  <si>
    <t xml:space="preserve">с3350 Тип 10/5а-1</t>
  </si>
  <si>
    <t xml:space="preserve">с3350 Тип 10/5а-2</t>
  </si>
  <si>
    <t xml:space="preserve">с3350 Тип 10/Лист 1 мм-1</t>
  </si>
  <si>
    <t xml:space="preserve">с3350 Тип 10/СН-1</t>
  </si>
  <si>
    <t xml:space="preserve">с3510 3а/Тип 10-1</t>
  </si>
  <si>
    <t xml:space="preserve">с3510 3б/Тип 10-1</t>
  </si>
  <si>
    <t xml:space="preserve">с3510 5а/Тип 10-1</t>
  </si>
  <si>
    <t xml:space="preserve">с3510 ВС/3а-1</t>
  </si>
  <si>
    <t xml:space="preserve">с3510 ОК-1.1/3б-1</t>
  </si>
  <si>
    <t xml:space="preserve">с3510 ОК-1.1/3б-2</t>
  </si>
  <si>
    <t xml:space="preserve">с3510 ОК-1.1/5б-1</t>
  </si>
  <si>
    <t xml:space="preserve">с3510 ОК-1/3а-1</t>
  </si>
  <si>
    <t xml:space="preserve">с3510 ОК-1/5а-1</t>
  </si>
  <si>
    <t xml:space="preserve">с3930 3б/Тип 10-1</t>
  </si>
  <si>
    <t xml:space="preserve">с3930 5б/Тип 10-1</t>
  </si>
  <si>
    <t xml:space="preserve">с3930 ОК-1.1/3б-1</t>
  </si>
  <si>
    <t xml:space="preserve">с3930 ОК-1.1/5б-1</t>
  </si>
  <si>
    <t xml:space="preserve">с3930 Тип 10/ОК-1.1-1</t>
  </si>
  <si>
    <t xml:space="preserve">с5360 ВС/3а-1</t>
  </si>
  <si>
    <t xml:space="preserve">с5360 СН/ВС-1</t>
  </si>
  <si>
    <t xml:space="preserve">Итог Результат</t>
  </si>
  <si>
    <t xml:space="preserve">номер</t>
  </si>
  <si>
    <t xml:space="preserve">Общие данные</t>
  </si>
  <si>
    <t xml:space="preserve">Ведомость рабочих чертежей основного комплекта </t>
  </si>
  <si>
    <t xml:space="preserve">Принципы маркировки изделий</t>
  </si>
  <si>
    <t xml:space="preserve">Правила именования прижимов стойки</t>
  </si>
  <si>
    <t xml:space="preserve">Правила именования прижимов ригеля</t>
  </si>
  <si>
    <t xml:space="preserve">Правила именования крышек, термомостов</t>
  </si>
  <si>
    <t xml:space="preserve">Правила именования стоек</t>
  </si>
  <si>
    <t xml:space="preserve">Правила именования ригелей</t>
  </si>
  <si>
    <t xml:space="preserve">Узлы крепления ригелей с1, с80</t>
  </si>
  <si>
    <t xml:space="preserve">Узел крепления ригелей с2</t>
  </si>
  <si>
    <t xml:space="preserve">Узел крепления ригелей с3-с3</t>
  </si>
  <si>
    <t xml:space="preserve">Узел крепления ригелей с0-с3</t>
  </si>
  <si>
    <t xml:space="preserve">Узел крепления ригелей с7-с3</t>
  </si>
  <si>
    <t xml:space="preserve">Узел крепления ригелей с7-с6</t>
  </si>
  <si>
    <t xml:space="preserve">Узел крепления ригелей с80-с6</t>
  </si>
  <si>
    <t xml:space="preserve">Узел сухаря стойки</t>
  </si>
  <si>
    <t xml:space="preserve">18-25</t>
  </si>
  <si>
    <t xml:space="preserve">Резерв листов</t>
  </si>
  <si>
    <t xml:space="preserve">	с3350 /	</t>
  </si>
  <si>
    <t xml:space="preserve">с3350 1а/ВС </t>
  </si>
  <si>
    <t xml:space="preserve">	с3350 1а/СН	</t>
  </si>
  <si>
    <t xml:space="preserve">	с3350 3а/ВС	</t>
  </si>
  <si>
    <t xml:space="preserve">	с3350 3а/ОК-1	</t>
  </si>
  <si>
    <t xml:space="preserve">	с3350 3а/СН	</t>
  </si>
  <si>
    <t xml:space="preserve">	с3350 3а/Тип 10	</t>
  </si>
  <si>
    <t xml:space="preserve">	с3350 3б/ОК-1.1	</t>
  </si>
  <si>
    <t xml:space="preserve">	с3350 3б/Тип 10	</t>
  </si>
  <si>
    <t xml:space="preserve">	с3350 5а/ВС	</t>
  </si>
  <si>
    <t xml:space="preserve">	с3350 5а/ОК-1	</t>
  </si>
  <si>
    <t xml:space="preserve">	с3350 5а/Тип 10	</t>
  </si>
  <si>
    <t xml:space="preserve">	с3350 5б/ОК-1.1	</t>
  </si>
  <si>
    <t xml:space="preserve">	с3350 5б/Тип 10	</t>
  </si>
  <si>
    <t xml:space="preserve">	с3350 6а/ОК-1	</t>
  </si>
  <si>
    <t xml:space="preserve">	с3350 6а/Тип 10	</t>
  </si>
  <si>
    <t xml:space="preserve">	с3350 6б/ОК-1.1	</t>
  </si>
  <si>
    <t xml:space="preserve">	с3350 6б/Тип 10	</t>
  </si>
  <si>
    <t xml:space="preserve">	с3350 ВС/1а	</t>
  </si>
  <si>
    <t xml:space="preserve">	с3350 ВС/3а	</t>
  </si>
  <si>
    <t xml:space="preserve">	с3350 ВС/5а	</t>
  </si>
  <si>
    <t xml:space="preserve">	с3350 ВС/СН	</t>
  </si>
  <si>
    <t xml:space="preserve">	с3350 ВС/Тип 10	</t>
  </si>
  <si>
    <t xml:space="preserve">	с3350 Лист 1 мм/Тип 10	</t>
  </si>
  <si>
    <t xml:space="preserve">	с3350 ОК-1.1/3б	</t>
  </si>
  <si>
    <t xml:space="preserve">	с3350 ОК-1.1/5б	</t>
  </si>
  <si>
    <t xml:space="preserve">	с3350 ОК-1.1/6б	</t>
  </si>
  <si>
    <t xml:space="preserve">	с3350 ОК-1.1/Тип 10	</t>
  </si>
  <si>
    <t xml:space="preserve">	с3350 ОК-1/3а	</t>
  </si>
  <si>
    <t xml:space="preserve">	с3350 ОК-1/5а	</t>
  </si>
  <si>
    <t xml:space="preserve">	с3350 ОК-1/6а	</t>
  </si>
  <si>
    <t xml:space="preserve">	с3350 ОК-1/Тип 10	</t>
  </si>
  <si>
    <t xml:space="preserve">	с3350 СН/1а	</t>
  </si>
  <si>
    <t xml:space="preserve">	с3350 СН/3а	</t>
  </si>
  <si>
    <t xml:space="preserve">	с3350 СН/ВС	</t>
  </si>
  <si>
    <t xml:space="preserve">	с3350 СН/Тип 10	</t>
  </si>
  <si>
    <t xml:space="preserve">	с3350 Тип 10/3а	</t>
  </si>
  <si>
    <t xml:space="preserve">	с3350 Тип 10/3б	</t>
  </si>
  <si>
    <t xml:space="preserve">	с3350 Тип 10/5а	</t>
  </si>
  <si>
    <t xml:space="preserve">	с3350 Тип 10/5б	</t>
  </si>
  <si>
    <t xml:space="preserve">	с3350 Тип 10/6а	</t>
  </si>
  <si>
    <t xml:space="preserve">	с3350 Тип 10/6б	</t>
  </si>
  <si>
    <t xml:space="preserve">	с3350 Тип 10/ВС	</t>
  </si>
  <si>
    <t xml:space="preserve">	с3350 Тип 10/Лист 1 мм	</t>
  </si>
  <si>
    <t xml:space="preserve">	с3350 Тип 10/ОК-1	</t>
  </si>
  <si>
    <t xml:space="preserve">	с3350 Тип 10/ОК-1.1	</t>
  </si>
  <si>
    <t xml:space="preserve">	с3350 Тип 10/СН	</t>
  </si>
  <si>
    <t xml:space="preserve">	с3510 /	</t>
  </si>
  <si>
    <t xml:space="preserve">	с3510 1а/СН	</t>
  </si>
  <si>
    <t xml:space="preserve">	с3510 3а/СН	</t>
  </si>
  <si>
    <t xml:space="preserve">	с3510 3а/Тип 10	</t>
  </si>
  <si>
    <t xml:space="preserve">	с3510 3б/Тип 10	</t>
  </si>
  <si>
    <t xml:space="preserve">	с3510 5а/ОК-1	</t>
  </si>
  <si>
    <t xml:space="preserve">	с3510 5а/Тип 10	</t>
  </si>
  <si>
    <t xml:space="preserve">	с3510 5б/ОК-1.1	</t>
  </si>
  <si>
    <t xml:space="preserve">	с3510 5б/Тип 10	</t>
  </si>
  <si>
    <t xml:space="preserve">	с3510 6а/Тип 10	</t>
  </si>
  <si>
    <t xml:space="preserve">	с3510 6б/Тип 10	</t>
  </si>
  <si>
    <t xml:space="preserve">	с3510 ВС/1а	</t>
  </si>
  <si>
    <t xml:space="preserve">	с3510 ВС/3а	</t>
  </si>
  <si>
    <t xml:space="preserve">	с3510 ВС/5а	</t>
  </si>
  <si>
    <t xml:space="preserve">	с3510 Лист 1 мм/Тип 10	</t>
  </si>
  <si>
    <t xml:space="preserve">	с3510 ОК-1.1/3б	</t>
  </si>
  <si>
    <t xml:space="preserve">	с3510 ОК-1.1/5б	</t>
  </si>
  <si>
    <t xml:space="preserve">	с3510 ОК-1.1/6б	</t>
  </si>
  <si>
    <t xml:space="preserve">	с3510 ОК-1.1/Тип 10	</t>
  </si>
  <si>
    <t xml:space="preserve">	с3510 ОК-1/3а	</t>
  </si>
  <si>
    <t xml:space="preserve">	с3510 ОК-1/5а	</t>
  </si>
  <si>
    <t xml:space="preserve">	с3510 ОК-1/6а	</t>
  </si>
  <si>
    <t xml:space="preserve">	с3510 ОК-1/Тип 10	</t>
  </si>
  <si>
    <t xml:space="preserve">	с3510 СН/ВС	</t>
  </si>
  <si>
    <t xml:space="preserve">	с3510 СН/Тип 10	</t>
  </si>
  <si>
    <t xml:space="preserve">	с3510 Тип 10/5а	</t>
  </si>
  <si>
    <t xml:space="preserve">	с3510 Тип 10/5б	</t>
  </si>
  <si>
    <t xml:space="preserve">	с3510 Тип 10/ВС	</t>
  </si>
  <si>
    <t xml:space="preserve">	с3510 Тип 10/Лист 1 мм	</t>
  </si>
  <si>
    <t xml:space="preserve">	с3510 Тип 10/ОК-1	</t>
  </si>
  <si>
    <t xml:space="preserve">	с3510 Тип 10/ОК-1.1	</t>
  </si>
  <si>
    <t xml:space="preserve">	с3510 Тип 10/СН	</t>
  </si>
  <si>
    <t xml:space="preserve">	с3770 1а/ВС	</t>
  </si>
  <si>
    <t xml:space="preserve">	с3770 3а/ВС	</t>
  </si>
  <si>
    <t xml:space="preserve">	с3770 5а/ВС	</t>
  </si>
  <si>
    <t xml:space="preserve">	с3770 ВС/СН	</t>
  </si>
  <si>
    <t xml:space="preserve">	с3770 ВС/Тип 10	</t>
  </si>
  <si>
    <t xml:space="preserve">	с3770 Лист 1 мм/Тип 10	</t>
  </si>
  <si>
    <t xml:space="preserve">	с3770 СН/1а	</t>
  </si>
  <si>
    <t xml:space="preserve">	с3770 СН/3а	</t>
  </si>
  <si>
    <t xml:space="preserve">	с3770 СН/Тип 10	</t>
  </si>
  <si>
    <t xml:space="preserve">	с3770 Тип 10/3а	</t>
  </si>
  <si>
    <t xml:space="preserve">	с3770 Тип 10/5а	</t>
  </si>
  <si>
    <t xml:space="preserve">	с3770 Тип 10/Лист 1 мм	</t>
  </si>
  <si>
    <t xml:space="preserve">	с3770 Тип 10/СН	</t>
  </si>
  <si>
    <t xml:space="preserve">	с3930 /	</t>
  </si>
  <si>
    <t xml:space="preserve">	с3930 1б/Тип 10	</t>
  </si>
  <si>
    <t xml:space="preserve">	с3930 3а/ВС	</t>
  </si>
  <si>
    <t xml:space="preserve">	с3930 3б/Тип 10	</t>
  </si>
  <si>
    <t xml:space="preserve">	с3930 5б/ОК-1.1	</t>
  </si>
  <si>
    <t xml:space="preserve">	с3930 5б/Тип 10	</t>
  </si>
  <si>
    <t xml:space="preserve">	с3930 6б/Тип 10	</t>
  </si>
  <si>
    <t xml:space="preserve">	с3930 ВС/СН	</t>
  </si>
  <si>
    <t xml:space="preserve">	с3930 ВС/Тип 10	</t>
  </si>
  <si>
    <t xml:space="preserve">	с3930 Лист 1 мм/Тип 10	</t>
  </si>
  <si>
    <t xml:space="preserve">	с3930 ОК-1.1/1б	</t>
  </si>
  <si>
    <t xml:space="preserve">	с3930 ОК-1.1/3б	</t>
  </si>
  <si>
    <t xml:space="preserve">	с3930 ОК-1.1/5б	</t>
  </si>
  <si>
    <t xml:space="preserve">	с3930 ОК-1.1/6б	</t>
  </si>
  <si>
    <t xml:space="preserve">	с3930 ОК-1.1/Тип 10	</t>
  </si>
  <si>
    <t xml:space="preserve">	с3930 СН/3а	</t>
  </si>
  <si>
    <t xml:space="preserve">	с3930 СН/Тип 10	</t>
  </si>
  <si>
    <t xml:space="preserve">	с3930 Тип 10/3а	</t>
  </si>
  <si>
    <t xml:space="preserve">	с3930 Тип 10/5б	</t>
  </si>
  <si>
    <t xml:space="preserve">	с3930 Тип 10/Лист 1 мм	</t>
  </si>
  <si>
    <t xml:space="preserve">	с3930 Тип 10/ОК-1.1	</t>
  </si>
  <si>
    <t xml:space="preserve">	с3930 Тип 10/СН	</t>
  </si>
  <si>
    <t xml:space="preserve">	с5360 1а/СН	</t>
  </si>
  <si>
    <t xml:space="preserve">	с5360 3а/СН	</t>
  </si>
  <si>
    <t xml:space="preserve">	с5360 3а/Тип 8	</t>
  </si>
  <si>
    <t xml:space="preserve">	с5360 5а/Тип 8	</t>
  </si>
  <si>
    <t xml:space="preserve">	с5360 ВС/1а	</t>
  </si>
  <si>
    <t xml:space="preserve">	с5360 ВС/3а	</t>
  </si>
  <si>
    <t xml:space="preserve">	с5360 ВС/5а	</t>
  </si>
  <si>
    <t xml:space="preserve">	с5360 Лист 1 мм/Тип 8	</t>
  </si>
  <si>
    <t xml:space="preserve">	с5360 СН/ВС	</t>
  </si>
  <si>
    <t xml:space="preserve">	с5360 СН/Тип 8	</t>
  </si>
  <si>
    <t xml:space="preserve">	с5360 Тип 8/ВС	</t>
  </si>
  <si>
    <t xml:space="preserve">	с5360 Тип 8/Лист 1 мм	</t>
  </si>
  <si>
    <t xml:space="preserve">	с5360 Тип 8/СН	</t>
  </si>
  <si>
    <t xml:space="preserve">	с3350 1а/ВС-1	</t>
  </si>
  <si>
    <t xml:space="preserve">	с3350 3а/ВС-1	</t>
  </si>
  <si>
    <t xml:space="preserve">	с3350 3а/ВС-2	</t>
  </si>
  <si>
    <t xml:space="preserve">	с3350 3а/Тип 10-1	</t>
  </si>
  <si>
    <t xml:space="preserve">	с3350 3б/ОК-1.1-1	</t>
  </si>
  <si>
    <t xml:space="preserve">	с3350 3б/Тип 10-1	</t>
  </si>
  <si>
    <t xml:space="preserve">	с3350 5а/ВС-1	</t>
  </si>
  <si>
    <t xml:space="preserve">	с3350 5а/ОК-1-1	</t>
  </si>
  <si>
    <t xml:space="preserve">	с3350 5а/Тип 10-1	</t>
  </si>
  <si>
    <t xml:space="preserve">	с3350 5б/ОК-1.1-1	</t>
  </si>
  <si>
    <t xml:space="preserve">	с3350 ВС/СН-1	</t>
  </si>
  <si>
    <t xml:space="preserve">	с3350 ВС/Тип 10-1	</t>
  </si>
  <si>
    <t xml:space="preserve">	с3350 Лист 1 мм/Тип 10-1	</t>
  </si>
  <si>
    <t xml:space="preserve">	с3350 ОК-1.1/3б-1	</t>
  </si>
  <si>
    <t xml:space="preserve">	с3350 ОК-1.1/3б-2	</t>
  </si>
  <si>
    <t xml:space="preserve">	с3350 ОК-1.1/5б-1	</t>
  </si>
  <si>
    <t xml:space="preserve">	с3350 ОК-1/3а-1	</t>
  </si>
  <si>
    <t xml:space="preserve">	с3350 ОК-1/5а-1	</t>
  </si>
  <si>
    <t xml:space="preserve">	с3350 СН/1а-1	</t>
  </si>
  <si>
    <t xml:space="preserve">	с3350 СН/3а-1	</t>
  </si>
  <si>
    <t xml:space="preserve">	с3350 СН/Тип 10-1	</t>
  </si>
  <si>
    <t xml:space="preserve">	с3350 Тип 10/3а-1	</t>
  </si>
  <si>
    <t xml:space="preserve">	с3350 Тип 10/3а-2	</t>
  </si>
  <si>
    <t xml:space="preserve">	с3350 Тип 10/3а-3	</t>
  </si>
  <si>
    <t xml:space="preserve">	с3350 Тип 10/3б-1	</t>
  </si>
  <si>
    <t xml:space="preserve">	с3350 Тип 10/5а-1	</t>
  </si>
  <si>
    <t xml:space="preserve">	с3350 Тип 10/5а-2	</t>
  </si>
  <si>
    <t xml:space="preserve">	с3350 Тип 10/Лист 1 мм-1	</t>
  </si>
  <si>
    <t xml:space="preserve">	с3350 Тип 10/СН-1	</t>
  </si>
  <si>
    <t xml:space="preserve">	с3510 3а/Тип 10-1	</t>
  </si>
  <si>
    <t xml:space="preserve">	с3510 3б/Тип 10-1	</t>
  </si>
  <si>
    <t xml:space="preserve">	с3510 5а/Тип 10-1	</t>
  </si>
  <si>
    <t xml:space="preserve">	с3510 ВС/3а-1	</t>
  </si>
  <si>
    <t xml:space="preserve">	с3510 ОК-1.1/3б-1	</t>
  </si>
  <si>
    <t xml:space="preserve">	с3510 ОК-1.1/3б-2	</t>
  </si>
  <si>
    <t xml:space="preserve">	с3510 ОК-1.1/5б-1	</t>
  </si>
  <si>
    <t xml:space="preserve">	с3510 ОК-1/3а-1	</t>
  </si>
  <si>
    <t xml:space="preserve">	с3510 ОК-1/5а-1	</t>
  </si>
  <si>
    <t xml:space="preserve">Размещение изделий на этажах1</t>
  </si>
  <si>
    <t xml:space="preserve">ПодсчётИзделий1</t>
  </si>
  <si>
    <t xml:space="preserve">Размещение изделий на этажах2</t>
  </si>
  <si>
    <t xml:space="preserve">ПодсчётИзделий2</t>
  </si>
  <si>
    <t xml:space="preserve">Размещение изделий на этажах3</t>
  </si>
  <si>
    <t xml:space="preserve">ПодсчётИзделий3</t>
  </si>
  <si>
    <t xml:space="preserve">Размещение изделий на этажах4</t>
  </si>
  <si>
    <t xml:space="preserve">ПодсчётИзделий4</t>
  </si>
  <si>
    <t xml:space="preserve">Плоскости</t>
  </si>
  <si>
    <t xml:space="preserve">Открывания</t>
  </si>
  <si>
    <t xml:space="preserve">Группы этажей</t>
  </si>
  <si>
    <t xml:space="preserve">Видимость</t>
  </si>
  <si>
    <t xml:space="preserve">ПроставкиЗаполнений</t>
  </si>
  <si>
    <t xml:space="preserve">высота</t>
  </si>
  <si>
    <t xml:space="preserve">ширина</t>
  </si>
  <si>
    <t xml:space="preserve">площадь</t>
  </si>
  <si>
    <t xml:space="preserve">(5-6)-(5-1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</si>
</sst>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##"/>
    <numFmt numFmtId="166" formatCode="000"/>
    <numFmt numFmtId="167" formatCode="@"/>
    <numFmt numFmtId="168" formatCode="#,##0.00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i val="true"/>
      <sz val="10"/>
      <name val="Arial"/>
      <family val="2"/>
      <charset val="204"/>
    </font>
    <font>
      <sz val="10"/>
      <name val="Times New Roman"/>
      <family val="1"/>
      <charset val="204"/>
    </font>
    <font>
      <i val="true"/>
      <sz val="7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729FCF"/>
        <bgColor rgb="FF808080"/>
      </patternFill>
    </fill>
    <fill>
      <patternFill patternType="solid">
        <fgColor rgb="FFFFF5CE"/>
        <bgColor rgb="FFFFFFFF"/>
      </patternFill>
    </fill>
    <fill>
      <patternFill patternType="solid">
        <fgColor rgb="FFB7B3CA"/>
        <bgColor rgb="FFB4C7DC"/>
      </patternFill>
    </fill>
    <fill>
      <patternFill patternType="solid">
        <fgColor rgb="FF5EB91E"/>
        <bgColor rgb="FF81D41A"/>
      </patternFill>
    </fill>
    <fill>
      <patternFill patternType="solid">
        <fgColor rgb="FFDEDCE6"/>
        <bgColor rgb="FFDDDDDD"/>
      </patternFill>
    </fill>
    <fill>
      <patternFill patternType="solid">
        <fgColor rgb="FFDDE8CB"/>
        <bgColor rgb="FFDDDDDD"/>
      </patternFill>
    </fill>
    <fill>
      <patternFill patternType="solid">
        <fgColor rgb="FFB3CAC7"/>
        <bgColor rgb="FFB4C7DC"/>
      </patternFill>
    </fill>
    <fill>
      <patternFill patternType="solid">
        <fgColor rgb="FFFF3838"/>
        <bgColor rgb="FFFF0000"/>
      </patternFill>
    </fill>
    <fill>
      <patternFill patternType="solid">
        <fgColor rgb="FFBBE33D"/>
        <bgColor rgb="FF81D41A"/>
      </patternFill>
    </fill>
    <fill>
      <patternFill patternType="solid">
        <fgColor rgb="FF3465A4"/>
        <bgColor rgb="FF3366FF"/>
      </patternFill>
    </fill>
    <fill>
      <patternFill patternType="solid">
        <fgColor rgb="FFBF819E"/>
        <bgColor rgb="FF808080"/>
      </patternFill>
    </fill>
    <fill>
      <patternFill patternType="solid">
        <fgColor rgb="FFFFD7D7"/>
        <bgColor rgb="FFDEDCE6"/>
      </patternFill>
    </fill>
    <fill>
      <patternFill patternType="solid">
        <fgColor rgb="FFDEE6EF"/>
        <bgColor rgb="FFDEDCE6"/>
      </patternFill>
    </fill>
    <fill>
      <patternFill patternType="solid">
        <fgColor rgb="FFFF0000"/>
        <bgColor rgb="FFFF3838"/>
      </patternFill>
    </fill>
    <fill>
      <patternFill patternType="solid">
        <fgColor rgb="FFB4C7DC"/>
        <bgColor rgb="FFB3CAC7"/>
      </patternFill>
    </fill>
    <fill>
      <patternFill patternType="solid">
        <fgColor rgb="FFE0C2CD"/>
        <bgColor rgb="FFDDDDDD"/>
      </patternFill>
    </fill>
    <fill>
      <patternFill patternType="solid">
        <fgColor rgb="FF81D41A"/>
        <bgColor rgb="FF5EB91E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1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1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1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11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1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81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81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dxfs count="6">
    <dxf>
      <fill>
        <patternFill patternType="solid">
          <fgColor rgb="FFDDDDDD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E0C2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DDE8CB"/>
      <rgbColor rgb="FFFFFF99"/>
      <rgbColor rgb="FFB4C7DC"/>
      <rgbColor rgb="FFE0C2CD"/>
      <rgbColor rgb="FFB7B3CA"/>
      <rgbColor rgb="FFFFD7D7"/>
      <rgbColor rgb="FF3366FF"/>
      <rgbColor rgb="FF33CCCC"/>
      <rgbColor rgb="FF81D41A"/>
      <rgbColor rgb="FFBBE33D"/>
      <rgbColor rgb="FFFF9900"/>
      <rgbColor rgb="FFFF3838"/>
      <rgbColor rgb="FF3465A4"/>
      <rgbColor rgb="FFBF819E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74" createdVersion="3">
  <cacheSource type="worksheet">
    <worksheetSource ref="A1:J875" sheet="Лист10"/>
  </cacheSource>
  <cacheFields count="10">
    <cacheField name="Плоскость" numFmtId="0">
      <sharedItems count="4">
        <s v="(5-1)-(5-6)"/>
        <s v="(5-6)-(5-1)"/>
        <s v="(5-А)-(5-Л)"/>
        <s v="(5-Л)-(5-А)"/>
      </sharedItems>
    </cacheField>
    <cacheField name="Этаж" numFmtId="0">
      <sharedItems containsSemiMixedTypes="0" containsString="0" containsNumber="1" containsInteger="1" minValue="2" maxValue="57" count="10">
        <n v="2"/>
        <n v="3"/>
        <n v="4"/>
        <n v="19"/>
        <n v="20"/>
        <n v="29"/>
        <n v="30"/>
        <n v="39"/>
        <n v="40"/>
        <n v="57"/>
      </sharedItems>
    </cacheField>
    <cacheField name="Стойка" numFmtId="0">
      <sharedItems containsSemiMixedTypes="0" containsString="0" containsNumber="1" containsInteger="1" minValue="1" maxValue="36" count="3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</sharedItems>
    </cacheField>
    <cacheField name="ЗапЛев" numFmtId="0">
      <sharedItems containsBlank="1" count="16">
        <s v="1а"/>
        <s v="1б"/>
        <s v="3а"/>
        <s v="3б"/>
        <s v="5а"/>
        <s v="5б"/>
        <s v="6а"/>
        <s v="6б"/>
        <s v="ВС"/>
        <s v="Лист 1 мм"/>
        <s v="ОК-1"/>
        <s v="ОК-1.1"/>
        <s v="СН"/>
        <s v="Тип 10"/>
        <s v="Тип 8"/>
        <m/>
      </sharedItems>
    </cacheField>
    <cacheField name="ЗапПрав" numFmtId="0">
      <sharedItems containsBlank="1" count="16">
        <s v="1а"/>
        <s v="1б"/>
        <s v="3а"/>
        <s v="3б"/>
        <s v="5а"/>
        <s v="5б"/>
        <s v="6а"/>
        <s v="6б"/>
        <s v="ВС"/>
        <s v="Лист 1 мм"/>
        <s v="ОК-1"/>
        <s v="ОК-1.1"/>
        <s v="СН"/>
        <s v="Тип 10"/>
        <s v="Тип 8"/>
        <m/>
      </sharedItems>
    </cacheField>
    <cacheField name="Высота" numFmtId="0">
      <sharedItems containsSemiMixedTypes="0" containsString="0" containsNumber="1" containsInteger="1" minValue="3350" maxValue="5360" count="5">
        <n v="3350"/>
        <n v="3510"/>
        <n v="3770"/>
        <n v="3930"/>
        <n v="5360"/>
      </sharedItems>
    </cacheField>
    <cacheField name="Позиция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Хэш" numFmtId="0">
      <sharedItems count="172">
        <s v="004b332d6efc246a106a9eba3c3bd2f067faa9c6e78cd184eab5700bb060ede7"/>
        <s v="00e8a112f53793cef732f23461948db1a3a930c67f5dde1de7c9eaaca31c3d35"/>
        <s v="014ae9bdf0facb907fa3d2543776d5b284c7d0f0450bba37433f4efd6e4c7f8d"/>
        <s v="0188c0eccdd5f082710988d45c8428a7982e1c9348d7962310aa38124e7814a4"/>
        <s v="02112555734677b9f63d57bb17da05765a8c3a3ca46c7dd252916dd9c78cb539"/>
        <s v="071ff40b0b74a93f789c990282f6c9a4203e383360c16cfc97b084273e337ede"/>
        <s v="07cd3cc3ca184854660dade02bbf8bdc7dea9abbb9294fba3ba59ad9644ef558"/>
        <s v="080f6216f3bfa97cc89caa8283c6ad38604a5820e9b22d3548a037b821aa777b"/>
        <s v="08ac0aa092a390a1c664826f8c6b79acff1fad10e6ccd21e7973d9bb55a9de4a"/>
        <s v="0a19198a8120598ac25f18f17d9ea924689bdd18a0e5beb7e0e749577fb7744c"/>
        <s v="0be537ee89ebabe840276eb30dbac75702f84a1e80da21e03c98dab760758d7f"/>
        <s v="0caf070fb0a3b9da279999ee189057aa07d0cb46920c3697f91a92426d83462b"/>
        <s v="0f57b28fc89cc4c4adfa5267fd5f6f0b5ac94dc9a649462caa3e6f9f2d89099f"/>
        <s v="121746a10aaa42ed76f08fb67546c7969a4c4be18cbf0d25af28ceb6e017ee87"/>
        <s v="12b8d7cb190313551b866f5843bea2931d6b70af0c88917ea4f4ae65e4939032"/>
        <s v="14de3af50b4d5b75003418e9d920c29b82eaef83ff5d026f5a5caa3fae97e7ed"/>
        <s v="160bf49f9cf913faad30c9dbd0c0756b5c8dc553a6cace25bf3f4fd6ce0ce79a"/>
        <s v="177a92b90cca233cb58f8d4de3196d3bb6d59ce510cc9cbaf5e45ce6840c68b4"/>
        <s v="1804e418dd6a2227424d83996e927555c68c2a47d52ed988eb4c0960b1a141c5"/>
        <s v="18ac8bd63729b54495c9d2ed4f73e71317e8d1714f92c57e96b3915640d86c95"/>
        <s v="18d4912daa02143266e1e4f6a6bb67a15aa8ff04ffc8a961ccea1cd6fffb7512"/>
        <s v="1a9c408fe5805c7970a6775af43e4dbba1c9c421980f92dc4ee94981684dcdd6"/>
        <s v="1c8651365d0342f5b0a789a3db946216cd96c717ab91a344bb763552dfabda33"/>
        <s v="22b18eb639767917825d59d9b134a68e4b7b3e60c56bfc625554219922c4baa4"/>
        <s v="22b2a5498d67137e14b4cb1d2942e48d4e650ab75008af5f37ee5dfa4b435aef"/>
        <s v="24527d94e3be1eca75f27be5c63d620d6d3cae07efcd0af9a2f8814a8afbef84"/>
        <s v="24bb594213916054e768d6e86ac881c73a1c0da39dbda6a2bbc856203f432c5a"/>
        <s v="24fed4974616e84ee23b0044228cd7a720c5dbb0ae131dfa6d75f7e29caffac5"/>
        <s v="27fa65fbf564140021532208b7e1e9c4a1f495eae07309dc1185468adf491fb4"/>
        <s v="286ac56d1fd99afe745abb01c66fe07be37130d5ac77e632ab1e2638b01df491"/>
        <s v="29ee2128a162528270ff6f62fdcf5299286f4a84df182fd1f2bedf8029ec4bd4"/>
        <s v="2b75bde25a65b9fb5dd2939f745b8aab0f824c7a100824d481a7c4e106cdee8e"/>
        <s v="2c61aad1fce3565d4e8fce5e3abebc5d9b1af94cc5bd6be0c36af079c8d314ad"/>
        <s v="2ddb98a33f15a429588551d005266a92ac3215b8e5e8fa2ef7585835ecdfd9e2"/>
        <s v="2f44952afe7b44a8a8cbc08a7829ebce275214d40a3932a3cb00442e48c382a0"/>
        <s v="31fee40e9b53651576fbccf2f9ef53022d85bd0c8805b0033013aabc8ec79ee7"/>
        <s v="35656033cf485fb64d9a338e7a23b5e880580a2d4ee082ade2c49887feb731bc"/>
        <s v="37194e955d879b51309b6375b96551243558befaa5f11e90862d847fd528a495"/>
        <s v="37c34bd8cf4bc0a37ab6e9b0f56a833e7ec930b9dcf0291d27be643bf34164f3"/>
        <s v="38ec03368c6b47bff8dbf0a8aa6e7afb71968db77546366155e91357f0275346"/>
        <s v="398de1ef3bbf53be37b1b5ff0fc480cd79a6e1f712b6e87085610d6a5c0c9865"/>
        <s v="3a0b6af17b3850abd98daf84e21fe075a145c12c3f967d88b77ac20e2100ba00"/>
        <s v="3b8951105f0dac5b85e9da92a9de07c6a3a643b22d06075d150c467207edef61"/>
        <s v="3bf41b16009df12981067d10ee9f6b5cd9a1880e362f48173c8c729622f2e387"/>
        <s v="3c1e3e64a7d93dc3ed2540cb540e2a41416bb2e4dbae936b18a9eb66427e1c56"/>
        <s v="3c936e328636eac7c1c5cef3891949692ed6ca33d9894c12728f73e4a6e9feae"/>
        <s v="3d25ce06dcbb4589e27e24c4d6df59193da22bb180c4ea601065761669814d91"/>
        <s v="3e29b079b69c728af5e9c1fa90bb8c049a002b267c57626c49df19fcc643a1e9"/>
        <s v="3e9f9cf9e0ec6878ef2a913c5de9c41de4ed37b070bb0b5683fa9e1c32baf49d"/>
        <s v="40449bffcaeecef5e1882e802fd37557e3377c1a5c0c887781db8159c571c4cb"/>
        <s v="404d8dcf1cf0a17aa9c67f5923b870c7e5f7d4c9121ce6a2a07dc4dad222cb1e"/>
        <s v="41002164ef94575c7af5574ac1e7d21ad26d5dc0ba4a64ae4a06d0c0f6c321b3"/>
        <s v="4484e67f875a4e9d58c9ecada5496c4b3fde0df8dba03de4f5d4ca3fee36d63e"/>
        <s v="483e805ffc2230cd26b1bfc1a165c684036c560bb7ccb14dca4a771bd346101b"/>
        <s v="486d83f75052e80f095466d32485831fce716c76b1c3f75618c48baa26977f1e"/>
        <s v="4897550b6ad56dfa61fc76d183365d94aa785c7adf451aea6bfc18ef825aeb40"/>
        <s v="498eb537c7140d5f72be2e9b7d521fc29b2045c111bcbe0e981634211d3681df"/>
        <s v="4b50b9692e7362d1befe1c51ffda2dc826785c835227b70b16057eba88d33b98"/>
        <s v="4d7e8a8f0db50dbf7a97412dcb315ed0e0cd1f2abf8825e65913b58a2672a029"/>
        <s v="4d83324e93063d4fc9840c3c34acae541f4d8fa7acbdd0e8d15adeb395662c09"/>
        <s v="4ddd5fdf4bc6ee502479ffc3d44eff27de8c8f8cf117bf2480ffa0eb3804444d"/>
        <s v="4ef07ed7b365ffa62beabb2c4ee100bf1e6fdff3a4b72c4b278511aa86144639"/>
        <s v="4f15b15352e4d0d0dc5af19591d446e17e2e4bffac4d51902945dfb53494ccab"/>
        <s v="531b94050fedb047869e636a8a0e92dee46a6430e828942f1df195c614ecbfbd"/>
        <s v="539733a0fed1a23a03186997139fa14621584deee827ad7286cffffe2d9d8fab"/>
        <s v="55c36b2ba5a6e67eda55b6732905505b5a833ce5c4f361639e5d604807c9710f"/>
        <s v="58bba4ecda8666664ce3b057bc63e7eb490ec9b2678663acfa9b1a4916b7d12e"/>
        <s v="5a7f3d39ce1afc5a75758efc0ca792fa3ddcc0e970cbf64556173659d71b2e23"/>
        <s v="5e9e8fe136d25e062bcbd6ff0a82d93c29f36781afb3887b48cb463645b2ab1d"/>
        <s v="5edab27da590af44a6ea185b9ed3ec522b40f8559350330eab7f14159b12d007"/>
        <s v="5f2ee0d2772dda8a55e51736003ea0feeaef3e721754b08b43469f9654f2e537"/>
        <s v="62f3bd3fc1dc5a9f97b6f3be10fe455ee85804e3554f5a6ec2aff6a7162d2cf2"/>
        <s v="63a52e5998f2f1efa6adeb76e5711f978335b4b4f2ab6fe3f36a1c9e034953ec"/>
        <s v="6488fa385e3896d6f45aa581a58b77c57735536032d012aa0ed2588d977beb6d"/>
        <s v="653d14af2ee454399c1c655f080ab9df18ed3f00b0736f7e900630b7aafd49ea"/>
        <s v="660e1e91d0eb09a406487cf27d1bff759d663715fa53b34f63993db3c795f3ad"/>
        <s v="664fdbc9c4c5b4215e951c3d3e309d2d5bbc03896f434a9538d443090e1b4db7"/>
        <s v="68fe1ada2a107e6b6e780adf9ba1f4d8022a8e42b6dd1e5ea6c8d80c9a4ef5bb"/>
        <s v="6affcd33520b473bcfb36cf224f2e4921e2bed075ae239e7a5be672de3ea61f9"/>
        <s v="6e15289123d40cbd1aa9d1a51d0e9ced79b6fb362ad6ba8f7b7904d8b3f50fdc"/>
        <s v="6e645ba9dec4efe58c536cfc5e767282f71c983b19a8f05ef2c19bac560cf599"/>
        <s v="6eb6086996022c7005eb2fe02071321acd459604aa9918285381019bf24c3087"/>
        <s v="6ef6d7504dcaa969db327a8f6225dac159bb0d7319fdea16c635901c9aacd0b7"/>
        <s v="6f9a8e451336dd30b1911160ebb92318bd27a48c9629b42ccde7f43bb55c3a8a"/>
        <s v="6fcd56815d22dc3b159898badc45bad5f4f0ea614356922ae5f89f82ed55da38"/>
        <s v="70de6b5d8fe5c0e04613aec59b8ca6eb7b880d70cb4c1355d0e7a6cb11c58940"/>
        <s v="71c935b8216285ed62e870e4de7b2dd642a4deb3b5757725a562d5afb309d57e"/>
        <s v="73bae56407ddb4d42f6b86315733e6ca423c5796c4ffd51988a475d7b5e077b3"/>
        <s v="7558d11f705c9789f2ab81bd45098bb57b9bd7ab493ed846be633bdd5de1efd4"/>
        <s v="756f87b834d73b7f9e70932d1d8a01711369616d652c08677a0cca9e183df22a"/>
        <s v="78f056da4ed2fa1151c8fe4b9af57bfd9bec6c045fa425266291b9288b11b8c6"/>
        <s v="7a318af88dd671c381bfe67d79cd184f74b15b29347c0f3b6fe548b1d256f011"/>
        <s v="7d99b8c9f080af1497aacab86eacdc2ccd09230a6473dd0e97018764267db770"/>
        <s v="8090cd64f046681b693aec6938aa719dcbe1b6d86816e3856482db81fa2af575"/>
        <s v="827363441374e0c0c5cef491c121718cb24efce00d464fde2343f92e15c9f599"/>
        <s v="831fd55ea70f59df70944c221957e6d9a03d0f7300aed7590436a426d104519b"/>
        <s v="84d98eb79cf8991002b1237a089a3351393ce86acaa51eee170931e0d21e8ac1"/>
        <s v="859952a7686b00bfef2f84d0955bfff4654605ea8e2f1c59c0e8623fb9ac007c"/>
        <s v="8631e87446a933dafae4602c3a24ed4d5ddd7af97e3500633a1009ef1a3117ef"/>
        <s v="87cd406ebe3c153839d5548340ccea12f1f51aa11a5227242190fa70e4a4fb4f"/>
        <s v="88c1919580587ef6099a20dfb97550a8b312463855b9b9db78419c6de92c5d23"/>
        <s v="8a81f8dbd921c80de6ad5f03a94e66b9166d663e00baabd053f0cd452e028336"/>
        <s v="8b962d7067e40b1514148179a8ce2b23e0fd9ee2e177bc2bfda9891bf2d9138d"/>
        <s v="8bae290a4cef530c1f1f6522e71e158ccb1caf495d34053f4e0c2789a037ca05"/>
        <s v="8dd0263a8ee3443e94e55bec8c58296f3ec3398811035cd44908882056cad903"/>
        <s v="8e07a202a127e242f3e2507fa1452ea2778893dad27d7af7ca000292b57aefc6"/>
        <s v="8ebdebce158cb2d5b2670d286938cde6d0c3ab6d245de11381660dd51c3ceb04"/>
        <s v="90088dc9ccf2d419c26eb61d0518d57a7f2103de6663d80d52e4c662b622179e"/>
        <s v="9518eeeeeb862711048a6bac964dcd4a5ab3a9fd5f63fa544f41a310e20266c3"/>
        <s v="964468b3d515534951a4f11fe9bb1b265b796940769c85dfcd896bba5396e35a"/>
        <s v="96d855cee385c0a2dcb57a81f065ccf48268a0e9d326ee82aee71c65dc803693"/>
        <s v="9a105f1742f6db6977504699a847aaa0bbd9fe9a8c14832ded67c818f553d571"/>
        <s v="9bd7c87431f0e96e357060a608372243583e71e71c3c04e5413f59f5e911c1e4"/>
        <s v="9bdd22b0be6568fd28b61b32f1e96c91eada49fabc2818142321ac1bd6e4f3c6"/>
        <s v="9ed537e5d66f887420beb93de9f92ced8f70d7609104b3e84c3b6c3a1ef82586"/>
        <s v="9fd11bd277273f0e632923403a78dc716cd8a61a70d4ecb407dba4fe6a92dd3b"/>
        <s v="a018f64718d6e7edc56bb50562612ca3367bf317b7990c87da407219f5c4d9ba"/>
        <s v="a1b73ba9b5d5f46504ac0185622e0f0a41074ae8e46bdb625e032a74158e89ac"/>
        <s v="a2954690231a4e86dd8807b951384920d284254a649f5871f2d2254c02d609dc"/>
        <s v="a46cb6b7f51f4b398b0cf1d7a4e00cbd3f859ad39d545b04cd561ca51d4e6db1"/>
        <s v="a574f495001d03c8351c351274008d14159a1190fe07e1d6adf67a37f5b161ac"/>
        <s v="a5c779f949ad510acd771b9778b21ce357a3f5cdf224e5fcb5d864af92aaf639"/>
        <s v="a5e39eaa15b4cc7c249c8cbb6eae68dd6a4bd1e00632d19f3fc606e2b4e868ff"/>
        <s v="a6bd3f8da23f467c45723d67ec927dc9caee55215427346b8fcafbbe938ec57b"/>
        <s v="a7b3c72742ee27f82d6b582d50657fa89fe2c94a6a6465d261d1e064f2505ae1"/>
        <s v="a828a99841ac276d14e393e9759920d16dfac43fd4aac45fa644d0962255b0ef"/>
        <s v="aaa157651d051afc2b8c00828e7c792563ea94ac3d375aafdc5719e312deefe8"/>
        <s v="ab42bf3705ce0f27cab5ebfec13e461bf36d350fc41befef64f6b9258c40ebc1"/>
        <s v="ac963a105840acb802984b4657ec82189b32ed370c13095a950bf73daa737a48"/>
        <s v="ace4891e0d1df1e508d136cf2e612e2e4ca5bfdfe20d658ca07ccdfb3622a485"/>
        <s v="afc15774039e0d1155ef1bc22b53c5458554bbf6a62842155917b1092e4ab5de"/>
        <s v="b05f9819ec26d31b01dfc9454566452fc2178cdb8fa8c2d464a6bd57321e5b54"/>
        <s v="b142910eff5f97e86a2cadd1790c18d9fd27956baaff230edd99b13f7bc6bbd0"/>
        <s v="b219fa4babe19c9b745a4aa169ed6032a3a8db3a8a2ab61e473d540d1e6ecf21"/>
        <s v="b4df1baccf5ea6daa84615d0fe8d86ba767fb7182f38bfaa326b3fdb579ca0fb"/>
        <s v="b6d36810547a5bcc0dfb653ad874503c687b2499f03cdd31a267385e9d9c39b1"/>
        <s v="b80cc47955fe639997963bec0d48505d3d867eade9eaa1015a41f45730e01b71"/>
        <s v="b834e5be6ebcd7443413e6076e09f99dafb8da6f30a4e6f0aba6405a805e0616"/>
        <s v="b88a538bac6a836f0b3b1748d2db3ba3c475de85210b98969924141341075bcc"/>
        <s v="b8f7f73d07b822c66b804d5c899b6f300c2644ee2801c076b4cb6fe04b080c13"/>
        <s v="ba9770f8e6137fe3e72c5d369c0b1cf214132824627e8fcc687aaccfb0066698"/>
        <s v="c0e413d52597795524f4eca81c05382be99db3ebb82dbe9eb9f8dcc0d70a274f"/>
        <s v="c2906d3c12d601295c2e59b996c00c8eb22f935062f79fad2e18a817722b0b48"/>
        <s v="c2f46a27fc77813d8cdf032a9764f5d88afb6ec18fa004f512a3d9d92251f2ae"/>
        <s v="c4a01073dad8813d1b26ac22ef32e9168a0d0a682f4e01be7ab9814c09b686a2"/>
        <s v="c6290a4c6c36d521c86a000cc3472511d78e5247c597e9164ebaaa7cbbe27a91"/>
        <s v="c86d5c7de9e76f7baffdb8b75eb67d463d3cede5d5ba458e4190cce6d0e6cf52"/>
        <s v="cbf689a1d224d2a28eb4fdc0392cc33a99122f74cd93b9a8252c1f3f1a917b0a"/>
        <s v="cd30ad874beb18fa663f998b4321c5931be2163e361ed0b65c10853549cb3144"/>
        <s v="cdd0bfec332d217094624e19e6b0611c6d8874de7ec35c67c57e9747d6a0a093"/>
        <s v="ce12e5ec16f69f46196eb4647dca7d498f1f74a8d105e65c062f32c268e78c25"/>
        <s v="cf4ae628a48821d62fcc6c27cc467ee2d27f3104971d3f66c96acb5c9c92140e"/>
        <s v="cfde0d9e84230d90b5e5f5c1b541e7219f347fcf5a5801029906a96415fdbe8d"/>
        <s v="d2c9c34cc813d21d922075671956ddbc88c4ea7d5b82bae33dca82da0299a6a2"/>
        <s v="d3ce8e6ed77a5300cdb4faf36b11845071bc0d8b3970fa47ca6d0a4435b50211"/>
        <s v="d60262e1d2413a8dd8b7ca2366a6744356f96b99110ba87418bc51b433759994"/>
        <s v="d8b04808c1fe8a2e5452c08cc7d8b5523595037ded47aa59224b36601d22cde9"/>
        <s v="d9ccb3e49e868829d09fb8e7bcd700ca487adaf88be51018056edf2e730f02ee"/>
        <s v="d9cf774c036f292336ba4c48aefd68e973069a87be33aa7a893cc064e3a70708"/>
        <s v="db565d69d85e629c35dbdbc3cd44746f5297ce3ef344efa960701dad8cc0bcdd"/>
        <s v="e0fc94b8dd72feb0874ddb47bf60fc5544fc087d46eabb11d8d6c422be92789e"/>
        <s v="e30785aceac29db081278c54853383c7ebc0dc239aa72b5e6aa5d058c791be4a"/>
        <s v="e3cea6fdc6ecf00b8ee405d940019758adc70c6e859f25e08f34675129b7027b"/>
        <s v="e5bfe8d63243a75e18152dfd89c742fd583b275a9ad06631afd452c052995b3f"/>
        <s v="e78c76bf92ee58f4754858fe3af3de24736dde493b3f30acc84d18fd68499307"/>
        <s v="e79ec359dbab97548781c950190917ee732e99291b5ba148e77143dc6bc76558"/>
        <s v="e7a5dc41e7ab5ec2a35967417e65f21253f03043546e1c6523a63dd3bfa12e7a"/>
        <s v="e8ffbdc7d30d0347093a07e3dfd03179320416c68a1edf216b38c32f1a4ab604"/>
        <s v="ea7fe92a7be3309afc7d5a92c5ccde90fe465019dbf2c34e3ff606d997d810c3"/>
        <s v="ee51bad0d8a826282d38e2b2fafb0f4ec37e1adbd0c287cda6faa4c61070e824"/>
        <s v="f121b63c8023da63ab36478177d2d683861dbf60deffd73136e29a2048842148"/>
        <s v="f489596b82f7816584dfaaeb6b652161de3e0b55afcd12da6a80bed65a5a9597"/>
      </sharedItems>
    </cacheField>
    <cacheField name="Кол-во" numFmtId="0">
      <sharedItems containsSemiMixedTypes="0" containsString="0" containsNumber="1" containsInteger="1" minValue="1" maxValue="1" count="1">
        <n v="1"/>
      </sharedItems>
    </cacheField>
    <cacheField name="Формула" numFmtId="0">
      <sharedItems count="172">
        <s v="с3350 /"/>
        <s v="с3350 1а/ВС"/>
        <s v="с3350 1а/ВС-1"/>
        <s v="с3350 1а/СН"/>
        <s v="с3350 3а/ВС"/>
        <s v="с3350 3а/ВС-1"/>
        <s v="с3350 3а/ВС-2"/>
        <s v="с3350 3а/ОК-1"/>
        <s v="с3350 3а/СН"/>
        <s v="с3350 3а/Тип 10"/>
        <s v="с3350 3а/Тип 10-1"/>
        <s v="с3350 3б/ОК-1.1"/>
        <s v="с3350 3б/ОК-1.1-1"/>
        <s v="с3350 3б/Тип 10"/>
        <s v="с3350 3б/Тип 10-1"/>
        <s v="с3350 5а/ВС"/>
        <s v="с3350 5а/ВС-1"/>
        <s v="с3350 5а/ОК-1"/>
        <s v="с3350 5а/ОК-1-1"/>
        <s v="с3350 5а/Тип 10"/>
        <s v="с3350 5а/Тип 10-1"/>
        <s v="с3350 5б/ОК-1.1"/>
        <s v="с3350 5б/ОК-1.1-1"/>
        <s v="с3350 5б/Тип 10"/>
        <s v="с3350 6а/ОК-1"/>
        <s v="с3350 6а/Тип 10"/>
        <s v="с3350 6б/ОК-1.1"/>
        <s v="с3350 6б/Тип 10"/>
        <s v="с3350 ВС/1а"/>
        <s v="с3350 ВС/3а"/>
        <s v="с3350 ВС/5а"/>
        <s v="с3350 ВС/СН"/>
        <s v="с3350 ВС/СН-1"/>
        <s v="с3350 ВС/Тип 10"/>
        <s v="с3350 ВС/Тип 10-1"/>
        <s v="с3350 Лист 1 мм/Тип 10"/>
        <s v="с3350 Лист 1 мм/Тип 10-1"/>
        <s v="с3350 ОК-1.1/3б"/>
        <s v="с3350 ОК-1.1/3б-1"/>
        <s v="с3350 ОК-1.1/3б-2"/>
        <s v="с3350 ОК-1.1/5б"/>
        <s v="с3350 ОК-1.1/5б-1"/>
        <s v="с3350 ОК-1.1/6б"/>
        <s v="с3350 ОК-1.1/Тип 10"/>
        <s v="с3350 ОК-1/3а"/>
        <s v="с3350 ОК-1/3а-1"/>
        <s v="с3350 ОК-1/5а"/>
        <s v="с3350 ОК-1/5а-1"/>
        <s v="с3350 ОК-1/6а"/>
        <s v="с3350 ОК-1/Тип 10"/>
        <s v="с3350 СН/1а"/>
        <s v="с3350 СН/1а-1"/>
        <s v="с3350 СН/3а"/>
        <s v="с3350 СН/3а-1"/>
        <s v="с3350 СН/ВС"/>
        <s v="с3350 СН/Тип 10"/>
        <s v="с3350 СН/Тип 10-1"/>
        <s v="с3350 Тип 10/3а"/>
        <s v="с3350 Тип 10/3а-1"/>
        <s v="с3350 Тип 10/3а-2"/>
        <s v="с3350 Тип 10/3а-3"/>
        <s v="с3350 Тип 10/3б"/>
        <s v="с3350 Тип 10/3б-1"/>
        <s v="с3350 Тип 10/5а"/>
        <s v="с3350 Тип 10/5а-1"/>
        <s v="с3350 Тип 10/5а-2"/>
        <s v="с3350 Тип 10/5б"/>
        <s v="с3350 Тип 10/6а"/>
        <s v="с3350 Тип 10/6б"/>
        <s v="с3350 Тип 10/ВС"/>
        <s v="с3350 Тип 10/Лист 1 мм"/>
        <s v="с3350 Тип 10/Лист 1 мм-1"/>
        <s v="с3350 Тип 10/ОК-1"/>
        <s v="с3350 Тип 10/ОК-1.1"/>
        <s v="с3350 Тип 10/СН"/>
        <s v="с3350 Тип 10/СН-1"/>
        <s v="с3510 /"/>
        <s v="с3510 1а/СН"/>
        <s v="с3510 3а/СН"/>
        <s v="с3510 3а/Тип 10"/>
        <s v="с3510 3а/Тип 10-1"/>
        <s v="с3510 3б/Тип 10"/>
        <s v="с3510 3б/Тип 10-1"/>
        <s v="с3510 5а/ОК-1"/>
        <s v="с3510 5а/Тип 10"/>
        <s v="с3510 5а/Тип 10-1"/>
        <s v="с3510 5б/ОК-1.1"/>
        <s v="с3510 5б/Тип 10"/>
        <s v="с3510 6а/Тип 10"/>
        <s v="с3510 6б/Тип 10"/>
        <s v="с3510 ВС/1а"/>
        <s v="с3510 ВС/3а"/>
        <s v="с3510 ВС/3а-1"/>
        <s v="с3510 ВС/5а"/>
        <s v="с3510 Лист 1 мм/Тип 10"/>
        <s v="с3510 ОК-1.1/3б"/>
        <s v="с3510 ОК-1.1/3б-1"/>
        <s v="с3510 ОК-1.1/3б-2"/>
        <s v="с3510 ОК-1.1/5б"/>
        <s v="с3510 ОК-1.1/5б-1"/>
        <s v="с3510 ОК-1.1/6б"/>
        <s v="с3510 ОК-1.1/Тип 10"/>
        <s v="с3510 ОК-1/3а"/>
        <s v="с3510 ОК-1/3а-1"/>
        <s v="с3510 ОК-1/5а"/>
        <s v="с3510 ОК-1/5а-1"/>
        <s v="с3510 ОК-1/6а"/>
        <s v="с3510 ОК-1/Тип 10"/>
        <s v="с3510 СН/ВС"/>
        <s v="с3510 СН/Тип 10"/>
        <s v="с3510 Тип 10/5а"/>
        <s v="с3510 Тип 10/5б"/>
        <s v="с3510 Тип 10/ВС"/>
        <s v="с3510 Тип 10/Лист 1 мм"/>
        <s v="с3510 Тип 10/ОК-1"/>
        <s v="с3510 Тип 10/ОК-1.1"/>
        <s v="с3510 Тип 10/СН"/>
        <s v="с3770 1а/ВС"/>
        <s v="с3770 3а/ВС"/>
        <s v="с3770 5а/ВС"/>
        <s v="с3770 ВС/СН"/>
        <s v="с3770 ВС/Тип 10"/>
        <s v="с3770 Лист 1 мм/Тип 10"/>
        <s v="с3770 СН/1а"/>
        <s v="с3770 СН/3а"/>
        <s v="с3770 СН/Тип 10"/>
        <s v="с3770 Тип 10/3а"/>
        <s v="с3770 Тип 10/5а"/>
        <s v="с3770 Тип 10/Лист 1 мм"/>
        <s v="с3770 Тип 10/СН"/>
        <s v="с3930 /"/>
        <s v="с3930 1б/Тип 10"/>
        <s v="с3930 3а/ВС"/>
        <s v="с3930 3б/Тип 10"/>
        <s v="с3930 3б/Тип 10-1"/>
        <s v="с3930 5б/ОК-1.1"/>
        <s v="с3930 5б/Тип 10"/>
        <s v="с3930 5б/Тип 10-1"/>
        <s v="с3930 6б/Тип 10"/>
        <s v="с3930 ВС/СН"/>
        <s v="с3930 ВС/Тип 10"/>
        <s v="с3930 Лист 1 мм/Тип 10"/>
        <s v="с3930 ОК-1.1/1б"/>
        <s v="с3930 ОК-1.1/3б"/>
        <s v="с3930 ОК-1.1/3б-1"/>
        <s v="с3930 ОК-1.1/5б"/>
        <s v="с3930 ОК-1.1/5б-1"/>
        <s v="с3930 ОК-1.1/6б"/>
        <s v="с3930 ОК-1.1/Тип 10"/>
        <s v="с3930 СН/3а"/>
        <s v="с3930 СН/Тип 10"/>
        <s v="с3930 Тип 10/3а"/>
        <s v="с3930 Тип 10/5б"/>
        <s v="с3930 Тип 10/Лист 1 мм"/>
        <s v="с3930 Тип 10/ОК-1.1"/>
        <s v="с3930 Тип 10/ОК-1.1-1"/>
        <s v="с3930 Тип 10/СН"/>
        <s v="с5360 1а/СН"/>
        <s v="с5360 3а/СН"/>
        <s v="с5360 3а/Тип 8"/>
        <s v="с5360 5а/Тип 8"/>
        <s v="с5360 ВС/1а"/>
        <s v="с5360 ВС/3а"/>
        <s v="с5360 ВС/3а-1"/>
        <s v="с5360 ВС/5а"/>
        <s v="с5360 Лист 1 мм/Тип 8"/>
        <s v="с5360 СН/ВС"/>
        <s v="с5360 СН/ВС-1"/>
        <s v="с5360 СН/Тип 8"/>
        <s v="с5360 Тип 8/ВС"/>
        <s v="с5360 Тип 8/Лист 1 мм"/>
        <s v="с5360 Тип 8/СН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874" createdVersion="3">
  <cacheSource type="worksheet">
    <worksheetSource ref="A1:I875" sheet="Лист10"/>
  </cacheSource>
  <cacheFields count="9">
    <cacheField name="Плоскость" numFmtId="0">
      <sharedItems count="4">
        <s v="(5-1)-(5-6)"/>
        <s v="(5-6)-(5-1)"/>
        <s v="(5-А)-(5-Л)"/>
        <s v="(5-Л)-(5-А)"/>
      </sharedItems>
    </cacheField>
    <cacheField name="Этаж" numFmtId="0">
      <sharedItems containsSemiMixedTypes="0" containsString="0" containsNumber="1" containsInteger="1" minValue="2" maxValue="57" count="10">
        <n v="2"/>
        <n v="3"/>
        <n v="4"/>
        <n v="19"/>
        <n v="20"/>
        <n v="29"/>
        <n v="30"/>
        <n v="39"/>
        <n v="40"/>
        <n v="57"/>
      </sharedItems>
    </cacheField>
    <cacheField name="Стойка" numFmtId="0">
      <sharedItems containsSemiMixedTypes="0" containsString="0" containsNumber="1" containsInteger="1" minValue="1" maxValue="36" count="3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</sharedItems>
    </cacheField>
    <cacheField name="ЗапЛев" numFmtId="0">
      <sharedItems containsBlank="1" count="16">
        <s v="1а"/>
        <s v="1б"/>
        <s v="3а"/>
        <s v="3б"/>
        <s v="5а"/>
        <s v="5б"/>
        <s v="6а"/>
        <s v="6б"/>
        <s v="ВС"/>
        <s v="Лист 1 мм"/>
        <s v="ОК-1"/>
        <s v="ОК-1.1"/>
        <s v="СН"/>
        <s v="Тип 10"/>
        <s v="Тип 8"/>
        <m/>
      </sharedItems>
    </cacheField>
    <cacheField name="ЗапПрав" numFmtId="0">
      <sharedItems containsBlank="1" count="16">
        <s v="1а"/>
        <s v="1б"/>
        <s v="3а"/>
        <s v="3б"/>
        <s v="5а"/>
        <s v="5б"/>
        <s v="6а"/>
        <s v="6б"/>
        <s v="ВС"/>
        <s v="Лист 1 мм"/>
        <s v="ОК-1"/>
        <s v="ОК-1.1"/>
        <s v="СН"/>
        <s v="Тип 10"/>
        <s v="Тип 8"/>
        <m/>
      </sharedItems>
    </cacheField>
    <cacheField name="Высота" numFmtId="0">
      <sharedItems containsSemiMixedTypes="0" containsString="0" containsNumber="1" containsInteger="1" minValue="3350" maxValue="5360" count="5">
        <n v="3350"/>
        <n v="3510"/>
        <n v="3770"/>
        <n v="3930"/>
        <n v="5360"/>
      </sharedItems>
    </cacheField>
    <cacheField name="Позиция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Хэш" numFmtId="0">
      <sharedItems count="172">
        <s v="004b332d6efc246a106a9eba3c3bd2f067faa9c6e78cd184eab5700bb060ede7"/>
        <s v="00e8a112f53793cef732f23461948db1a3a930c67f5dde1de7c9eaaca31c3d35"/>
        <s v="014ae9bdf0facb907fa3d2543776d5b284c7d0f0450bba37433f4efd6e4c7f8d"/>
        <s v="0188c0eccdd5f082710988d45c8428a7982e1c9348d7962310aa38124e7814a4"/>
        <s v="02112555734677b9f63d57bb17da05765a8c3a3ca46c7dd252916dd9c78cb539"/>
        <s v="071ff40b0b74a93f789c990282f6c9a4203e383360c16cfc97b084273e337ede"/>
        <s v="07cd3cc3ca184854660dade02bbf8bdc7dea9abbb9294fba3ba59ad9644ef558"/>
        <s v="080f6216f3bfa97cc89caa8283c6ad38604a5820e9b22d3548a037b821aa777b"/>
        <s v="08ac0aa092a390a1c664826f8c6b79acff1fad10e6ccd21e7973d9bb55a9de4a"/>
        <s v="0a19198a8120598ac25f18f17d9ea924689bdd18a0e5beb7e0e749577fb7744c"/>
        <s v="0be537ee89ebabe840276eb30dbac75702f84a1e80da21e03c98dab760758d7f"/>
        <s v="0caf070fb0a3b9da279999ee189057aa07d0cb46920c3697f91a92426d83462b"/>
        <s v="0f57b28fc89cc4c4adfa5267fd5f6f0b5ac94dc9a649462caa3e6f9f2d89099f"/>
        <s v="121746a10aaa42ed76f08fb67546c7969a4c4be18cbf0d25af28ceb6e017ee87"/>
        <s v="12b8d7cb190313551b866f5843bea2931d6b70af0c88917ea4f4ae65e4939032"/>
        <s v="14de3af50b4d5b75003418e9d920c29b82eaef83ff5d026f5a5caa3fae97e7ed"/>
        <s v="160bf49f9cf913faad30c9dbd0c0756b5c8dc553a6cace25bf3f4fd6ce0ce79a"/>
        <s v="177a92b90cca233cb58f8d4de3196d3bb6d59ce510cc9cbaf5e45ce6840c68b4"/>
        <s v="1804e418dd6a2227424d83996e927555c68c2a47d52ed988eb4c0960b1a141c5"/>
        <s v="18ac8bd63729b54495c9d2ed4f73e71317e8d1714f92c57e96b3915640d86c95"/>
        <s v="18d4912daa02143266e1e4f6a6bb67a15aa8ff04ffc8a961ccea1cd6fffb7512"/>
        <s v="1a9c408fe5805c7970a6775af43e4dbba1c9c421980f92dc4ee94981684dcdd6"/>
        <s v="1c8651365d0342f5b0a789a3db946216cd96c717ab91a344bb763552dfabda33"/>
        <s v="22b18eb639767917825d59d9b134a68e4b7b3e60c56bfc625554219922c4baa4"/>
        <s v="22b2a5498d67137e14b4cb1d2942e48d4e650ab75008af5f37ee5dfa4b435aef"/>
        <s v="24527d94e3be1eca75f27be5c63d620d6d3cae07efcd0af9a2f8814a8afbef84"/>
        <s v="24bb594213916054e768d6e86ac881c73a1c0da39dbda6a2bbc856203f432c5a"/>
        <s v="24fed4974616e84ee23b0044228cd7a720c5dbb0ae131dfa6d75f7e29caffac5"/>
        <s v="27fa65fbf564140021532208b7e1e9c4a1f495eae07309dc1185468adf491fb4"/>
        <s v="286ac56d1fd99afe745abb01c66fe07be37130d5ac77e632ab1e2638b01df491"/>
        <s v="29ee2128a162528270ff6f62fdcf5299286f4a84df182fd1f2bedf8029ec4bd4"/>
        <s v="2b75bde25a65b9fb5dd2939f745b8aab0f824c7a100824d481a7c4e106cdee8e"/>
        <s v="2c61aad1fce3565d4e8fce5e3abebc5d9b1af94cc5bd6be0c36af079c8d314ad"/>
        <s v="2ddb98a33f15a429588551d005266a92ac3215b8e5e8fa2ef7585835ecdfd9e2"/>
        <s v="2f44952afe7b44a8a8cbc08a7829ebce275214d40a3932a3cb00442e48c382a0"/>
        <s v="31fee40e9b53651576fbccf2f9ef53022d85bd0c8805b0033013aabc8ec79ee7"/>
        <s v="35656033cf485fb64d9a338e7a23b5e880580a2d4ee082ade2c49887feb731bc"/>
        <s v="37194e955d879b51309b6375b96551243558befaa5f11e90862d847fd528a495"/>
        <s v="37c34bd8cf4bc0a37ab6e9b0f56a833e7ec930b9dcf0291d27be643bf34164f3"/>
        <s v="38ec03368c6b47bff8dbf0a8aa6e7afb71968db77546366155e91357f0275346"/>
        <s v="398de1ef3bbf53be37b1b5ff0fc480cd79a6e1f712b6e87085610d6a5c0c9865"/>
        <s v="3a0b6af17b3850abd98daf84e21fe075a145c12c3f967d88b77ac20e2100ba00"/>
        <s v="3b8951105f0dac5b85e9da92a9de07c6a3a643b22d06075d150c467207edef61"/>
        <s v="3bf41b16009df12981067d10ee9f6b5cd9a1880e362f48173c8c729622f2e387"/>
        <s v="3c1e3e64a7d93dc3ed2540cb540e2a41416bb2e4dbae936b18a9eb66427e1c56"/>
        <s v="3c936e328636eac7c1c5cef3891949692ed6ca33d9894c12728f73e4a6e9feae"/>
        <s v="3d25ce06dcbb4589e27e24c4d6df59193da22bb180c4ea601065761669814d91"/>
        <s v="3e29b079b69c728af5e9c1fa90bb8c049a002b267c57626c49df19fcc643a1e9"/>
        <s v="3e9f9cf9e0ec6878ef2a913c5de9c41de4ed37b070bb0b5683fa9e1c32baf49d"/>
        <s v="40449bffcaeecef5e1882e802fd37557e3377c1a5c0c887781db8159c571c4cb"/>
        <s v="404d8dcf1cf0a17aa9c67f5923b870c7e5f7d4c9121ce6a2a07dc4dad222cb1e"/>
        <s v="41002164ef94575c7af5574ac1e7d21ad26d5dc0ba4a64ae4a06d0c0f6c321b3"/>
        <s v="4484e67f875a4e9d58c9ecada5496c4b3fde0df8dba03de4f5d4ca3fee36d63e"/>
        <s v="483e805ffc2230cd26b1bfc1a165c684036c560bb7ccb14dca4a771bd346101b"/>
        <s v="486d83f75052e80f095466d32485831fce716c76b1c3f75618c48baa26977f1e"/>
        <s v="4897550b6ad56dfa61fc76d183365d94aa785c7adf451aea6bfc18ef825aeb40"/>
        <s v="498eb537c7140d5f72be2e9b7d521fc29b2045c111bcbe0e981634211d3681df"/>
        <s v="4b50b9692e7362d1befe1c51ffda2dc826785c835227b70b16057eba88d33b98"/>
        <s v="4d7e8a8f0db50dbf7a97412dcb315ed0e0cd1f2abf8825e65913b58a2672a029"/>
        <s v="4d83324e93063d4fc9840c3c34acae541f4d8fa7acbdd0e8d15adeb395662c09"/>
        <s v="4ddd5fdf4bc6ee502479ffc3d44eff27de8c8f8cf117bf2480ffa0eb3804444d"/>
        <s v="4ef07ed7b365ffa62beabb2c4ee100bf1e6fdff3a4b72c4b278511aa86144639"/>
        <s v="4f15b15352e4d0d0dc5af19591d446e17e2e4bffac4d51902945dfb53494ccab"/>
        <s v="531b94050fedb047869e636a8a0e92dee46a6430e828942f1df195c614ecbfbd"/>
        <s v="539733a0fed1a23a03186997139fa14621584deee827ad7286cffffe2d9d8fab"/>
        <s v="55c36b2ba5a6e67eda55b6732905505b5a833ce5c4f361639e5d604807c9710f"/>
        <s v="58bba4ecda8666664ce3b057bc63e7eb490ec9b2678663acfa9b1a4916b7d12e"/>
        <s v="5a7f3d39ce1afc5a75758efc0ca792fa3ddcc0e970cbf64556173659d71b2e23"/>
        <s v="5e9e8fe136d25e062bcbd6ff0a82d93c29f36781afb3887b48cb463645b2ab1d"/>
        <s v="5edab27da590af44a6ea185b9ed3ec522b40f8559350330eab7f14159b12d007"/>
        <s v="5f2ee0d2772dda8a55e51736003ea0feeaef3e721754b08b43469f9654f2e537"/>
        <s v="62f3bd3fc1dc5a9f97b6f3be10fe455ee85804e3554f5a6ec2aff6a7162d2cf2"/>
        <s v="63a52e5998f2f1efa6adeb76e5711f978335b4b4f2ab6fe3f36a1c9e034953ec"/>
        <s v="6488fa385e3896d6f45aa581a58b77c57735536032d012aa0ed2588d977beb6d"/>
        <s v="653d14af2ee454399c1c655f080ab9df18ed3f00b0736f7e900630b7aafd49ea"/>
        <s v="660e1e91d0eb09a406487cf27d1bff759d663715fa53b34f63993db3c795f3ad"/>
        <s v="664fdbc9c4c5b4215e951c3d3e309d2d5bbc03896f434a9538d443090e1b4db7"/>
        <s v="68fe1ada2a107e6b6e780adf9ba1f4d8022a8e42b6dd1e5ea6c8d80c9a4ef5bb"/>
        <s v="6affcd33520b473bcfb36cf224f2e4921e2bed075ae239e7a5be672de3ea61f9"/>
        <s v="6e15289123d40cbd1aa9d1a51d0e9ced79b6fb362ad6ba8f7b7904d8b3f50fdc"/>
        <s v="6e645ba9dec4efe58c536cfc5e767282f71c983b19a8f05ef2c19bac560cf599"/>
        <s v="6eb6086996022c7005eb2fe02071321acd459604aa9918285381019bf24c3087"/>
        <s v="6ef6d7504dcaa969db327a8f6225dac159bb0d7319fdea16c635901c9aacd0b7"/>
        <s v="6f9a8e451336dd30b1911160ebb92318bd27a48c9629b42ccde7f43bb55c3a8a"/>
        <s v="6fcd56815d22dc3b159898badc45bad5f4f0ea614356922ae5f89f82ed55da38"/>
        <s v="70de6b5d8fe5c0e04613aec59b8ca6eb7b880d70cb4c1355d0e7a6cb11c58940"/>
        <s v="71c935b8216285ed62e870e4de7b2dd642a4deb3b5757725a562d5afb309d57e"/>
        <s v="73bae56407ddb4d42f6b86315733e6ca423c5796c4ffd51988a475d7b5e077b3"/>
        <s v="7558d11f705c9789f2ab81bd45098bb57b9bd7ab493ed846be633bdd5de1efd4"/>
        <s v="756f87b834d73b7f9e70932d1d8a01711369616d652c08677a0cca9e183df22a"/>
        <s v="78f056da4ed2fa1151c8fe4b9af57bfd9bec6c045fa425266291b9288b11b8c6"/>
        <s v="7a318af88dd671c381bfe67d79cd184f74b15b29347c0f3b6fe548b1d256f011"/>
        <s v="7d99b8c9f080af1497aacab86eacdc2ccd09230a6473dd0e97018764267db770"/>
        <s v="8090cd64f046681b693aec6938aa719dcbe1b6d86816e3856482db81fa2af575"/>
        <s v="827363441374e0c0c5cef491c121718cb24efce00d464fde2343f92e15c9f599"/>
        <s v="831fd55ea70f59df70944c221957e6d9a03d0f7300aed7590436a426d104519b"/>
        <s v="84d98eb79cf8991002b1237a089a3351393ce86acaa51eee170931e0d21e8ac1"/>
        <s v="859952a7686b00bfef2f84d0955bfff4654605ea8e2f1c59c0e8623fb9ac007c"/>
        <s v="8631e87446a933dafae4602c3a24ed4d5ddd7af97e3500633a1009ef1a3117ef"/>
        <s v="87cd406ebe3c153839d5548340ccea12f1f51aa11a5227242190fa70e4a4fb4f"/>
        <s v="88c1919580587ef6099a20dfb97550a8b312463855b9b9db78419c6de92c5d23"/>
        <s v="8a81f8dbd921c80de6ad5f03a94e66b9166d663e00baabd053f0cd452e028336"/>
        <s v="8b962d7067e40b1514148179a8ce2b23e0fd9ee2e177bc2bfda9891bf2d9138d"/>
        <s v="8bae290a4cef530c1f1f6522e71e158ccb1caf495d34053f4e0c2789a037ca05"/>
        <s v="8dd0263a8ee3443e94e55bec8c58296f3ec3398811035cd44908882056cad903"/>
        <s v="8e07a202a127e242f3e2507fa1452ea2778893dad27d7af7ca000292b57aefc6"/>
        <s v="8ebdebce158cb2d5b2670d286938cde6d0c3ab6d245de11381660dd51c3ceb04"/>
        <s v="90088dc9ccf2d419c26eb61d0518d57a7f2103de6663d80d52e4c662b622179e"/>
        <s v="9518eeeeeb862711048a6bac964dcd4a5ab3a9fd5f63fa544f41a310e20266c3"/>
        <s v="964468b3d515534951a4f11fe9bb1b265b796940769c85dfcd896bba5396e35a"/>
        <s v="96d855cee385c0a2dcb57a81f065ccf48268a0e9d326ee82aee71c65dc803693"/>
        <s v="9a105f1742f6db6977504699a847aaa0bbd9fe9a8c14832ded67c818f553d571"/>
        <s v="9bd7c87431f0e96e357060a608372243583e71e71c3c04e5413f59f5e911c1e4"/>
        <s v="9bdd22b0be6568fd28b61b32f1e96c91eada49fabc2818142321ac1bd6e4f3c6"/>
        <s v="9ed537e5d66f887420beb93de9f92ced8f70d7609104b3e84c3b6c3a1ef82586"/>
        <s v="9fd11bd277273f0e632923403a78dc716cd8a61a70d4ecb407dba4fe6a92dd3b"/>
        <s v="a018f64718d6e7edc56bb50562612ca3367bf317b7990c87da407219f5c4d9ba"/>
        <s v="a1b73ba9b5d5f46504ac0185622e0f0a41074ae8e46bdb625e032a74158e89ac"/>
        <s v="a2954690231a4e86dd8807b951384920d284254a649f5871f2d2254c02d609dc"/>
        <s v="a46cb6b7f51f4b398b0cf1d7a4e00cbd3f859ad39d545b04cd561ca51d4e6db1"/>
        <s v="a574f495001d03c8351c351274008d14159a1190fe07e1d6adf67a37f5b161ac"/>
        <s v="a5c779f949ad510acd771b9778b21ce357a3f5cdf224e5fcb5d864af92aaf639"/>
        <s v="a5e39eaa15b4cc7c249c8cbb6eae68dd6a4bd1e00632d19f3fc606e2b4e868ff"/>
        <s v="a6bd3f8da23f467c45723d67ec927dc9caee55215427346b8fcafbbe938ec57b"/>
        <s v="a7b3c72742ee27f82d6b582d50657fa89fe2c94a6a6465d261d1e064f2505ae1"/>
        <s v="a828a99841ac276d14e393e9759920d16dfac43fd4aac45fa644d0962255b0ef"/>
        <s v="aaa157651d051afc2b8c00828e7c792563ea94ac3d375aafdc5719e312deefe8"/>
        <s v="ab42bf3705ce0f27cab5ebfec13e461bf36d350fc41befef64f6b9258c40ebc1"/>
        <s v="ac963a105840acb802984b4657ec82189b32ed370c13095a950bf73daa737a48"/>
        <s v="ace4891e0d1df1e508d136cf2e612e2e4ca5bfdfe20d658ca07ccdfb3622a485"/>
        <s v="afc15774039e0d1155ef1bc22b53c5458554bbf6a62842155917b1092e4ab5de"/>
        <s v="b05f9819ec26d31b01dfc9454566452fc2178cdb8fa8c2d464a6bd57321e5b54"/>
        <s v="b142910eff5f97e86a2cadd1790c18d9fd27956baaff230edd99b13f7bc6bbd0"/>
        <s v="b219fa4babe19c9b745a4aa169ed6032a3a8db3a8a2ab61e473d540d1e6ecf21"/>
        <s v="b4df1baccf5ea6daa84615d0fe8d86ba767fb7182f38bfaa326b3fdb579ca0fb"/>
        <s v="b6d36810547a5bcc0dfb653ad874503c687b2499f03cdd31a267385e9d9c39b1"/>
        <s v="b80cc47955fe639997963bec0d48505d3d867eade9eaa1015a41f45730e01b71"/>
        <s v="b834e5be6ebcd7443413e6076e09f99dafb8da6f30a4e6f0aba6405a805e0616"/>
        <s v="b88a538bac6a836f0b3b1748d2db3ba3c475de85210b98969924141341075bcc"/>
        <s v="b8f7f73d07b822c66b804d5c899b6f300c2644ee2801c076b4cb6fe04b080c13"/>
        <s v="ba9770f8e6137fe3e72c5d369c0b1cf214132824627e8fcc687aaccfb0066698"/>
        <s v="c0e413d52597795524f4eca81c05382be99db3ebb82dbe9eb9f8dcc0d70a274f"/>
        <s v="c2906d3c12d601295c2e59b996c00c8eb22f935062f79fad2e18a817722b0b48"/>
        <s v="c2f46a27fc77813d8cdf032a9764f5d88afb6ec18fa004f512a3d9d92251f2ae"/>
        <s v="c4a01073dad8813d1b26ac22ef32e9168a0d0a682f4e01be7ab9814c09b686a2"/>
        <s v="c6290a4c6c36d521c86a000cc3472511d78e5247c597e9164ebaaa7cbbe27a91"/>
        <s v="c86d5c7de9e76f7baffdb8b75eb67d463d3cede5d5ba458e4190cce6d0e6cf52"/>
        <s v="cbf689a1d224d2a28eb4fdc0392cc33a99122f74cd93b9a8252c1f3f1a917b0a"/>
        <s v="cd30ad874beb18fa663f998b4321c5931be2163e361ed0b65c10853549cb3144"/>
        <s v="cdd0bfec332d217094624e19e6b0611c6d8874de7ec35c67c57e9747d6a0a093"/>
        <s v="ce12e5ec16f69f46196eb4647dca7d498f1f74a8d105e65c062f32c268e78c25"/>
        <s v="cf4ae628a48821d62fcc6c27cc467ee2d27f3104971d3f66c96acb5c9c92140e"/>
        <s v="cfde0d9e84230d90b5e5f5c1b541e7219f347fcf5a5801029906a96415fdbe8d"/>
        <s v="d2c9c34cc813d21d922075671956ddbc88c4ea7d5b82bae33dca82da0299a6a2"/>
        <s v="d3ce8e6ed77a5300cdb4faf36b11845071bc0d8b3970fa47ca6d0a4435b50211"/>
        <s v="d60262e1d2413a8dd8b7ca2366a6744356f96b99110ba87418bc51b433759994"/>
        <s v="d8b04808c1fe8a2e5452c08cc7d8b5523595037ded47aa59224b36601d22cde9"/>
        <s v="d9ccb3e49e868829d09fb8e7bcd700ca487adaf88be51018056edf2e730f02ee"/>
        <s v="d9cf774c036f292336ba4c48aefd68e973069a87be33aa7a893cc064e3a70708"/>
        <s v="db565d69d85e629c35dbdbc3cd44746f5297ce3ef344efa960701dad8cc0bcdd"/>
        <s v="e0fc94b8dd72feb0874ddb47bf60fc5544fc087d46eabb11d8d6c422be92789e"/>
        <s v="e30785aceac29db081278c54853383c7ebc0dc239aa72b5e6aa5d058c791be4a"/>
        <s v="e3cea6fdc6ecf00b8ee405d940019758adc70c6e859f25e08f34675129b7027b"/>
        <s v="e5bfe8d63243a75e18152dfd89c742fd583b275a9ad06631afd452c052995b3f"/>
        <s v="e78c76bf92ee58f4754858fe3af3de24736dde493b3f30acc84d18fd68499307"/>
        <s v="e79ec359dbab97548781c950190917ee732e99291b5ba148e77143dc6bc76558"/>
        <s v="e7a5dc41e7ab5ec2a35967417e65f21253f03043546e1c6523a63dd3bfa12e7a"/>
        <s v="e8ffbdc7d30d0347093a07e3dfd03179320416c68a1edf216b38c32f1a4ab604"/>
        <s v="ea7fe92a7be3309afc7d5a92c5ccde90fe465019dbf2c34e3ff606d997d810c3"/>
        <s v="ee51bad0d8a826282d38e2b2fafb0f4ec37e1adbd0c287cda6faa4c61070e824"/>
        <s v="f121b63c8023da63ab36478177d2d683861dbf60deffd73136e29a2048842148"/>
        <s v="f489596b82f7816584dfaaeb6b652161de3e0b55afcd12da6a80bed65a5a9597"/>
      </sharedItems>
    </cacheField>
    <cacheField name="Кол-во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4">
  <r>
    <x v="0"/>
    <x v="0"/>
    <x v="0"/>
    <x v="9"/>
    <x v="13"/>
    <x v="2"/>
    <x v="0"/>
    <x v="77"/>
    <x v="0"/>
    <x v="122"/>
  </r>
  <r>
    <x v="0"/>
    <x v="0"/>
    <x v="1"/>
    <x v="13"/>
    <x v="2"/>
    <x v="2"/>
    <x v="0"/>
    <x v="136"/>
    <x v="0"/>
    <x v="126"/>
  </r>
  <r>
    <x v="0"/>
    <x v="0"/>
    <x v="2"/>
    <x v="2"/>
    <x v="8"/>
    <x v="2"/>
    <x v="0"/>
    <x v="84"/>
    <x v="0"/>
    <x v="118"/>
  </r>
  <r>
    <x v="0"/>
    <x v="0"/>
    <x v="3"/>
    <x v="8"/>
    <x v="12"/>
    <x v="2"/>
    <x v="0"/>
    <x v="47"/>
    <x v="0"/>
    <x v="120"/>
  </r>
  <r>
    <x v="0"/>
    <x v="0"/>
    <x v="4"/>
    <x v="12"/>
    <x v="13"/>
    <x v="2"/>
    <x v="0"/>
    <x v="153"/>
    <x v="0"/>
    <x v="125"/>
  </r>
  <r>
    <x v="0"/>
    <x v="0"/>
    <x v="5"/>
    <x v="13"/>
    <x v="2"/>
    <x v="2"/>
    <x v="0"/>
    <x v="136"/>
    <x v="0"/>
    <x v="126"/>
  </r>
  <r>
    <x v="0"/>
    <x v="0"/>
    <x v="6"/>
    <x v="2"/>
    <x v="8"/>
    <x v="2"/>
    <x v="0"/>
    <x v="84"/>
    <x v="0"/>
    <x v="118"/>
  </r>
  <r>
    <x v="0"/>
    <x v="0"/>
    <x v="7"/>
    <x v="8"/>
    <x v="12"/>
    <x v="2"/>
    <x v="0"/>
    <x v="47"/>
    <x v="0"/>
    <x v="120"/>
  </r>
  <r>
    <x v="0"/>
    <x v="0"/>
    <x v="8"/>
    <x v="12"/>
    <x v="13"/>
    <x v="2"/>
    <x v="0"/>
    <x v="153"/>
    <x v="0"/>
    <x v="125"/>
  </r>
  <r>
    <x v="0"/>
    <x v="0"/>
    <x v="9"/>
    <x v="13"/>
    <x v="4"/>
    <x v="2"/>
    <x v="0"/>
    <x v="11"/>
    <x v="0"/>
    <x v="127"/>
  </r>
  <r>
    <x v="0"/>
    <x v="0"/>
    <x v="10"/>
    <x v="4"/>
    <x v="8"/>
    <x v="2"/>
    <x v="0"/>
    <x v="93"/>
    <x v="0"/>
    <x v="119"/>
  </r>
  <r>
    <x v="0"/>
    <x v="0"/>
    <x v="11"/>
    <x v="8"/>
    <x v="13"/>
    <x v="2"/>
    <x v="0"/>
    <x v="110"/>
    <x v="0"/>
    <x v="121"/>
  </r>
  <r>
    <x v="0"/>
    <x v="0"/>
    <x v="12"/>
    <x v="13"/>
    <x v="12"/>
    <x v="2"/>
    <x v="0"/>
    <x v="169"/>
    <x v="0"/>
    <x v="129"/>
  </r>
  <r>
    <x v="0"/>
    <x v="0"/>
    <x v="13"/>
    <x v="12"/>
    <x v="0"/>
    <x v="2"/>
    <x v="0"/>
    <x v="33"/>
    <x v="0"/>
    <x v="123"/>
  </r>
  <r>
    <x v="0"/>
    <x v="0"/>
    <x v="14"/>
    <x v="0"/>
    <x v="8"/>
    <x v="2"/>
    <x v="0"/>
    <x v="71"/>
    <x v="0"/>
    <x v="117"/>
  </r>
  <r>
    <x v="0"/>
    <x v="0"/>
    <x v="15"/>
    <x v="8"/>
    <x v="12"/>
    <x v="2"/>
    <x v="0"/>
    <x v="47"/>
    <x v="0"/>
    <x v="120"/>
  </r>
  <r>
    <x v="0"/>
    <x v="0"/>
    <x v="16"/>
    <x v="12"/>
    <x v="13"/>
    <x v="2"/>
    <x v="0"/>
    <x v="153"/>
    <x v="0"/>
    <x v="125"/>
  </r>
  <r>
    <x v="0"/>
    <x v="0"/>
    <x v="17"/>
    <x v="13"/>
    <x v="4"/>
    <x v="2"/>
    <x v="0"/>
    <x v="11"/>
    <x v="0"/>
    <x v="127"/>
  </r>
  <r>
    <x v="0"/>
    <x v="0"/>
    <x v="18"/>
    <x v="4"/>
    <x v="8"/>
    <x v="2"/>
    <x v="0"/>
    <x v="93"/>
    <x v="0"/>
    <x v="119"/>
  </r>
  <r>
    <x v="0"/>
    <x v="0"/>
    <x v="19"/>
    <x v="8"/>
    <x v="13"/>
    <x v="2"/>
    <x v="0"/>
    <x v="110"/>
    <x v="0"/>
    <x v="121"/>
  </r>
  <r>
    <x v="0"/>
    <x v="0"/>
    <x v="20"/>
    <x v="13"/>
    <x v="12"/>
    <x v="2"/>
    <x v="0"/>
    <x v="169"/>
    <x v="0"/>
    <x v="129"/>
  </r>
  <r>
    <x v="0"/>
    <x v="0"/>
    <x v="21"/>
    <x v="12"/>
    <x v="2"/>
    <x v="2"/>
    <x v="0"/>
    <x v="60"/>
    <x v="0"/>
    <x v="124"/>
  </r>
  <r>
    <x v="0"/>
    <x v="0"/>
    <x v="22"/>
    <x v="2"/>
    <x v="8"/>
    <x v="2"/>
    <x v="0"/>
    <x v="84"/>
    <x v="0"/>
    <x v="118"/>
  </r>
  <r>
    <x v="0"/>
    <x v="0"/>
    <x v="23"/>
    <x v="8"/>
    <x v="13"/>
    <x v="2"/>
    <x v="0"/>
    <x v="110"/>
    <x v="0"/>
    <x v="121"/>
  </r>
  <r>
    <x v="0"/>
    <x v="0"/>
    <x v="24"/>
    <x v="13"/>
    <x v="12"/>
    <x v="2"/>
    <x v="0"/>
    <x v="169"/>
    <x v="0"/>
    <x v="129"/>
  </r>
  <r>
    <x v="0"/>
    <x v="0"/>
    <x v="25"/>
    <x v="12"/>
    <x v="2"/>
    <x v="2"/>
    <x v="0"/>
    <x v="60"/>
    <x v="0"/>
    <x v="124"/>
  </r>
  <r>
    <x v="0"/>
    <x v="0"/>
    <x v="26"/>
    <x v="2"/>
    <x v="8"/>
    <x v="2"/>
    <x v="0"/>
    <x v="84"/>
    <x v="0"/>
    <x v="118"/>
  </r>
  <r>
    <x v="0"/>
    <x v="0"/>
    <x v="27"/>
    <x v="8"/>
    <x v="13"/>
    <x v="2"/>
    <x v="0"/>
    <x v="110"/>
    <x v="0"/>
    <x v="121"/>
  </r>
  <r>
    <x v="0"/>
    <x v="0"/>
    <x v="28"/>
    <x v="13"/>
    <x v="9"/>
    <x v="2"/>
    <x v="0"/>
    <x v="144"/>
    <x v="0"/>
    <x v="128"/>
  </r>
  <r>
    <x v="0"/>
    <x v="1"/>
    <x v="0"/>
    <x v="9"/>
    <x v="13"/>
    <x v="0"/>
    <x v="0"/>
    <x v="75"/>
    <x v="0"/>
    <x v="35"/>
  </r>
  <r>
    <x v="0"/>
    <x v="1"/>
    <x v="1"/>
    <x v="13"/>
    <x v="8"/>
    <x v="0"/>
    <x v="0"/>
    <x v="163"/>
    <x v="0"/>
    <x v="69"/>
  </r>
  <r>
    <x v="0"/>
    <x v="1"/>
    <x v="2"/>
    <x v="8"/>
    <x v="2"/>
    <x v="0"/>
    <x v="0"/>
    <x v="32"/>
    <x v="0"/>
    <x v="29"/>
  </r>
  <r>
    <x v="0"/>
    <x v="1"/>
    <x v="3"/>
    <x v="2"/>
    <x v="12"/>
    <x v="0"/>
    <x v="0"/>
    <x v="38"/>
    <x v="0"/>
    <x v="8"/>
  </r>
  <r>
    <x v="0"/>
    <x v="1"/>
    <x v="4"/>
    <x v="12"/>
    <x v="13"/>
    <x v="0"/>
    <x v="0"/>
    <x v="137"/>
    <x v="0"/>
    <x v="55"/>
  </r>
  <r>
    <x v="0"/>
    <x v="1"/>
    <x v="5"/>
    <x v="13"/>
    <x v="8"/>
    <x v="0"/>
    <x v="0"/>
    <x v="163"/>
    <x v="0"/>
    <x v="69"/>
  </r>
  <r>
    <x v="0"/>
    <x v="1"/>
    <x v="6"/>
    <x v="8"/>
    <x v="2"/>
    <x v="0"/>
    <x v="0"/>
    <x v="32"/>
    <x v="0"/>
    <x v="29"/>
  </r>
  <r>
    <x v="0"/>
    <x v="1"/>
    <x v="7"/>
    <x v="2"/>
    <x v="12"/>
    <x v="0"/>
    <x v="0"/>
    <x v="38"/>
    <x v="0"/>
    <x v="8"/>
  </r>
  <r>
    <x v="0"/>
    <x v="1"/>
    <x v="8"/>
    <x v="12"/>
    <x v="13"/>
    <x v="0"/>
    <x v="0"/>
    <x v="137"/>
    <x v="0"/>
    <x v="55"/>
  </r>
  <r>
    <x v="0"/>
    <x v="1"/>
    <x v="9"/>
    <x v="13"/>
    <x v="8"/>
    <x v="0"/>
    <x v="0"/>
    <x v="163"/>
    <x v="0"/>
    <x v="69"/>
  </r>
  <r>
    <x v="0"/>
    <x v="1"/>
    <x v="10"/>
    <x v="8"/>
    <x v="4"/>
    <x v="0"/>
    <x v="0"/>
    <x v="148"/>
    <x v="0"/>
    <x v="30"/>
  </r>
  <r>
    <x v="0"/>
    <x v="1"/>
    <x v="11"/>
    <x v="4"/>
    <x v="13"/>
    <x v="0"/>
    <x v="0"/>
    <x v="16"/>
    <x v="0"/>
    <x v="19"/>
  </r>
  <r>
    <x v="0"/>
    <x v="1"/>
    <x v="12"/>
    <x v="13"/>
    <x v="12"/>
    <x v="0"/>
    <x v="0"/>
    <x v="51"/>
    <x v="0"/>
    <x v="74"/>
  </r>
  <r>
    <x v="0"/>
    <x v="1"/>
    <x v="13"/>
    <x v="12"/>
    <x v="8"/>
    <x v="0"/>
    <x v="0"/>
    <x v="5"/>
    <x v="0"/>
    <x v="54"/>
  </r>
  <r>
    <x v="0"/>
    <x v="1"/>
    <x v="14"/>
    <x v="8"/>
    <x v="0"/>
    <x v="0"/>
    <x v="0"/>
    <x v="36"/>
    <x v="0"/>
    <x v="28"/>
  </r>
  <r>
    <x v="0"/>
    <x v="1"/>
    <x v="15"/>
    <x v="0"/>
    <x v="12"/>
    <x v="0"/>
    <x v="0"/>
    <x v="43"/>
    <x v="0"/>
    <x v="3"/>
  </r>
  <r>
    <x v="0"/>
    <x v="1"/>
    <x v="16"/>
    <x v="12"/>
    <x v="13"/>
    <x v="0"/>
    <x v="0"/>
    <x v="137"/>
    <x v="0"/>
    <x v="55"/>
  </r>
  <r>
    <x v="0"/>
    <x v="1"/>
    <x v="17"/>
    <x v="13"/>
    <x v="8"/>
    <x v="0"/>
    <x v="0"/>
    <x v="163"/>
    <x v="0"/>
    <x v="69"/>
  </r>
  <r>
    <x v="0"/>
    <x v="1"/>
    <x v="18"/>
    <x v="8"/>
    <x v="4"/>
    <x v="0"/>
    <x v="0"/>
    <x v="148"/>
    <x v="0"/>
    <x v="30"/>
  </r>
  <r>
    <x v="0"/>
    <x v="1"/>
    <x v="19"/>
    <x v="4"/>
    <x v="13"/>
    <x v="0"/>
    <x v="0"/>
    <x v="16"/>
    <x v="0"/>
    <x v="19"/>
  </r>
  <r>
    <x v="0"/>
    <x v="1"/>
    <x v="20"/>
    <x v="13"/>
    <x v="12"/>
    <x v="0"/>
    <x v="0"/>
    <x v="51"/>
    <x v="0"/>
    <x v="74"/>
  </r>
  <r>
    <x v="0"/>
    <x v="1"/>
    <x v="21"/>
    <x v="12"/>
    <x v="8"/>
    <x v="0"/>
    <x v="0"/>
    <x v="5"/>
    <x v="0"/>
    <x v="54"/>
  </r>
  <r>
    <x v="0"/>
    <x v="1"/>
    <x v="22"/>
    <x v="8"/>
    <x v="2"/>
    <x v="0"/>
    <x v="0"/>
    <x v="32"/>
    <x v="0"/>
    <x v="29"/>
  </r>
  <r>
    <x v="0"/>
    <x v="1"/>
    <x v="23"/>
    <x v="2"/>
    <x v="13"/>
    <x v="0"/>
    <x v="0"/>
    <x v="143"/>
    <x v="0"/>
    <x v="9"/>
  </r>
  <r>
    <x v="0"/>
    <x v="1"/>
    <x v="24"/>
    <x v="13"/>
    <x v="12"/>
    <x v="0"/>
    <x v="0"/>
    <x v="51"/>
    <x v="0"/>
    <x v="74"/>
  </r>
  <r>
    <x v="0"/>
    <x v="1"/>
    <x v="25"/>
    <x v="12"/>
    <x v="8"/>
    <x v="0"/>
    <x v="0"/>
    <x v="5"/>
    <x v="0"/>
    <x v="54"/>
  </r>
  <r>
    <x v="0"/>
    <x v="1"/>
    <x v="26"/>
    <x v="8"/>
    <x v="2"/>
    <x v="0"/>
    <x v="0"/>
    <x v="32"/>
    <x v="0"/>
    <x v="29"/>
  </r>
  <r>
    <x v="0"/>
    <x v="1"/>
    <x v="27"/>
    <x v="2"/>
    <x v="13"/>
    <x v="0"/>
    <x v="0"/>
    <x v="143"/>
    <x v="0"/>
    <x v="9"/>
  </r>
  <r>
    <x v="0"/>
    <x v="1"/>
    <x v="28"/>
    <x v="13"/>
    <x v="9"/>
    <x v="0"/>
    <x v="0"/>
    <x v="122"/>
    <x v="0"/>
    <x v="70"/>
  </r>
  <r>
    <x v="0"/>
    <x v="2"/>
    <x v="0"/>
    <x v="9"/>
    <x v="13"/>
    <x v="0"/>
    <x v="0"/>
    <x v="75"/>
    <x v="0"/>
    <x v="35"/>
  </r>
  <r>
    <x v="0"/>
    <x v="2"/>
    <x v="1"/>
    <x v="13"/>
    <x v="2"/>
    <x v="0"/>
    <x v="0"/>
    <x v="111"/>
    <x v="0"/>
    <x v="57"/>
  </r>
  <r>
    <x v="0"/>
    <x v="2"/>
    <x v="2"/>
    <x v="2"/>
    <x v="8"/>
    <x v="0"/>
    <x v="0"/>
    <x v="61"/>
    <x v="0"/>
    <x v="4"/>
  </r>
  <r>
    <x v="0"/>
    <x v="2"/>
    <x v="3"/>
    <x v="8"/>
    <x v="12"/>
    <x v="0"/>
    <x v="0"/>
    <x v="161"/>
    <x v="0"/>
    <x v="31"/>
  </r>
  <r>
    <x v="0"/>
    <x v="2"/>
    <x v="4"/>
    <x v="12"/>
    <x v="13"/>
    <x v="0"/>
    <x v="0"/>
    <x v="137"/>
    <x v="0"/>
    <x v="55"/>
  </r>
  <r>
    <x v="0"/>
    <x v="2"/>
    <x v="5"/>
    <x v="13"/>
    <x v="2"/>
    <x v="0"/>
    <x v="0"/>
    <x v="111"/>
    <x v="0"/>
    <x v="57"/>
  </r>
  <r>
    <x v="0"/>
    <x v="2"/>
    <x v="6"/>
    <x v="2"/>
    <x v="8"/>
    <x v="0"/>
    <x v="0"/>
    <x v="61"/>
    <x v="0"/>
    <x v="4"/>
  </r>
  <r>
    <x v="0"/>
    <x v="2"/>
    <x v="7"/>
    <x v="8"/>
    <x v="12"/>
    <x v="0"/>
    <x v="0"/>
    <x v="161"/>
    <x v="0"/>
    <x v="31"/>
  </r>
  <r>
    <x v="0"/>
    <x v="2"/>
    <x v="8"/>
    <x v="12"/>
    <x v="13"/>
    <x v="0"/>
    <x v="0"/>
    <x v="137"/>
    <x v="0"/>
    <x v="55"/>
  </r>
  <r>
    <x v="0"/>
    <x v="2"/>
    <x v="9"/>
    <x v="13"/>
    <x v="4"/>
    <x v="0"/>
    <x v="0"/>
    <x v="31"/>
    <x v="0"/>
    <x v="63"/>
  </r>
  <r>
    <x v="0"/>
    <x v="2"/>
    <x v="10"/>
    <x v="4"/>
    <x v="8"/>
    <x v="0"/>
    <x v="0"/>
    <x v="138"/>
    <x v="0"/>
    <x v="15"/>
  </r>
  <r>
    <x v="0"/>
    <x v="2"/>
    <x v="11"/>
    <x v="8"/>
    <x v="13"/>
    <x v="0"/>
    <x v="0"/>
    <x v="1"/>
    <x v="0"/>
    <x v="33"/>
  </r>
  <r>
    <x v="0"/>
    <x v="2"/>
    <x v="12"/>
    <x v="13"/>
    <x v="12"/>
    <x v="0"/>
    <x v="0"/>
    <x v="51"/>
    <x v="0"/>
    <x v="74"/>
  </r>
  <r>
    <x v="0"/>
    <x v="2"/>
    <x v="13"/>
    <x v="12"/>
    <x v="0"/>
    <x v="0"/>
    <x v="0"/>
    <x v="3"/>
    <x v="0"/>
    <x v="50"/>
  </r>
  <r>
    <x v="0"/>
    <x v="2"/>
    <x v="14"/>
    <x v="0"/>
    <x v="8"/>
    <x v="0"/>
    <x v="0"/>
    <x v="42"/>
    <x v="0"/>
    <x v="1"/>
  </r>
  <r>
    <x v="0"/>
    <x v="2"/>
    <x v="15"/>
    <x v="8"/>
    <x v="12"/>
    <x v="0"/>
    <x v="0"/>
    <x v="161"/>
    <x v="0"/>
    <x v="31"/>
  </r>
  <r>
    <x v="0"/>
    <x v="2"/>
    <x v="16"/>
    <x v="12"/>
    <x v="13"/>
    <x v="0"/>
    <x v="0"/>
    <x v="137"/>
    <x v="0"/>
    <x v="55"/>
  </r>
  <r>
    <x v="0"/>
    <x v="2"/>
    <x v="17"/>
    <x v="13"/>
    <x v="4"/>
    <x v="0"/>
    <x v="0"/>
    <x v="31"/>
    <x v="0"/>
    <x v="63"/>
  </r>
  <r>
    <x v="0"/>
    <x v="2"/>
    <x v="18"/>
    <x v="4"/>
    <x v="8"/>
    <x v="0"/>
    <x v="0"/>
    <x v="138"/>
    <x v="0"/>
    <x v="15"/>
  </r>
  <r>
    <x v="0"/>
    <x v="2"/>
    <x v="19"/>
    <x v="8"/>
    <x v="13"/>
    <x v="0"/>
    <x v="0"/>
    <x v="1"/>
    <x v="0"/>
    <x v="33"/>
  </r>
  <r>
    <x v="0"/>
    <x v="2"/>
    <x v="20"/>
    <x v="13"/>
    <x v="12"/>
    <x v="0"/>
    <x v="0"/>
    <x v="51"/>
    <x v="0"/>
    <x v="74"/>
  </r>
  <r>
    <x v="0"/>
    <x v="2"/>
    <x v="21"/>
    <x v="12"/>
    <x v="2"/>
    <x v="0"/>
    <x v="0"/>
    <x v="117"/>
    <x v="0"/>
    <x v="52"/>
  </r>
  <r>
    <x v="0"/>
    <x v="2"/>
    <x v="22"/>
    <x v="2"/>
    <x v="8"/>
    <x v="0"/>
    <x v="0"/>
    <x v="61"/>
    <x v="0"/>
    <x v="4"/>
  </r>
  <r>
    <x v="0"/>
    <x v="2"/>
    <x v="23"/>
    <x v="8"/>
    <x v="13"/>
    <x v="0"/>
    <x v="0"/>
    <x v="1"/>
    <x v="0"/>
    <x v="33"/>
  </r>
  <r>
    <x v="0"/>
    <x v="2"/>
    <x v="24"/>
    <x v="13"/>
    <x v="12"/>
    <x v="0"/>
    <x v="0"/>
    <x v="51"/>
    <x v="0"/>
    <x v="74"/>
  </r>
  <r>
    <x v="0"/>
    <x v="2"/>
    <x v="25"/>
    <x v="12"/>
    <x v="2"/>
    <x v="0"/>
    <x v="0"/>
    <x v="117"/>
    <x v="0"/>
    <x v="52"/>
  </r>
  <r>
    <x v="0"/>
    <x v="2"/>
    <x v="26"/>
    <x v="2"/>
    <x v="8"/>
    <x v="0"/>
    <x v="0"/>
    <x v="61"/>
    <x v="0"/>
    <x v="4"/>
  </r>
  <r>
    <x v="0"/>
    <x v="2"/>
    <x v="27"/>
    <x v="8"/>
    <x v="13"/>
    <x v="0"/>
    <x v="0"/>
    <x v="1"/>
    <x v="0"/>
    <x v="33"/>
  </r>
  <r>
    <x v="0"/>
    <x v="2"/>
    <x v="28"/>
    <x v="13"/>
    <x v="9"/>
    <x v="0"/>
    <x v="0"/>
    <x v="122"/>
    <x v="0"/>
    <x v="70"/>
  </r>
  <r>
    <x v="0"/>
    <x v="3"/>
    <x v="0"/>
    <x v="9"/>
    <x v="13"/>
    <x v="1"/>
    <x v="0"/>
    <x v="7"/>
    <x v="0"/>
    <x v="94"/>
  </r>
  <r>
    <x v="0"/>
    <x v="3"/>
    <x v="1"/>
    <x v="13"/>
    <x v="8"/>
    <x v="1"/>
    <x v="0"/>
    <x v="20"/>
    <x v="0"/>
    <x v="112"/>
  </r>
  <r>
    <x v="0"/>
    <x v="3"/>
    <x v="2"/>
    <x v="8"/>
    <x v="2"/>
    <x v="1"/>
    <x v="0"/>
    <x v="88"/>
    <x v="0"/>
    <x v="91"/>
  </r>
  <r>
    <x v="0"/>
    <x v="3"/>
    <x v="3"/>
    <x v="2"/>
    <x v="12"/>
    <x v="1"/>
    <x v="0"/>
    <x v="14"/>
    <x v="0"/>
    <x v="78"/>
  </r>
  <r>
    <x v="0"/>
    <x v="3"/>
    <x v="4"/>
    <x v="12"/>
    <x v="13"/>
    <x v="1"/>
    <x v="0"/>
    <x v="79"/>
    <x v="0"/>
    <x v="109"/>
  </r>
  <r>
    <x v="0"/>
    <x v="3"/>
    <x v="5"/>
    <x v="13"/>
    <x v="8"/>
    <x v="1"/>
    <x v="0"/>
    <x v="20"/>
    <x v="0"/>
    <x v="112"/>
  </r>
  <r>
    <x v="0"/>
    <x v="3"/>
    <x v="6"/>
    <x v="8"/>
    <x v="2"/>
    <x v="1"/>
    <x v="0"/>
    <x v="88"/>
    <x v="0"/>
    <x v="91"/>
  </r>
  <r>
    <x v="0"/>
    <x v="3"/>
    <x v="7"/>
    <x v="2"/>
    <x v="12"/>
    <x v="1"/>
    <x v="0"/>
    <x v="14"/>
    <x v="0"/>
    <x v="78"/>
  </r>
  <r>
    <x v="0"/>
    <x v="3"/>
    <x v="8"/>
    <x v="12"/>
    <x v="13"/>
    <x v="1"/>
    <x v="0"/>
    <x v="79"/>
    <x v="0"/>
    <x v="109"/>
  </r>
  <r>
    <x v="0"/>
    <x v="3"/>
    <x v="9"/>
    <x v="13"/>
    <x v="8"/>
    <x v="1"/>
    <x v="0"/>
    <x v="20"/>
    <x v="0"/>
    <x v="112"/>
  </r>
  <r>
    <x v="0"/>
    <x v="3"/>
    <x v="10"/>
    <x v="8"/>
    <x v="4"/>
    <x v="1"/>
    <x v="0"/>
    <x v="157"/>
    <x v="0"/>
    <x v="93"/>
  </r>
  <r>
    <x v="0"/>
    <x v="3"/>
    <x v="11"/>
    <x v="4"/>
    <x v="13"/>
    <x v="1"/>
    <x v="0"/>
    <x v="171"/>
    <x v="0"/>
    <x v="84"/>
  </r>
  <r>
    <x v="0"/>
    <x v="3"/>
    <x v="12"/>
    <x v="13"/>
    <x v="12"/>
    <x v="1"/>
    <x v="0"/>
    <x v="123"/>
    <x v="0"/>
    <x v="116"/>
  </r>
  <r>
    <x v="0"/>
    <x v="3"/>
    <x v="13"/>
    <x v="12"/>
    <x v="8"/>
    <x v="1"/>
    <x v="0"/>
    <x v="146"/>
    <x v="0"/>
    <x v="108"/>
  </r>
  <r>
    <x v="0"/>
    <x v="3"/>
    <x v="14"/>
    <x v="8"/>
    <x v="0"/>
    <x v="1"/>
    <x v="0"/>
    <x v="29"/>
    <x v="0"/>
    <x v="90"/>
  </r>
  <r>
    <x v="0"/>
    <x v="3"/>
    <x v="15"/>
    <x v="0"/>
    <x v="12"/>
    <x v="1"/>
    <x v="0"/>
    <x v="109"/>
    <x v="0"/>
    <x v="77"/>
  </r>
  <r>
    <x v="0"/>
    <x v="3"/>
    <x v="16"/>
    <x v="12"/>
    <x v="13"/>
    <x v="1"/>
    <x v="0"/>
    <x v="79"/>
    <x v="0"/>
    <x v="109"/>
  </r>
  <r>
    <x v="0"/>
    <x v="3"/>
    <x v="17"/>
    <x v="13"/>
    <x v="8"/>
    <x v="1"/>
    <x v="0"/>
    <x v="20"/>
    <x v="0"/>
    <x v="112"/>
  </r>
  <r>
    <x v="0"/>
    <x v="3"/>
    <x v="18"/>
    <x v="8"/>
    <x v="4"/>
    <x v="1"/>
    <x v="0"/>
    <x v="157"/>
    <x v="0"/>
    <x v="93"/>
  </r>
  <r>
    <x v="0"/>
    <x v="3"/>
    <x v="19"/>
    <x v="4"/>
    <x v="13"/>
    <x v="1"/>
    <x v="0"/>
    <x v="171"/>
    <x v="0"/>
    <x v="84"/>
  </r>
  <r>
    <x v="0"/>
    <x v="3"/>
    <x v="20"/>
    <x v="13"/>
    <x v="12"/>
    <x v="1"/>
    <x v="0"/>
    <x v="123"/>
    <x v="0"/>
    <x v="116"/>
  </r>
  <r>
    <x v="0"/>
    <x v="3"/>
    <x v="21"/>
    <x v="12"/>
    <x v="8"/>
    <x v="1"/>
    <x v="0"/>
    <x v="146"/>
    <x v="0"/>
    <x v="108"/>
  </r>
  <r>
    <x v="0"/>
    <x v="3"/>
    <x v="22"/>
    <x v="8"/>
    <x v="2"/>
    <x v="1"/>
    <x v="0"/>
    <x v="88"/>
    <x v="0"/>
    <x v="91"/>
  </r>
  <r>
    <x v="0"/>
    <x v="3"/>
    <x v="23"/>
    <x v="2"/>
    <x v="13"/>
    <x v="1"/>
    <x v="0"/>
    <x v="159"/>
    <x v="0"/>
    <x v="79"/>
  </r>
  <r>
    <x v="0"/>
    <x v="3"/>
    <x v="24"/>
    <x v="13"/>
    <x v="12"/>
    <x v="1"/>
    <x v="0"/>
    <x v="123"/>
    <x v="0"/>
    <x v="116"/>
  </r>
  <r>
    <x v="0"/>
    <x v="3"/>
    <x v="25"/>
    <x v="12"/>
    <x v="8"/>
    <x v="1"/>
    <x v="0"/>
    <x v="146"/>
    <x v="0"/>
    <x v="108"/>
  </r>
  <r>
    <x v="0"/>
    <x v="3"/>
    <x v="26"/>
    <x v="8"/>
    <x v="2"/>
    <x v="1"/>
    <x v="0"/>
    <x v="88"/>
    <x v="0"/>
    <x v="91"/>
  </r>
  <r>
    <x v="0"/>
    <x v="3"/>
    <x v="27"/>
    <x v="2"/>
    <x v="13"/>
    <x v="1"/>
    <x v="0"/>
    <x v="159"/>
    <x v="0"/>
    <x v="79"/>
  </r>
  <r>
    <x v="0"/>
    <x v="3"/>
    <x v="28"/>
    <x v="13"/>
    <x v="9"/>
    <x v="1"/>
    <x v="0"/>
    <x v="107"/>
    <x v="0"/>
    <x v="113"/>
  </r>
  <r>
    <x v="0"/>
    <x v="4"/>
    <x v="0"/>
    <x v="9"/>
    <x v="13"/>
    <x v="0"/>
    <x v="1"/>
    <x v="44"/>
    <x v="0"/>
    <x v="36"/>
  </r>
  <r>
    <x v="0"/>
    <x v="4"/>
    <x v="1"/>
    <x v="13"/>
    <x v="2"/>
    <x v="0"/>
    <x v="1"/>
    <x v="139"/>
    <x v="0"/>
    <x v="58"/>
  </r>
  <r>
    <x v="0"/>
    <x v="4"/>
    <x v="2"/>
    <x v="2"/>
    <x v="8"/>
    <x v="0"/>
    <x v="1"/>
    <x v="48"/>
    <x v="0"/>
    <x v="5"/>
  </r>
  <r>
    <x v="0"/>
    <x v="4"/>
    <x v="3"/>
    <x v="8"/>
    <x v="12"/>
    <x v="0"/>
    <x v="1"/>
    <x v="158"/>
    <x v="0"/>
    <x v="32"/>
  </r>
  <r>
    <x v="0"/>
    <x v="4"/>
    <x v="4"/>
    <x v="12"/>
    <x v="13"/>
    <x v="0"/>
    <x v="1"/>
    <x v="22"/>
    <x v="0"/>
    <x v="56"/>
  </r>
  <r>
    <x v="0"/>
    <x v="4"/>
    <x v="5"/>
    <x v="13"/>
    <x v="2"/>
    <x v="0"/>
    <x v="1"/>
    <x v="139"/>
    <x v="0"/>
    <x v="58"/>
  </r>
  <r>
    <x v="0"/>
    <x v="4"/>
    <x v="6"/>
    <x v="2"/>
    <x v="8"/>
    <x v="0"/>
    <x v="1"/>
    <x v="48"/>
    <x v="0"/>
    <x v="5"/>
  </r>
  <r>
    <x v="0"/>
    <x v="4"/>
    <x v="7"/>
    <x v="8"/>
    <x v="12"/>
    <x v="0"/>
    <x v="1"/>
    <x v="158"/>
    <x v="0"/>
    <x v="32"/>
  </r>
  <r>
    <x v="0"/>
    <x v="4"/>
    <x v="8"/>
    <x v="12"/>
    <x v="13"/>
    <x v="0"/>
    <x v="1"/>
    <x v="22"/>
    <x v="0"/>
    <x v="56"/>
  </r>
  <r>
    <x v="0"/>
    <x v="4"/>
    <x v="9"/>
    <x v="13"/>
    <x v="4"/>
    <x v="0"/>
    <x v="1"/>
    <x v="53"/>
    <x v="0"/>
    <x v="64"/>
  </r>
  <r>
    <x v="0"/>
    <x v="4"/>
    <x v="10"/>
    <x v="4"/>
    <x v="8"/>
    <x v="0"/>
    <x v="1"/>
    <x v="58"/>
    <x v="0"/>
    <x v="16"/>
  </r>
  <r>
    <x v="0"/>
    <x v="4"/>
    <x v="11"/>
    <x v="8"/>
    <x v="13"/>
    <x v="0"/>
    <x v="1"/>
    <x v="152"/>
    <x v="0"/>
    <x v="34"/>
  </r>
  <r>
    <x v="0"/>
    <x v="4"/>
    <x v="12"/>
    <x v="13"/>
    <x v="12"/>
    <x v="0"/>
    <x v="1"/>
    <x v="18"/>
    <x v="0"/>
    <x v="75"/>
  </r>
  <r>
    <x v="0"/>
    <x v="4"/>
    <x v="13"/>
    <x v="12"/>
    <x v="0"/>
    <x v="0"/>
    <x v="1"/>
    <x v="40"/>
    <x v="0"/>
    <x v="51"/>
  </r>
  <r>
    <x v="0"/>
    <x v="4"/>
    <x v="14"/>
    <x v="0"/>
    <x v="8"/>
    <x v="0"/>
    <x v="1"/>
    <x v="162"/>
    <x v="0"/>
    <x v="2"/>
  </r>
  <r>
    <x v="0"/>
    <x v="4"/>
    <x v="15"/>
    <x v="8"/>
    <x v="12"/>
    <x v="0"/>
    <x v="1"/>
    <x v="158"/>
    <x v="0"/>
    <x v="32"/>
  </r>
  <r>
    <x v="0"/>
    <x v="4"/>
    <x v="16"/>
    <x v="12"/>
    <x v="13"/>
    <x v="0"/>
    <x v="1"/>
    <x v="22"/>
    <x v="0"/>
    <x v="56"/>
  </r>
  <r>
    <x v="0"/>
    <x v="4"/>
    <x v="17"/>
    <x v="13"/>
    <x v="4"/>
    <x v="0"/>
    <x v="1"/>
    <x v="53"/>
    <x v="0"/>
    <x v="64"/>
  </r>
  <r>
    <x v="0"/>
    <x v="4"/>
    <x v="18"/>
    <x v="4"/>
    <x v="8"/>
    <x v="0"/>
    <x v="1"/>
    <x v="58"/>
    <x v="0"/>
    <x v="16"/>
  </r>
  <r>
    <x v="0"/>
    <x v="4"/>
    <x v="19"/>
    <x v="8"/>
    <x v="13"/>
    <x v="0"/>
    <x v="1"/>
    <x v="152"/>
    <x v="0"/>
    <x v="34"/>
  </r>
  <r>
    <x v="0"/>
    <x v="4"/>
    <x v="20"/>
    <x v="13"/>
    <x v="12"/>
    <x v="0"/>
    <x v="1"/>
    <x v="18"/>
    <x v="0"/>
    <x v="75"/>
  </r>
  <r>
    <x v="0"/>
    <x v="4"/>
    <x v="21"/>
    <x v="12"/>
    <x v="2"/>
    <x v="0"/>
    <x v="1"/>
    <x v="70"/>
    <x v="0"/>
    <x v="53"/>
  </r>
  <r>
    <x v="0"/>
    <x v="4"/>
    <x v="22"/>
    <x v="2"/>
    <x v="8"/>
    <x v="0"/>
    <x v="1"/>
    <x v="48"/>
    <x v="0"/>
    <x v="5"/>
  </r>
  <r>
    <x v="0"/>
    <x v="4"/>
    <x v="23"/>
    <x v="8"/>
    <x v="13"/>
    <x v="0"/>
    <x v="1"/>
    <x v="152"/>
    <x v="0"/>
    <x v="34"/>
  </r>
  <r>
    <x v="0"/>
    <x v="4"/>
    <x v="24"/>
    <x v="13"/>
    <x v="12"/>
    <x v="0"/>
    <x v="1"/>
    <x v="18"/>
    <x v="0"/>
    <x v="75"/>
  </r>
  <r>
    <x v="0"/>
    <x v="4"/>
    <x v="25"/>
    <x v="12"/>
    <x v="2"/>
    <x v="0"/>
    <x v="1"/>
    <x v="70"/>
    <x v="0"/>
    <x v="53"/>
  </r>
  <r>
    <x v="0"/>
    <x v="4"/>
    <x v="26"/>
    <x v="2"/>
    <x v="8"/>
    <x v="0"/>
    <x v="1"/>
    <x v="48"/>
    <x v="0"/>
    <x v="5"/>
  </r>
  <r>
    <x v="0"/>
    <x v="4"/>
    <x v="27"/>
    <x v="8"/>
    <x v="13"/>
    <x v="0"/>
    <x v="1"/>
    <x v="152"/>
    <x v="0"/>
    <x v="34"/>
  </r>
  <r>
    <x v="0"/>
    <x v="4"/>
    <x v="28"/>
    <x v="13"/>
    <x v="9"/>
    <x v="0"/>
    <x v="1"/>
    <x v="98"/>
    <x v="0"/>
    <x v="71"/>
  </r>
  <r>
    <x v="0"/>
    <x v="8"/>
    <x v="0"/>
    <x v="9"/>
    <x v="13"/>
    <x v="0"/>
    <x v="1"/>
    <x v="44"/>
    <x v="0"/>
    <x v="36"/>
  </r>
  <r>
    <x v="0"/>
    <x v="8"/>
    <x v="1"/>
    <x v="13"/>
    <x v="2"/>
    <x v="0"/>
    <x v="1"/>
    <x v="139"/>
    <x v="0"/>
    <x v="58"/>
  </r>
  <r>
    <x v="0"/>
    <x v="8"/>
    <x v="2"/>
    <x v="2"/>
    <x v="8"/>
    <x v="0"/>
    <x v="1"/>
    <x v="48"/>
    <x v="0"/>
    <x v="5"/>
  </r>
  <r>
    <x v="0"/>
    <x v="8"/>
    <x v="3"/>
    <x v="8"/>
    <x v="12"/>
    <x v="0"/>
    <x v="1"/>
    <x v="158"/>
    <x v="0"/>
    <x v="32"/>
  </r>
  <r>
    <x v="0"/>
    <x v="8"/>
    <x v="4"/>
    <x v="12"/>
    <x v="13"/>
    <x v="0"/>
    <x v="1"/>
    <x v="22"/>
    <x v="0"/>
    <x v="56"/>
  </r>
  <r>
    <x v="0"/>
    <x v="8"/>
    <x v="5"/>
    <x v="13"/>
    <x v="2"/>
    <x v="0"/>
    <x v="1"/>
    <x v="139"/>
    <x v="0"/>
    <x v="58"/>
  </r>
  <r>
    <x v="0"/>
    <x v="8"/>
    <x v="6"/>
    <x v="2"/>
    <x v="8"/>
    <x v="0"/>
    <x v="1"/>
    <x v="48"/>
    <x v="0"/>
    <x v="5"/>
  </r>
  <r>
    <x v="0"/>
    <x v="8"/>
    <x v="7"/>
    <x v="8"/>
    <x v="12"/>
    <x v="0"/>
    <x v="1"/>
    <x v="158"/>
    <x v="0"/>
    <x v="32"/>
  </r>
  <r>
    <x v="0"/>
    <x v="8"/>
    <x v="8"/>
    <x v="12"/>
    <x v="13"/>
    <x v="0"/>
    <x v="1"/>
    <x v="22"/>
    <x v="0"/>
    <x v="56"/>
  </r>
  <r>
    <x v="0"/>
    <x v="8"/>
    <x v="9"/>
    <x v="13"/>
    <x v="4"/>
    <x v="0"/>
    <x v="1"/>
    <x v="53"/>
    <x v="0"/>
    <x v="64"/>
  </r>
  <r>
    <x v="0"/>
    <x v="8"/>
    <x v="10"/>
    <x v="4"/>
    <x v="8"/>
    <x v="0"/>
    <x v="1"/>
    <x v="58"/>
    <x v="0"/>
    <x v="16"/>
  </r>
  <r>
    <x v="0"/>
    <x v="8"/>
    <x v="11"/>
    <x v="8"/>
    <x v="13"/>
    <x v="0"/>
    <x v="1"/>
    <x v="152"/>
    <x v="0"/>
    <x v="34"/>
  </r>
  <r>
    <x v="0"/>
    <x v="8"/>
    <x v="12"/>
    <x v="13"/>
    <x v="12"/>
    <x v="0"/>
    <x v="1"/>
    <x v="18"/>
    <x v="0"/>
    <x v="75"/>
  </r>
  <r>
    <x v="0"/>
    <x v="8"/>
    <x v="13"/>
    <x v="12"/>
    <x v="0"/>
    <x v="0"/>
    <x v="1"/>
    <x v="40"/>
    <x v="0"/>
    <x v="51"/>
  </r>
  <r>
    <x v="0"/>
    <x v="8"/>
    <x v="14"/>
    <x v="0"/>
    <x v="8"/>
    <x v="0"/>
    <x v="1"/>
    <x v="162"/>
    <x v="0"/>
    <x v="2"/>
  </r>
  <r>
    <x v="0"/>
    <x v="8"/>
    <x v="15"/>
    <x v="8"/>
    <x v="12"/>
    <x v="0"/>
    <x v="1"/>
    <x v="158"/>
    <x v="0"/>
    <x v="32"/>
  </r>
  <r>
    <x v="0"/>
    <x v="8"/>
    <x v="16"/>
    <x v="12"/>
    <x v="13"/>
    <x v="0"/>
    <x v="1"/>
    <x v="22"/>
    <x v="0"/>
    <x v="56"/>
  </r>
  <r>
    <x v="0"/>
    <x v="8"/>
    <x v="17"/>
    <x v="13"/>
    <x v="4"/>
    <x v="0"/>
    <x v="1"/>
    <x v="53"/>
    <x v="0"/>
    <x v="64"/>
  </r>
  <r>
    <x v="0"/>
    <x v="8"/>
    <x v="18"/>
    <x v="4"/>
    <x v="8"/>
    <x v="0"/>
    <x v="1"/>
    <x v="58"/>
    <x v="0"/>
    <x v="16"/>
  </r>
  <r>
    <x v="0"/>
    <x v="8"/>
    <x v="19"/>
    <x v="8"/>
    <x v="13"/>
    <x v="0"/>
    <x v="1"/>
    <x v="152"/>
    <x v="0"/>
    <x v="34"/>
  </r>
  <r>
    <x v="0"/>
    <x v="8"/>
    <x v="20"/>
    <x v="13"/>
    <x v="12"/>
    <x v="0"/>
    <x v="1"/>
    <x v="18"/>
    <x v="0"/>
    <x v="75"/>
  </r>
  <r>
    <x v="0"/>
    <x v="8"/>
    <x v="21"/>
    <x v="12"/>
    <x v="2"/>
    <x v="0"/>
    <x v="1"/>
    <x v="70"/>
    <x v="0"/>
    <x v="53"/>
  </r>
  <r>
    <x v="0"/>
    <x v="8"/>
    <x v="22"/>
    <x v="2"/>
    <x v="8"/>
    <x v="0"/>
    <x v="1"/>
    <x v="48"/>
    <x v="0"/>
    <x v="5"/>
  </r>
  <r>
    <x v="0"/>
    <x v="8"/>
    <x v="23"/>
    <x v="8"/>
    <x v="13"/>
    <x v="0"/>
    <x v="1"/>
    <x v="152"/>
    <x v="0"/>
    <x v="34"/>
  </r>
  <r>
    <x v="0"/>
    <x v="8"/>
    <x v="24"/>
    <x v="13"/>
    <x v="12"/>
    <x v="0"/>
    <x v="1"/>
    <x v="18"/>
    <x v="0"/>
    <x v="75"/>
  </r>
  <r>
    <x v="0"/>
    <x v="8"/>
    <x v="25"/>
    <x v="12"/>
    <x v="2"/>
    <x v="0"/>
    <x v="1"/>
    <x v="70"/>
    <x v="0"/>
    <x v="53"/>
  </r>
  <r>
    <x v="0"/>
    <x v="8"/>
    <x v="26"/>
    <x v="2"/>
    <x v="8"/>
    <x v="0"/>
    <x v="1"/>
    <x v="48"/>
    <x v="0"/>
    <x v="5"/>
  </r>
  <r>
    <x v="0"/>
    <x v="8"/>
    <x v="27"/>
    <x v="8"/>
    <x v="13"/>
    <x v="0"/>
    <x v="1"/>
    <x v="152"/>
    <x v="0"/>
    <x v="34"/>
  </r>
  <r>
    <x v="0"/>
    <x v="8"/>
    <x v="28"/>
    <x v="13"/>
    <x v="9"/>
    <x v="0"/>
    <x v="1"/>
    <x v="98"/>
    <x v="0"/>
    <x v="71"/>
  </r>
  <r>
    <x v="0"/>
    <x v="9"/>
    <x v="0"/>
    <x v="9"/>
    <x v="14"/>
    <x v="4"/>
    <x v="0"/>
    <x v="37"/>
    <x v="0"/>
    <x v="165"/>
  </r>
  <r>
    <x v="0"/>
    <x v="9"/>
    <x v="1"/>
    <x v="14"/>
    <x v="8"/>
    <x v="4"/>
    <x v="0"/>
    <x v="145"/>
    <x v="0"/>
    <x v="169"/>
  </r>
  <r>
    <x v="0"/>
    <x v="9"/>
    <x v="2"/>
    <x v="8"/>
    <x v="2"/>
    <x v="4"/>
    <x v="0"/>
    <x v="91"/>
    <x v="0"/>
    <x v="162"/>
  </r>
  <r>
    <x v="0"/>
    <x v="9"/>
    <x v="3"/>
    <x v="2"/>
    <x v="12"/>
    <x v="4"/>
    <x v="0"/>
    <x v="81"/>
    <x v="0"/>
    <x v="158"/>
  </r>
  <r>
    <x v="0"/>
    <x v="9"/>
    <x v="4"/>
    <x v="12"/>
    <x v="14"/>
    <x v="4"/>
    <x v="0"/>
    <x v="113"/>
    <x v="0"/>
    <x v="168"/>
  </r>
  <r>
    <x v="0"/>
    <x v="9"/>
    <x v="5"/>
    <x v="14"/>
    <x v="8"/>
    <x v="4"/>
    <x v="0"/>
    <x v="145"/>
    <x v="0"/>
    <x v="169"/>
  </r>
  <r>
    <x v="0"/>
    <x v="9"/>
    <x v="6"/>
    <x v="8"/>
    <x v="2"/>
    <x v="4"/>
    <x v="0"/>
    <x v="91"/>
    <x v="0"/>
    <x v="162"/>
  </r>
  <r>
    <x v="0"/>
    <x v="9"/>
    <x v="7"/>
    <x v="2"/>
    <x v="12"/>
    <x v="4"/>
    <x v="0"/>
    <x v="81"/>
    <x v="0"/>
    <x v="158"/>
  </r>
  <r>
    <x v="0"/>
    <x v="9"/>
    <x v="8"/>
    <x v="12"/>
    <x v="14"/>
    <x v="4"/>
    <x v="0"/>
    <x v="113"/>
    <x v="0"/>
    <x v="168"/>
  </r>
  <r>
    <x v="0"/>
    <x v="9"/>
    <x v="9"/>
    <x v="14"/>
    <x v="8"/>
    <x v="4"/>
    <x v="0"/>
    <x v="145"/>
    <x v="0"/>
    <x v="169"/>
  </r>
  <r>
    <x v="0"/>
    <x v="9"/>
    <x v="10"/>
    <x v="8"/>
    <x v="4"/>
    <x v="4"/>
    <x v="0"/>
    <x v="156"/>
    <x v="0"/>
    <x v="164"/>
  </r>
  <r>
    <x v="0"/>
    <x v="9"/>
    <x v="11"/>
    <x v="4"/>
    <x v="14"/>
    <x v="4"/>
    <x v="0"/>
    <x v="66"/>
    <x v="0"/>
    <x v="160"/>
  </r>
  <r>
    <x v="0"/>
    <x v="9"/>
    <x v="12"/>
    <x v="14"/>
    <x v="12"/>
    <x v="4"/>
    <x v="0"/>
    <x v="101"/>
    <x v="0"/>
    <x v="171"/>
  </r>
  <r>
    <x v="0"/>
    <x v="9"/>
    <x v="13"/>
    <x v="12"/>
    <x v="8"/>
    <x v="4"/>
    <x v="0"/>
    <x v="112"/>
    <x v="0"/>
    <x v="166"/>
  </r>
  <r>
    <x v="0"/>
    <x v="9"/>
    <x v="14"/>
    <x v="8"/>
    <x v="0"/>
    <x v="4"/>
    <x v="0"/>
    <x v="57"/>
    <x v="0"/>
    <x v="161"/>
  </r>
  <r>
    <x v="0"/>
    <x v="9"/>
    <x v="15"/>
    <x v="0"/>
    <x v="12"/>
    <x v="4"/>
    <x v="0"/>
    <x v="121"/>
    <x v="0"/>
    <x v="157"/>
  </r>
  <r>
    <x v="0"/>
    <x v="9"/>
    <x v="16"/>
    <x v="12"/>
    <x v="14"/>
    <x v="4"/>
    <x v="0"/>
    <x v="113"/>
    <x v="0"/>
    <x v="168"/>
  </r>
  <r>
    <x v="0"/>
    <x v="9"/>
    <x v="17"/>
    <x v="14"/>
    <x v="8"/>
    <x v="4"/>
    <x v="0"/>
    <x v="145"/>
    <x v="0"/>
    <x v="169"/>
  </r>
  <r>
    <x v="0"/>
    <x v="9"/>
    <x v="18"/>
    <x v="8"/>
    <x v="4"/>
    <x v="4"/>
    <x v="0"/>
    <x v="156"/>
    <x v="0"/>
    <x v="164"/>
  </r>
  <r>
    <x v="0"/>
    <x v="9"/>
    <x v="19"/>
    <x v="4"/>
    <x v="14"/>
    <x v="4"/>
    <x v="0"/>
    <x v="66"/>
    <x v="0"/>
    <x v="160"/>
  </r>
  <r>
    <x v="0"/>
    <x v="9"/>
    <x v="20"/>
    <x v="14"/>
    <x v="12"/>
    <x v="4"/>
    <x v="0"/>
    <x v="101"/>
    <x v="0"/>
    <x v="171"/>
  </r>
  <r>
    <x v="0"/>
    <x v="9"/>
    <x v="21"/>
    <x v="12"/>
    <x v="8"/>
    <x v="4"/>
    <x v="1"/>
    <x v="19"/>
    <x v="0"/>
    <x v="167"/>
  </r>
  <r>
    <x v="0"/>
    <x v="9"/>
    <x v="22"/>
    <x v="8"/>
    <x v="2"/>
    <x v="4"/>
    <x v="0"/>
    <x v="91"/>
    <x v="0"/>
    <x v="162"/>
  </r>
  <r>
    <x v="0"/>
    <x v="9"/>
    <x v="23"/>
    <x v="2"/>
    <x v="14"/>
    <x v="4"/>
    <x v="0"/>
    <x v="126"/>
    <x v="0"/>
    <x v="159"/>
  </r>
  <r>
    <x v="0"/>
    <x v="9"/>
    <x v="24"/>
    <x v="14"/>
    <x v="12"/>
    <x v="4"/>
    <x v="0"/>
    <x v="101"/>
    <x v="0"/>
    <x v="171"/>
  </r>
  <r>
    <x v="0"/>
    <x v="9"/>
    <x v="25"/>
    <x v="12"/>
    <x v="8"/>
    <x v="4"/>
    <x v="1"/>
    <x v="19"/>
    <x v="0"/>
    <x v="167"/>
  </r>
  <r>
    <x v="0"/>
    <x v="9"/>
    <x v="26"/>
    <x v="8"/>
    <x v="2"/>
    <x v="4"/>
    <x v="0"/>
    <x v="91"/>
    <x v="0"/>
    <x v="162"/>
  </r>
  <r>
    <x v="0"/>
    <x v="9"/>
    <x v="27"/>
    <x v="2"/>
    <x v="14"/>
    <x v="4"/>
    <x v="0"/>
    <x v="126"/>
    <x v="0"/>
    <x v="159"/>
  </r>
  <r>
    <x v="0"/>
    <x v="9"/>
    <x v="28"/>
    <x v="14"/>
    <x v="9"/>
    <x v="4"/>
    <x v="0"/>
    <x v="63"/>
    <x v="0"/>
    <x v="170"/>
  </r>
  <r>
    <x v="1"/>
    <x v="0"/>
    <x v="0"/>
    <x v="9"/>
    <x v="13"/>
    <x v="3"/>
    <x v="0"/>
    <x v="106"/>
    <x v="0"/>
    <x v="141"/>
  </r>
  <r>
    <x v="1"/>
    <x v="0"/>
    <x v="1"/>
    <x v="13"/>
    <x v="2"/>
    <x v="3"/>
    <x v="0"/>
    <x v="82"/>
    <x v="0"/>
    <x v="151"/>
  </r>
  <r>
    <x v="1"/>
    <x v="0"/>
    <x v="2"/>
    <x v="2"/>
    <x v="8"/>
    <x v="3"/>
    <x v="0"/>
    <x v="87"/>
    <x v="0"/>
    <x v="132"/>
  </r>
  <r>
    <x v="1"/>
    <x v="0"/>
    <x v="3"/>
    <x v="8"/>
    <x v="12"/>
    <x v="3"/>
    <x v="0"/>
    <x v="8"/>
    <x v="0"/>
    <x v="139"/>
  </r>
  <r>
    <x v="1"/>
    <x v="0"/>
    <x v="4"/>
    <x v="12"/>
    <x v="13"/>
    <x v="3"/>
    <x v="0"/>
    <x v="151"/>
    <x v="0"/>
    <x v="150"/>
  </r>
  <r>
    <x v="1"/>
    <x v="0"/>
    <x v="5"/>
    <x v="13"/>
    <x v="2"/>
    <x v="3"/>
    <x v="0"/>
    <x v="82"/>
    <x v="0"/>
    <x v="151"/>
  </r>
  <r>
    <x v="1"/>
    <x v="0"/>
    <x v="6"/>
    <x v="2"/>
    <x v="8"/>
    <x v="3"/>
    <x v="0"/>
    <x v="87"/>
    <x v="0"/>
    <x v="132"/>
  </r>
  <r>
    <x v="1"/>
    <x v="0"/>
    <x v="7"/>
    <x v="8"/>
    <x v="12"/>
    <x v="3"/>
    <x v="0"/>
    <x v="8"/>
    <x v="0"/>
    <x v="139"/>
  </r>
  <r>
    <x v="1"/>
    <x v="0"/>
    <x v="8"/>
    <x v="12"/>
    <x v="13"/>
    <x v="3"/>
    <x v="0"/>
    <x v="151"/>
    <x v="0"/>
    <x v="150"/>
  </r>
  <r>
    <x v="1"/>
    <x v="0"/>
    <x v="9"/>
    <x v="13"/>
    <x v="2"/>
    <x v="3"/>
    <x v="0"/>
    <x v="82"/>
    <x v="0"/>
    <x v="151"/>
  </r>
  <r>
    <x v="1"/>
    <x v="0"/>
    <x v="10"/>
    <x v="2"/>
    <x v="8"/>
    <x v="3"/>
    <x v="0"/>
    <x v="87"/>
    <x v="0"/>
    <x v="132"/>
  </r>
  <r>
    <x v="1"/>
    <x v="0"/>
    <x v="11"/>
    <x v="8"/>
    <x v="12"/>
    <x v="3"/>
    <x v="0"/>
    <x v="8"/>
    <x v="0"/>
    <x v="139"/>
  </r>
  <r>
    <x v="1"/>
    <x v="0"/>
    <x v="12"/>
    <x v="12"/>
    <x v="13"/>
    <x v="3"/>
    <x v="0"/>
    <x v="151"/>
    <x v="0"/>
    <x v="150"/>
  </r>
  <r>
    <x v="1"/>
    <x v="0"/>
    <x v="13"/>
    <x v="13"/>
    <x v="2"/>
    <x v="3"/>
    <x v="0"/>
    <x v="82"/>
    <x v="0"/>
    <x v="151"/>
  </r>
  <r>
    <x v="1"/>
    <x v="0"/>
    <x v="14"/>
    <x v="2"/>
    <x v="8"/>
    <x v="3"/>
    <x v="0"/>
    <x v="87"/>
    <x v="0"/>
    <x v="132"/>
  </r>
  <r>
    <x v="1"/>
    <x v="0"/>
    <x v="15"/>
    <x v="8"/>
    <x v="13"/>
    <x v="3"/>
    <x v="0"/>
    <x v="46"/>
    <x v="0"/>
    <x v="140"/>
  </r>
  <r>
    <x v="1"/>
    <x v="0"/>
    <x v="16"/>
    <x v="13"/>
    <x v="12"/>
    <x v="3"/>
    <x v="0"/>
    <x v="120"/>
    <x v="0"/>
    <x v="156"/>
  </r>
  <r>
    <x v="1"/>
    <x v="0"/>
    <x v="17"/>
    <x v="12"/>
    <x v="2"/>
    <x v="3"/>
    <x v="0"/>
    <x v="39"/>
    <x v="0"/>
    <x v="149"/>
  </r>
  <r>
    <x v="1"/>
    <x v="0"/>
    <x v="18"/>
    <x v="2"/>
    <x v="8"/>
    <x v="3"/>
    <x v="0"/>
    <x v="87"/>
    <x v="0"/>
    <x v="132"/>
  </r>
  <r>
    <x v="1"/>
    <x v="0"/>
    <x v="19"/>
    <x v="8"/>
    <x v="13"/>
    <x v="3"/>
    <x v="0"/>
    <x v="46"/>
    <x v="0"/>
    <x v="140"/>
  </r>
  <r>
    <x v="1"/>
    <x v="0"/>
    <x v="20"/>
    <x v="13"/>
    <x v="12"/>
    <x v="3"/>
    <x v="0"/>
    <x v="120"/>
    <x v="0"/>
    <x v="156"/>
  </r>
  <r>
    <x v="1"/>
    <x v="0"/>
    <x v="21"/>
    <x v="12"/>
    <x v="2"/>
    <x v="3"/>
    <x v="0"/>
    <x v="39"/>
    <x v="0"/>
    <x v="149"/>
  </r>
  <r>
    <x v="1"/>
    <x v="0"/>
    <x v="22"/>
    <x v="2"/>
    <x v="8"/>
    <x v="3"/>
    <x v="0"/>
    <x v="87"/>
    <x v="0"/>
    <x v="132"/>
  </r>
  <r>
    <x v="1"/>
    <x v="0"/>
    <x v="23"/>
    <x v="8"/>
    <x v="13"/>
    <x v="3"/>
    <x v="0"/>
    <x v="46"/>
    <x v="0"/>
    <x v="140"/>
  </r>
  <r>
    <x v="1"/>
    <x v="0"/>
    <x v="24"/>
    <x v="13"/>
    <x v="12"/>
    <x v="3"/>
    <x v="0"/>
    <x v="120"/>
    <x v="0"/>
    <x v="156"/>
  </r>
  <r>
    <x v="1"/>
    <x v="0"/>
    <x v="25"/>
    <x v="12"/>
    <x v="2"/>
    <x v="3"/>
    <x v="0"/>
    <x v="39"/>
    <x v="0"/>
    <x v="149"/>
  </r>
  <r>
    <x v="1"/>
    <x v="0"/>
    <x v="26"/>
    <x v="2"/>
    <x v="8"/>
    <x v="3"/>
    <x v="0"/>
    <x v="87"/>
    <x v="0"/>
    <x v="132"/>
  </r>
  <r>
    <x v="1"/>
    <x v="0"/>
    <x v="27"/>
    <x v="8"/>
    <x v="13"/>
    <x v="3"/>
    <x v="0"/>
    <x v="46"/>
    <x v="0"/>
    <x v="140"/>
  </r>
  <r>
    <x v="1"/>
    <x v="0"/>
    <x v="28"/>
    <x v="13"/>
    <x v="9"/>
    <x v="3"/>
    <x v="0"/>
    <x v="89"/>
    <x v="0"/>
    <x v="153"/>
  </r>
  <r>
    <x v="1"/>
    <x v="1"/>
    <x v="0"/>
    <x v="9"/>
    <x v="13"/>
    <x v="0"/>
    <x v="0"/>
    <x v="75"/>
    <x v="0"/>
    <x v="35"/>
  </r>
  <r>
    <x v="1"/>
    <x v="1"/>
    <x v="1"/>
    <x v="13"/>
    <x v="8"/>
    <x v="0"/>
    <x v="0"/>
    <x v="163"/>
    <x v="0"/>
    <x v="69"/>
  </r>
  <r>
    <x v="1"/>
    <x v="1"/>
    <x v="2"/>
    <x v="8"/>
    <x v="2"/>
    <x v="0"/>
    <x v="0"/>
    <x v="32"/>
    <x v="0"/>
    <x v="29"/>
  </r>
  <r>
    <x v="1"/>
    <x v="1"/>
    <x v="3"/>
    <x v="2"/>
    <x v="12"/>
    <x v="0"/>
    <x v="0"/>
    <x v="38"/>
    <x v="0"/>
    <x v="8"/>
  </r>
  <r>
    <x v="1"/>
    <x v="1"/>
    <x v="4"/>
    <x v="12"/>
    <x v="13"/>
    <x v="0"/>
    <x v="0"/>
    <x v="137"/>
    <x v="0"/>
    <x v="55"/>
  </r>
  <r>
    <x v="1"/>
    <x v="1"/>
    <x v="5"/>
    <x v="13"/>
    <x v="8"/>
    <x v="0"/>
    <x v="0"/>
    <x v="163"/>
    <x v="0"/>
    <x v="69"/>
  </r>
  <r>
    <x v="1"/>
    <x v="1"/>
    <x v="6"/>
    <x v="8"/>
    <x v="2"/>
    <x v="0"/>
    <x v="0"/>
    <x v="32"/>
    <x v="0"/>
    <x v="29"/>
  </r>
  <r>
    <x v="1"/>
    <x v="1"/>
    <x v="7"/>
    <x v="2"/>
    <x v="12"/>
    <x v="0"/>
    <x v="0"/>
    <x v="38"/>
    <x v="0"/>
    <x v="8"/>
  </r>
  <r>
    <x v="1"/>
    <x v="1"/>
    <x v="8"/>
    <x v="12"/>
    <x v="13"/>
    <x v="0"/>
    <x v="0"/>
    <x v="137"/>
    <x v="0"/>
    <x v="55"/>
  </r>
  <r>
    <x v="1"/>
    <x v="1"/>
    <x v="9"/>
    <x v="13"/>
    <x v="8"/>
    <x v="0"/>
    <x v="0"/>
    <x v="163"/>
    <x v="0"/>
    <x v="69"/>
  </r>
  <r>
    <x v="1"/>
    <x v="1"/>
    <x v="10"/>
    <x v="8"/>
    <x v="2"/>
    <x v="0"/>
    <x v="0"/>
    <x v="32"/>
    <x v="0"/>
    <x v="29"/>
  </r>
  <r>
    <x v="1"/>
    <x v="1"/>
    <x v="11"/>
    <x v="2"/>
    <x v="12"/>
    <x v="0"/>
    <x v="0"/>
    <x v="38"/>
    <x v="0"/>
    <x v="8"/>
  </r>
  <r>
    <x v="1"/>
    <x v="1"/>
    <x v="12"/>
    <x v="12"/>
    <x v="13"/>
    <x v="0"/>
    <x v="0"/>
    <x v="137"/>
    <x v="0"/>
    <x v="55"/>
  </r>
  <r>
    <x v="1"/>
    <x v="1"/>
    <x v="13"/>
    <x v="13"/>
    <x v="8"/>
    <x v="0"/>
    <x v="0"/>
    <x v="163"/>
    <x v="0"/>
    <x v="69"/>
  </r>
  <r>
    <x v="1"/>
    <x v="1"/>
    <x v="14"/>
    <x v="8"/>
    <x v="2"/>
    <x v="0"/>
    <x v="0"/>
    <x v="32"/>
    <x v="0"/>
    <x v="29"/>
  </r>
  <r>
    <x v="1"/>
    <x v="1"/>
    <x v="15"/>
    <x v="2"/>
    <x v="13"/>
    <x v="0"/>
    <x v="0"/>
    <x v="143"/>
    <x v="0"/>
    <x v="9"/>
  </r>
  <r>
    <x v="1"/>
    <x v="1"/>
    <x v="16"/>
    <x v="13"/>
    <x v="12"/>
    <x v="0"/>
    <x v="0"/>
    <x v="51"/>
    <x v="0"/>
    <x v="74"/>
  </r>
  <r>
    <x v="1"/>
    <x v="1"/>
    <x v="17"/>
    <x v="12"/>
    <x v="8"/>
    <x v="0"/>
    <x v="0"/>
    <x v="5"/>
    <x v="0"/>
    <x v="54"/>
  </r>
  <r>
    <x v="1"/>
    <x v="1"/>
    <x v="18"/>
    <x v="8"/>
    <x v="2"/>
    <x v="0"/>
    <x v="0"/>
    <x v="32"/>
    <x v="0"/>
    <x v="29"/>
  </r>
  <r>
    <x v="1"/>
    <x v="1"/>
    <x v="19"/>
    <x v="2"/>
    <x v="13"/>
    <x v="0"/>
    <x v="0"/>
    <x v="143"/>
    <x v="0"/>
    <x v="9"/>
  </r>
  <r>
    <x v="1"/>
    <x v="1"/>
    <x v="20"/>
    <x v="13"/>
    <x v="12"/>
    <x v="0"/>
    <x v="0"/>
    <x v="51"/>
    <x v="0"/>
    <x v="74"/>
  </r>
  <r>
    <x v="1"/>
    <x v="1"/>
    <x v="21"/>
    <x v="12"/>
    <x v="8"/>
    <x v="0"/>
    <x v="0"/>
    <x v="5"/>
    <x v="0"/>
    <x v="54"/>
  </r>
  <r>
    <x v="1"/>
    <x v="1"/>
    <x v="22"/>
    <x v="8"/>
    <x v="2"/>
    <x v="0"/>
    <x v="0"/>
    <x v="32"/>
    <x v="0"/>
    <x v="29"/>
  </r>
  <r>
    <x v="1"/>
    <x v="1"/>
    <x v="23"/>
    <x v="2"/>
    <x v="13"/>
    <x v="0"/>
    <x v="0"/>
    <x v="143"/>
    <x v="0"/>
    <x v="9"/>
  </r>
  <r>
    <x v="1"/>
    <x v="1"/>
    <x v="24"/>
    <x v="13"/>
    <x v="12"/>
    <x v="0"/>
    <x v="0"/>
    <x v="51"/>
    <x v="0"/>
    <x v="74"/>
  </r>
  <r>
    <x v="1"/>
    <x v="1"/>
    <x v="25"/>
    <x v="12"/>
    <x v="8"/>
    <x v="0"/>
    <x v="0"/>
    <x v="5"/>
    <x v="0"/>
    <x v="54"/>
  </r>
  <r>
    <x v="1"/>
    <x v="1"/>
    <x v="26"/>
    <x v="8"/>
    <x v="2"/>
    <x v="0"/>
    <x v="0"/>
    <x v="32"/>
    <x v="0"/>
    <x v="29"/>
  </r>
  <r>
    <x v="1"/>
    <x v="1"/>
    <x v="27"/>
    <x v="2"/>
    <x v="13"/>
    <x v="0"/>
    <x v="0"/>
    <x v="143"/>
    <x v="0"/>
    <x v="9"/>
  </r>
  <r>
    <x v="1"/>
    <x v="1"/>
    <x v="28"/>
    <x v="13"/>
    <x v="9"/>
    <x v="0"/>
    <x v="0"/>
    <x v="122"/>
    <x v="0"/>
    <x v="70"/>
  </r>
  <r>
    <x v="1"/>
    <x v="2"/>
    <x v="0"/>
    <x v="9"/>
    <x v="13"/>
    <x v="0"/>
    <x v="0"/>
    <x v="75"/>
    <x v="0"/>
    <x v="35"/>
  </r>
  <r>
    <x v="1"/>
    <x v="2"/>
    <x v="1"/>
    <x v="13"/>
    <x v="2"/>
    <x v="0"/>
    <x v="0"/>
    <x v="111"/>
    <x v="0"/>
    <x v="57"/>
  </r>
  <r>
    <x v="1"/>
    <x v="2"/>
    <x v="2"/>
    <x v="2"/>
    <x v="8"/>
    <x v="0"/>
    <x v="0"/>
    <x v="61"/>
    <x v="0"/>
    <x v="4"/>
  </r>
  <r>
    <x v="1"/>
    <x v="2"/>
    <x v="3"/>
    <x v="8"/>
    <x v="12"/>
    <x v="0"/>
    <x v="0"/>
    <x v="161"/>
    <x v="0"/>
    <x v="31"/>
  </r>
  <r>
    <x v="1"/>
    <x v="2"/>
    <x v="4"/>
    <x v="12"/>
    <x v="13"/>
    <x v="0"/>
    <x v="0"/>
    <x v="137"/>
    <x v="0"/>
    <x v="55"/>
  </r>
  <r>
    <x v="1"/>
    <x v="2"/>
    <x v="5"/>
    <x v="13"/>
    <x v="2"/>
    <x v="0"/>
    <x v="0"/>
    <x v="111"/>
    <x v="0"/>
    <x v="57"/>
  </r>
  <r>
    <x v="1"/>
    <x v="2"/>
    <x v="6"/>
    <x v="2"/>
    <x v="8"/>
    <x v="0"/>
    <x v="0"/>
    <x v="61"/>
    <x v="0"/>
    <x v="4"/>
  </r>
  <r>
    <x v="1"/>
    <x v="2"/>
    <x v="7"/>
    <x v="8"/>
    <x v="12"/>
    <x v="0"/>
    <x v="0"/>
    <x v="161"/>
    <x v="0"/>
    <x v="31"/>
  </r>
  <r>
    <x v="1"/>
    <x v="2"/>
    <x v="8"/>
    <x v="12"/>
    <x v="13"/>
    <x v="0"/>
    <x v="0"/>
    <x v="137"/>
    <x v="0"/>
    <x v="55"/>
  </r>
  <r>
    <x v="1"/>
    <x v="2"/>
    <x v="9"/>
    <x v="13"/>
    <x v="2"/>
    <x v="0"/>
    <x v="0"/>
    <x v="111"/>
    <x v="0"/>
    <x v="57"/>
  </r>
  <r>
    <x v="1"/>
    <x v="2"/>
    <x v="10"/>
    <x v="2"/>
    <x v="8"/>
    <x v="0"/>
    <x v="0"/>
    <x v="61"/>
    <x v="0"/>
    <x v="4"/>
  </r>
  <r>
    <x v="1"/>
    <x v="2"/>
    <x v="11"/>
    <x v="8"/>
    <x v="12"/>
    <x v="0"/>
    <x v="0"/>
    <x v="161"/>
    <x v="0"/>
    <x v="31"/>
  </r>
  <r>
    <x v="1"/>
    <x v="2"/>
    <x v="12"/>
    <x v="12"/>
    <x v="13"/>
    <x v="0"/>
    <x v="0"/>
    <x v="137"/>
    <x v="0"/>
    <x v="55"/>
  </r>
  <r>
    <x v="1"/>
    <x v="2"/>
    <x v="13"/>
    <x v="13"/>
    <x v="2"/>
    <x v="0"/>
    <x v="0"/>
    <x v="111"/>
    <x v="0"/>
    <x v="57"/>
  </r>
  <r>
    <x v="1"/>
    <x v="2"/>
    <x v="14"/>
    <x v="2"/>
    <x v="8"/>
    <x v="0"/>
    <x v="0"/>
    <x v="61"/>
    <x v="0"/>
    <x v="4"/>
  </r>
  <r>
    <x v="1"/>
    <x v="2"/>
    <x v="15"/>
    <x v="8"/>
    <x v="13"/>
    <x v="0"/>
    <x v="0"/>
    <x v="1"/>
    <x v="0"/>
    <x v="33"/>
  </r>
  <r>
    <x v="1"/>
    <x v="2"/>
    <x v="16"/>
    <x v="13"/>
    <x v="12"/>
    <x v="0"/>
    <x v="0"/>
    <x v="51"/>
    <x v="0"/>
    <x v="74"/>
  </r>
  <r>
    <x v="1"/>
    <x v="2"/>
    <x v="17"/>
    <x v="12"/>
    <x v="2"/>
    <x v="0"/>
    <x v="0"/>
    <x v="117"/>
    <x v="0"/>
    <x v="52"/>
  </r>
  <r>
    <x v="1"/>
    <x v="2"/>
    <x v="18"/>
    <x v="2"/>
    <x v="8"/>
    <x v="0"/>
    <x v="0"/>
    <x v="61"/>
    <x v="0"/>
    <x v="4"/>
  </r>
  <r>
    <x v="1"/>
    <x v="2"/>
    <x v="19"/>
    <x v="8"/>
    <x v="13"/>
    <x v="0"/>
    <x v="0"/>
    <x v="1"/>
    <x v="0"/>
    <x v="33"/>
  </r>
  <r>
    <x v="1"/>
    <x v="2"/>
    <x v="20"/>
    <x v="13"/>
    <x v="12"/>
    <x v="0"/>
    <x v="0"/>
    <x v="51"/>
    <x v="0"/>
    <x v="74"/>
  </r>
  <r>
    <x v="1"/>
    <x v="2"/>
    <x v="21"/>
    <x v="12"/>
    <x v="2"/>
    <x v="0"/>
    <x v="0"/>
    <x v="117"/>
    <x v="0"/>
    <x v="52"/>
  </r>
  <r>
    <x v="1"/>
    <x v="2"/>
    <x v="22"/>
    <x v="2"/>
    <x v="8"/>
    <x v="0"/>
    <x v="0"/>
    <x v="61"/>
    <x v="0"/>
    <x v="4"/>
  </r>
  <r>
    <x v="1"/>
    <x v="2"/>
    <x v="23"/>
    <x v="8"/>
    <x v="13"/>
    <x v="0"/>
    <x v="0"/>
    <x v="1"/>
    <x v="0"/>
    <x v="33"/>
  </r>
  <r>
    <x v="1"/>
    <x v="2"/>
    <x v="24"/>
    <x v="13"/>
    <x v="12"/>
    <x v="0"/>
    <x v="0"/>
    <x v="51"/>
    <x v="0"/>
    <x v="74"/>
  </r>
  <r>
    <x v="1"/>
    <x v="2"/>
    <x v="25"/>
    <x v="12"/>
    <x v="2"/>
    <x v="0"/>
    <x v="0"/>
    <x v="117"/>
    <x v="0"/>
    <x v="52"/>
  </r>
  <r>
    <x v="1"/>
    <x v="2"/>
    <x v="26"/>
    <x v="2"/>
    <x v="8"/>
    <x v="0"/>
    <x v="0"/>
    <x v="61"/>
    <x v="0"/>
    <x v="4"/>
  </r>
  <r>
    <x v="1"/>
    <x v="2"/>
    <x v="27"/>
    <x v="8"/>
    <x v="13"/>
    <x v="0"/>
    <x v="0"/>
    <x v="1"/>
    <x v="0"/>
    <x v="33"/>
  </r>
  <r>
    <x v="1"/>
    <x v="2"/>
    <x v="28"/>
    <x v="13"/>
    <x v="9"/>
    <x v="0"/>
    <x v="0"/>
    <x v="122"/>
    <x v="0"/>
    <x v="70"/>
  </r>
  <r>
    <x v="1"/>
    <x v="3"/>
    <x v="0"/>
    <x v="9"/>
    <x v="13"/>
    <x v="1"/>
    <x v="0"/>
    <x v="7"/>
    <x v="0"/>
    <x v="94"/>
  </r>
  <r>
    <x v="1"/>
    <x v="3"/>
    <x v="1"/>
    <x v="13"/>
    <x v="8"/>
    <x v="1"/>
    <x v="0"/>
    <x v="20"/>
    <x v="0"/>
    <x v="112"/>
  </r>
  <r>
    <x v="1"/>
    <x v="3"/>
    <x v="2"/>
    <x v="8"/>
    <x v="2"/>
    <x v="1"/>
    <x v="0"/>
    <x v="88"/>
    <x v="0"/>
    <x v="91"/>
  </r>
  <r>
    <x v="1"/>
    <x v="3"/>
    <x v="3"/>
    <x v="2"/>
    <x v="12"/>
    <x v="1"/>
    <x v="0"/>
    <x v="14"/>
    <x v="0"/>
    <x v="78"/>
  </r>
  <r>
    <x v="1"/>
    <x v="3"/>
    <x v="4"/>
    <x v="12"/>
    <x v="13"/>
    <x v="1"/>
    <x v="0"/>
    <x v="79"/>
    <x v="0"/>
    <x v="109"/>
  </r>
  <r>
    <x v="1"/>
    <x v="3"/>
    <x v="5"/>
    <x v="13"/>
    <x v="8"/>
    <x v="1"/>
    <x v="0"/>
    <x v="20"/>
    <x v="0"/>
    <x v="112"/>
  </r>
  <r>
    <x v="1"/>
    <x v="3"/>
    <x v="6"/>
    <x v="8"/>
    <x v="2"/>
    <x v="1"/>
    <x v="0"/>
    <x v="88"/>
    <x v="0"/>
    <x v="91"/>
  </r>
  <r>
    <x v="1"/>
    <x v="3"/>
    <x v="7"/>
    <x v="2"/>
    <x v="12"/>
    <x v="1"/>
    <x v="0"/>
    <x v="14"/>
    <x v="0"/>
    <x v="78"/>
  </r>
  <r>
    <x v="1"/>
    <x v="3"/>
    <x v="8"/>
    <x v="12"/>
    <x v="13"/>
    <x v="1"/>
    <x v="0"/>
    <x v="79"/>
    <x v="0"/>
    <x v="109"/>
  </r>
  <r>
    <x v="1"/>
    <x v="3"/>
    <x v="9"/>
    <x v="13"/>
    <x v="8"/>
    <x v="1"/>
    <x v="0"/>
    <x v="20"/>
    <x v="0"/>
    <x v="112"/>
  </r>
  <r>
    <x v="1"/>
    <x v="3"/>
    <x v="10"/>
    <x v="8"/>
    <x v="2"/>
    <x v="1"/>
    <x v="0"/>
    <x v="88"/>
    <x v="0"/>
    <x v="91"/>
  </r>
  <r>
    <x v="1"/>
    <x v="3"/>
    <x v="11"/>
    <x v="2"/>
    <x v="12"/>
    <x v="1"/>
    <x v="0"/>
    <x v="14"/>
    <x v="0"/>
    <x v="78"/>
  </r>
  <r>
    <x v="1"/>
    <x v="3"/>
    <x v="12"/>
    <x v="12"/>
    <x v="13"/>
    <x v="1"/>
    <x v="0"/>
    <x v="79"/>
    <x v="0"/>
    <x v="109"/>
  </r>
  <r>
    <x v="1"/>
    <x v="3"/>
    <x v="13"/>
    <x v="13"/>
    <x v="8"/>
    <x v="1"/>
    <x v="0"/>
    <x v="20"/>
    <x v="0"/>
    <x v="112"/>
  </r>
  <r>
    <x v="1"/>
    <x v="3"/>
    <x v="14"/>
    <x v="8"/>
    <x v="2"/>
    <x v="1"/>
    <x v="1"/>
    <x v="49"/>
    <x v="0"/>
    <x v="92"/>
  </r>
  <r>
    <x v="1"/>
    <x v="3"/>
    <x v="15"/>
    <x v="2"/>
    <x v="13"/>
    <x v="1"/>
    <x v="0"/>
    <x v="159"/>
    <x v="0"/>
    <x v="79"/>
  </r>
  <r>
    <x v="1"/>
    <x v="3"/>
    <x v="16"/>
    <x v="13"/>
    <x v="12"/>
    <x v="1"/>
    <x v="0"/>
    <x v="123"/>
    <x v="0"/>
    <x v="116"/>
  </r>
  <r>
    <x v="1"/>
    <x v="3"/>
    <x v="17"/>
    <x v="12"/>
    <x v="8"/>
    <x v="1"/>
    <x v="0"/>
    <x v="146"/>
    <x v="0"/>
    <x v="108"/>
  </r>
  <r>
    <x v="1"/>
    <x v="3"/>
    <x v="18"/>
    <x v="8"/>
    <x v="2"/>
    <x v="1"/>
    <x v="0"/>
    <x v="88"/>
    <x v="0"/>
    <x v="91"/>
  </r>
  <r>
    <x v="1"/>
    <x v="3"/>
    <x v="19"/>
    <x v="2"/>
    <x v="13"/>
    <x v="1"/>
    <x v="0"/>
    <x v="159"/>
    <x v="0"/>
    <x v="79"/>
  </r>
  <r>
    <x v="1"/>
    <x v="3"/>
    <x v="20"/>
    <x v="13"/>
    <x v="12"/>
    <x v="1"/>
    <x v="0"/>
    <x v="123"/>
    <x v="0"/>
    <x v="116"/>
  </r>
  <r>
    <x v="1"/>
    <x v="3"/>
    <x v="21"/>
    <x v="12"/>
    <x v="8"/>
    <x v="1"/>
    <x v="0"/>
    <x v="146"/>
    <x v="0"/>
    <x v="108"/>
  </r>
  <r>
    <x v="1"/>
    <x v="3"/>
    <x v="22"/>
    <x v="8"/>
    <x v="2"/>
    <x v="1"/>
    <x v="0"/>
    <x v="88"/>
    <x v="0"/>
    <x v="91"/>
  </r>
  <r>
    <x v="1"/>
    <x v="3"/>
    <x v="23"/>
    <x v="2"/>
    <x v="13"/>
    <x v="1"/>
    <x v="0"/>
    <x v="159"/>
    <x v="0"/>
    <x v="79"/>
  </r>
  <r>
    <x v="1"/>
    <x v="3"/>
    <x v="24"/>
    <x v="13"/>
    <x v="12"/>
    <x v="1"/>
    <x v="0"/>
    <x v="123"/>
    <x v="0"/>
    <x v="116"/>
  </r>
  <r>
    <x v="1"/>
    <x v="3"/>
    <x v="25"/>
    <x v="12"/>
    <x v="8"/>
    <x v="1"/>
    <x v="0"/>
    <x v="146"/>
    <x v="0"/>
    <x v="108"/>
  </r>
  <r>
    <x v="1"/>
    <x v="3"/>
    <x v="26"/>
    <x v="8"/>
    <x v="2"/>
    <x v="1"/>
    <x v="0"/>
    <x v="88"/>
    <x v="0"/>
    <x v="91"/>
  </r>
  <r>
    <x v="1"/>
    <x v="3"/>
    <x v="27"/>
    <x v="2"/>
    <x v="13"/>
    <x v="1"/>
    <x v="0"/>
    <x v="159"/>
    <x v="0"/>
    <x v="79"/>
  </r>
  <r>
    <x v="1"/>
    <x v="3"/>
    <x v="28"/>
    <x v="13"/>
    <x v="9"/>
    <x v="1"/>
    <x v="0"/>
    <x v="107"/>
    <x v="0"/>
    <x v="113"/>
  </r>
  <r>
    <x v="1"/>
    <x v="4"/>
    <x v="0"/>
    <x v="9"/>
    <x v="13"/>
    <x v="0"/>
    <x v="1"/>
    <x v="44"/>
    <x v="0"/>
    <x v="36"/>
  </r>
  <r>
    <x v="1"/>
    <x v="4"/>
    <x v="1"/>
    <x v="13"/>
    <x v="2"/>
    <x v="0"/>
    <x v="1"/>
    <x v="139"/>
    <x v="0"/>
    <x v="58"/>
  </r>
  <r>
    <x v="1"/>
    <x v="4"/>
    <x v="2"/>
    <x v="2"/>
    <x v="8"/>
    <x v="0"/>
    <x v="1"/>
    <x v="48"/>
    <x v="0"/>
    <x v="5"/>
  </r>
  <r>
    <x v="1"/>
    <x v="4"/>
    <x v="3"/>
    <x v="8"/>
    <x v="12"/>
    <x v="0"/>
    <x v="1"/>
    <x v="158"/>
    <x v="0"/>
    <x v="32"/>
  </r>
  <r>
    <x v="1"/>
    <x v="4"/>
    <x v="4"/>
    <x v="12"/>
    <x v="13"/>
    <x v="0"/>
    <x v="1"/>
    <x v="22"/>
    <x v="0"/>
    <x v="56"/>
  </r>
  <r>
    <x v="1"/>
    <x v="4"/>
    <x v="5"/>
    <x v="13"/>
    <x v="2"/>
    <x v="0"/>
    <x v="1"/>
    <x v="139"/>
    <x v="0"/>
    <x v="58"/>
  </r>
  <r>
    <x v="1"/>
    <x v="4"/>
    <x v="6"/>
    <x v="2"/>
    <x v="8"/>
    <x v="0"/>
    <x v="1"/>
    <x v="48"/>
    <x v="0"/>
    <x v="5"/>
  </r>
  <r>
    <x v="1"/>
    <x v="4"/>
    <x v="7"/>
    <x v="8"/>
    <x v="12"/>
    <x v="0"/>
    <x v="1"/>
    <x v="158"/>
    <x v="0"/>
    <x v="32"/>
  </r>
  <r>
    <x v="1"/>
    <x v="4"/>
    <x v="8"/>
    <x v="12"/>
    <x v="13"/>
    <x v="0"/>
    <x v="1"/>
    <x v="22"/>
    <x v="0"/>
    <x v="56"/>
  </r>
  <r>
    <x v="1"/>
    <x v="4"/>
    <x v="9"/>
    <x v="13"/>
    <x v="2"/>
    <x v="0"/>
    <x v="1"/>
    <x v="139"/>
    <x v="0"/>
    <x v="58"/>
  </r>
  <r>
    <x v="1"/>
    <x v="4"/>
    <x v="10"/>
    <x v="2"/>
    <x v="8"/>
    <x v="0"/>
    <x v="1"/>
    <x v="48"/>
    <x v="0"/>
    <x v="5"/>
  </r>
  <r>
    <x v="1"/>
    <x v="4"/>
    <x v="11"/>
    <x v="8"/>
    <x v="12"/>
    <x v="0"/>
    <x v="1"/>
    <x v="158"/>
    <x v="0"/>
    <x v="32"/>
  </r>
  <r>
    <x v="1"/>
    <x v="4"/>
    <x v="12"/>
    <x v="12"/>
    <x v="13"/>
    <x v="0"/>
    <x v="1"/>
    <x v="22"/>
    <x v="0"/>
    <x v="56"/>
  </r>
  <r>
    <x v="1"/>
    <x v="4"/>
    <x v="13"/>
    <x v="13"/>
    <x v="2"/>
    <x v="0"/>
    <x v="2"/>
    <x v="2"/>
    <x v="0"/>
    <x v="59"/>
  </r>
  <r>
    <x v="1"/>
    <x v="4"/>
    <x v="14"/>
    <x v="2"/>
    <x v="8"/>
    <x v="0"/>
    <x v="2"/>
    <x v="69"/>
    <x v="0"/>
    <x v="6"/>
  </r>
  <r>
    <x v="1"/>
    <x v="4"/>
    <x v="15"/>
    <x v="8"/>
    <x v="13"/>
    <x v="0"/>
    <x v="1"/>
    <x v="152"/>
    <x v="0"/>
    <x v="34"/>
  </r>
  <r>
    <x v="1"/>
    <x v="4"/>
    <x v="16"/>
    <x v="13"/>
    <x v="12"/>
    <x v="0"/>
    <x v="1"/>
    <x v="18"/>
    <x v="0"/>
    <x v="75"/>
  </r>
  <r>
    <x v="1"/>
    <x v="4"/>
    <x v="17"/>
    <x v="12"/>
    <x v="2"/>
    <x v="0"/>
    <x v="1"/>
    <x v="70"/>
    <x v="0"/>
    <x v="53"/>
  </r>
  <r>
    <x v="1"/>
    <x v="4"/>
    <x v="18"/>
    <x v="2"/>
    <x v="8"/>
    <x v="0"/>
    <x v="1"/>
    <x v="48"/>
    <x v="0"/>
    <x v="5"/>
  </r>
  <r>
    <x v="1"/>
    <x v="4"/>
    <x v="19"/>
    <x v="8"/>
    <x v="13"/>
    <x v="0"/>
    <x v="1"/>
    <x v="152"/>
    <x v="0"/>
    <x v="34"/>
  </r>
  <r>
    <x v="1"/>
    <x v="4"/>
    <x v="20"/>
    <x v="13"/>
    <x v="12"/>
    <x v="0"/>
    <x v="1"/>
    <x v="18"/>
    <x v="0"/>
    <x v="75"/>
  </r>
  <r>
    <x v="1"/>
    <x v="4"/>
    <x v="21"/>
    <x v="12"/>
    <x v="2"/>
    <x v="0"/>
    <x v="1"/>
    <x v="70"/>
    <x v="0"/>
    <x v="53"/>
  </r>
  <r>
    <x v="1"/>
    <x v="4"/>
    <x v="22"/>
    <x v="2"/>
    <x v="8"/>
    <x v="0"/>
    <x v="1"/>
    <x v="48"/>
    <x v="0"/>
    <x v="5"/>
  </r>
  <r>
    <x v="1"/>
    <x v="4"/>
    <x v="23"/>
    <x v="8"/>
    <x v="13"/>
    <x v="0"/>
    <x v="1"/>
    <x v="152"/>
    <x v="0"/>
    <x v="34"/>
  </r>
  <r>
    <x v="1"/>
    <x v="4"/>
    <x v="24"/>
    <x v="13"/>
    <x v="12"/>
    <x v="0"/>
    <x v="1"/>
    <x v="18"/>
    <x v="0"/>
    <x v="75"/>
  </r>
  <r>
    <x v="1"/>
    <x v="4"/>
    <x v="25"/>
    <x v="12"/>
    <x v="2"/>
    <x v="0"/>
    <x v="1"/>
    <x v="70"/>
    <x v="0"/>
    <x v="53"/>
  </r>
  <r>
    <x v="1"/>
    <x v="4"/>
    <x v="26"/>
    <x v="2"/>
    <x v="8"/>
    <x v="0"/>
    <x v="1"/>
    <x v="48"/>
    <x v="0"/>
    <x v="5"/>
  </r>
  <r>
    <x v="1"/>
    <x v="4"/>
    <x v="27"/>
    <x v="8"/>
    <x v="13"/>
    <x v="0"/>
    <x v="1"/>
    <x v="152"/>
    <x v="0"/>
    <x v="34"/>
  </r>
  <r>
    <x v="1"/>
    <x v="4"/>
    <x v="28"/>
    <x v="13"/>
    <x v="9"/>
    <x v="0"/>
    <x v="1"/>
    <x v="98"/>
    <x v="0"/>
    <x v="71"/>
  </r>
  <r>
    <x v="1"/>
    <x v="9"/>
    <x v="0"/>
    <x v="9"/>
    <x v="14"/>
    <x v="4"/>
    <x v="0"/>
    <x v="37"/>
    <x v="0"/>
    <x v="165"/>
  </r>
  <r>
    <x v="1"/>
    <x v="9"/>
    <x v="1"/>
    <x v="14"/>
    <x v="8"/>
    <x v="4"/>
    <x v="0"/>
    <x v="145"/>
    <x v="0"/>
    <x v="169"/>
  </r>
  <r>
    <x v="1"/>
    <x v="9"/>
    <x v="2"/>
    <x v="8"/>
    <x v="2"/>
    <x v="4"/>
    <x v="0"/>
    <x v="91"/>
    <x v="0"/>
    <x v="162"/>
  </r>
  <r>
    <x v="1"/>
    <x v="9"/>
    <x v="3"/>
    <x v="2"/>
    <x v="12"/>
    <x v="4"/>
    <x v="0"/>
    <x v="81"/>
    <x v="0"/>
    <x v="158"/>
  </r>
  <r>
    <x v="1"/>
    <x v="9"/>
    <x v="4"/>
    <x v="12"/>
    <x v="14"/>
    <x v="4"/>
    <x v="0"/>
    <x v="113"/>
    <x v="0"/>
    <x v="168"/>
  </r>
  <r>
    <x v="1"/>
    <x v="9"/>
    <x v="5"/>
    <x v="14"/>
    <x v="8"/>
    <x v="4"/>
    <x v="0"/>
    <x v="145"/>
    <x v="0"/>
    <x v="169"/>
  </r>
  <r>
    <x v="1"/>
    <x v="9"/>
    <x v="6"/>
    <x v="8"/>
    <x v="2"/>
    <x v="4"/>
    <x v="0"/>
    <x v="91"/>
    <x v="0"/>
    <x v="162"/>
  </r>
  <r>
    <x v="1"/>
    <x v="9"/>
    <x v="7"/>
    <x v="2"/>
    <x v="12"/>
    <x v="4"/>
    <x v="0"/>
    <x v="81"/>
    <x v="0"/>
    <x v="158"/>
  </r>
  <r>
    <x v="1"/>
    <x v="9"/>
    <x v="8"/>
    <x v="12"/>
    <x v="14"/>
    <x v="4"/>
    <x v="0"/>
    <x v="113"/>
    <x v="0"/>
    <x v="168"/>
  </r>
  <r>
    <x v="1"/>
    <x v="9"/>
    <x v="9"/>
    <x v="14"/>
    <x v="8"/>
    <x v="4"/>
    <x v="0"/>
    <x v="145"/>
    <x v="0"/>
    <x v="169"/>
  </r>
  <r>
    <x v="1"/>
    <x v="9"/>
    <x v="10"/>
    <x v="8"/>
    <x v="2"/>
    <x v="4"/>
    <x v="0"/>
    <x v="91"/>
    <x v="0"/>
    <x v="162"/>
  </r>
  <r>
    <x v="1"/>
    <x v="9"/>
    <x v="11"/>
    <x v="2"/>
    <x v="12"/>
    <x v="4"/>
    <x v="0"/>
    <x v="81"/>
    <x v="0"/>
    <x v="158"/>
  </r>
  <r>
    <x v="1"/>
    <x v="9"/>
    <x v="12"/>
    <x v="12"/>
    <x v="14"/>
    <x v="4"/>
    <x v="0"/>
    <x v="113"/>
    <x v="0"/>
    <x v="168"/>
  </r>
  <r>
    <x v="1"/>
    <x v="9"/>
    <x v="13"/>
    <x v="14"/>
    <x v="8"/>
    <x v="4"/>
    <x v="0"/>
    <x v="145"/>
    <x v="0"/>
    <x v="169"/>
  </r>
  <r>
    <x v="1"/>
    <x v="9"/>
    <x v="14"/>
    <x v="8"/>
    <x v="2"/>
    <x v="4"/>
    <x v="1"/>
    <x v="167"/>
    <x v="0"/>
    <x v="163"/>
  </r>
  <r>
    <x v="1"/>
    <x v="9"/>
    <x v="15"/>
    <x v="2"/>
    <x v="14"/>
    <x v="4"/>
    <x v="0"/>
    <x v="126"/>
    <x v="0"/>
    <x v="159"/>
  </r>
  <r>
    <x v="1"/>
    <x v="9"/>
    <x v="16"/>
    <x v="14"/>
    <x v="12"/>
    <x v="4"/>
    <x v="0"/>
    <x v="101"/>
    <x v="0"/>
    <x v="171"/>
  </r>
  <r>
    <x v="1"/>
    <x v="9"/>
    <x v="17"/>
    <x v="12"/>
    <x v="8"/>
    <x v="4"/>
    <x v="1"/>
    <x v="19"/>
    <x v="0"/>
    <x v="167"/>
  </r>
  <r>
    <x v="1"/>
    <x v="9"/>
    <x v="18"/>
    <x v="8"/>
    <x v="2"/>
    <x v="4"/>
    <x v="0"/>
    <x v="91"/>
    <x v="0"/>
    <x v="162"/>
  </r>
  <r>
    <x v="1"/>
    <x v="9"/>
    <x v="19"/>
    <x v="2"/>
    <x v="14"/>
    <x v="4"/>
    <x v="0"/>
    <x v="126"/>
    <x v="0"/>
    <x v="159"/>
  </r>
  <r>
    <x v="1"/>
    <x v="9"/>
    <x v="20"/>
    <x v="14"/>
    <x v="12"/>
    <x v="4"/>
    <x v="0"/>
    <x v="101"/>
    <x v="0"/>
    <x v="171"/>
  </r>
  <r>
    <x v="1"/>
    <x v="9"/>
    <x v="21"/>
    <x v="12"/>
    <x v="8"/>
    <x v="4"/>
    <x v="1"/>
    <x v="19"/>
    <x v="0"/>
    <x v="167"/>
  </r>
  <r>
    <x v="1"/>
    <x v="9"/>
    <x v="22"/>
    <x v="8"/>
    <x v="2"/>
    <x v="4"/>
    <x v="0"/>
    <x v="91"/>
    <x v="0"/>
    <x v="162"/>
  </r>
  <r>
    <x v="1"/>
    <x v="9"/>
    <x v="23"/>
    <x v="2"/>
    <x v="14"/>
    <x v="4"/>
    <x v="0"/>
    <x v="126"/>
    <x v="0"/>
    <x v="159"/>
  </r>
  <r>
    <x v="1"/>
    <x v="9"/>
    <x v="24"/>
    <x v="14"/>
    <x v="12"/>
    <x v="4"/>
    <x v="0"/>
    <x v="101"/>
    <x v="0"/>
    <x v="171"/>
  </r>
  <r>
    <x v="1"/>
    <x v="9"/>
    <x v="25"/>
    <x v="12"/>
    <x v="8"/>
    <x v="4"/>
    <x v="1"/>
    <x v="19"/>
    <x v="0"/>
    <x v="167"/>
  </r>
  <r>
    <x v="1"/>
    <x v="9"/>
    <x v="26"/>
    <x v="8"/>
    <x v="2"/>
    <x v="4"/>
    <x v="0"/>
    <x v="91"/>
    <x v="0"/>
    <x v="162"/>
  </r>
  <r>
    <x v="1"/>
    <x v="9"/>
    <x v="27"/>
    <x v="2"/>
    <x v="14"/>
    <x v="4"/>
    <x v="0"/>
    <x v="126"/>
    <x v="0"/>
    <x v="159"/>
  </r>
  <r>
    <x v="1"/>
    <x v="9"/>
    <x v="28"/>
    <x v="14"/>
    <x v="9"/>
    <x v="4"/>
    <x v="0"/>
    <x v="63"/>
    <x v="0"/>
    <x v="170"/>
  </r>
  <r>
    <x v="2"/>
    <x v="0"/>
    <x v="0"/>
    <x v="15"/>
    <x v="15"/>
    <x v="0"/>
    <x v="0"/>
    <x v="76"/>
    <x v="0"/>
    <x v="0"/>
  </r>
  <r>
    <x v="2"/>
    <x v="0"/>
    <x v="1"/>
    <x v="4"/>
    <x v="10"/>
    <x v="0"/>
    <x v="0"/>
    <x v="95"/>
    <x v="0"/>
    <x v="17"/>
  </r>
  <r>
    <x v="2"/>
    <x v="0"/>
    <x v="2"/>
    <x v="10"/>
    <x v="13"/>
    <x v="0"/>
    <x v="0"/>
    <x v="100"/>
    <x v="0"/>
    <x v="49"/>
  </r>
  <r>
    <x v="2"/>
    <x v="0"/>
    <x v="3"/>
    <x v="13"/>
    <x v="2"/>
    <x v="0"/>
    <x v="3"/>
    <x v="94"/>
    <x v="0"/>
    <x v="60"/>
  </r>
  <r>
    <x v="2"/>
    <x v="0"/>
    <x v="4"/>
    <x v="2"/>
    <x v="10"/>
    <x v="0"/>
    <x v="0"/>
    <x v="45"/>
    <x v="0"/>
    <x v="7"/>
  </r>
  <r>
    <x v="2"/>
    <x v="0"/>
    <x v="5"/>
    <x v="10"/>
    <x v="13"/>
    <x v="0"/>
    <x v="0"/>
    <x v="100"/>
    <x v="0"/>
    <x v="49"/>
  </r>
  <r>
    <x v="2"/>
    <x v="0"/>
    <x v="6"/>
    <x v="13"/>
    <x v="4"/>
    <x v="0"/>
    <x v="2"/>
    <x v="131"/>
    <x v="0"/>
    <x v="65"/>
  </r>
  <r>
    <x v="2"/>
    <x v="0"/>
    <x v="7"/>
    <x v="4"/>
    <x v="10"/>
    <x v="0"/>
    <x v="1"/>
    <x v="128"/>
    <x v="0"/>
    <x v="18"/>
  </r>
  <r>
    <x v="2"/>
    <x v="0"/>
    <x v="8"/>
    <x v="10"/>
    <x v="13"/>
    <x v="0"/>
    <x v="0"/>
    <x v="100"/>
    <x v="0"/>
    <x v="49"/>
  </r>
  <r>
    <x v="2"/>
    <x v="0"/>
    <x v="9"/>
    <x v="13"/>
    <x v="4"/>
    <x v="0"/>
    <x v="2"/>
    <x v="131"/>
    <x v="0"/>
    <x v="65"/>
  </r>
  <r>
    <x v="2"/>
    <x v="0"/>
    <x v="10"/>
    <x v="4"/>
    <x v="10"/>
    <x v="0"/>
    <x v="1"/>
    <x v="128"/>
    <x v="0"/>
    <x v="18"/>
  </r>
  <r>
    <x v="2"/>
    <x v="0"/>
    <x v="11"/>
    <x v="10"/>
    <x v="13"/>
    <x v="0"/>
    <x v="0"/>
    <x v="100"/>
    <x v="0"/>
    <x v="49"/>
  </r>
  <r>
    <x v="2"/>
    <x v="0"/>
    <x v="12"/>
    <x v="13"/>
    <x v="2"/>
    <x v="0"/>
    <x v="3"/>
    <x v="94"/>
    <x v="0"/>
    <x v="60"/>
  </r>
  <r>
    <x v="2"/>
    <x v="0"/>
    <x v="13"/>
    <x v="2"/>
    <x v="10"/>
    <x v="0"/>
    <x v="0"/>
    <x v="45"/>
    <x v="0"/>
    <x v="7"/>
  </r>
  <r>
    <x v="2"/>
    <x v="0"/>
    <x v="14"/>
    <x v="10"/>
    <x v="13"/>
    <x v="0"/>
    <x v="0"/>
    <x v="100"/>
    <x v="0"/>
    <x v="49"/>
  </r>
  <r>
    <x v="2"/>
    <x v="0"/>
    <x v="15"/>
    <x v="13"/>
    <x v="2"/>
    <x v="0"/>
    <x v="3"/>
    <x v="94"/>
    <x v="0"/>
    <x v="60"/>
  </r>
  <r>
    <x v="2"/>
    <x v="0"/>
    <x v="16"/>
    <x v="2"/>
    <x v="10"/>
    <x v="0"/>
    <x v="0"/>
    <x v="45"/>
    <x v="0"/>
    <x v="7"/>
  </r>
  <r>
    <x v="2"/>
    <x v="0"/>
    <x v="17"/>
    <x v="10"/>
    <x v="13"/>
    <x v="0"/>
    <x v="0"/>
    <x v="100"/>
    <x v="0"/>
    <x v="49"/>
  </r>
  <r>
    <x v="2"/>
    <x v="0"/>
    <x v="18"/>
    <x v="13"/>
    <x v="6"/>
    <x v="0"/>
    <x v="0"/>
    <x v="26"/>
    <x v="0"/>
    <x v="67"/>
  </r>
  <r>
    <x v="2"/>
    <x v="0"/>
    <x v="19"/>
    <x v="6"/>
    <x v="10"/>
    <x v="0"/>
    <x v="0"/>
    <x v="133"/>
    <x v="0"/>
    <x v="24"/>
  </r>
  <r>
    <x v="2"/>
    <x v="0"/>
    <x v="20"/>
    <x v="10"/>
    <x v="13"/>
    <x v="0"/>
    <x v="0"/>
    <x v="100"/>
    <x v="0"/>
    <x v="49"/>
  </r>
  <r>
    <x v="2"/>
    <x v="0"/>
    <x v="21"/>
    <x v="13"/>
    <x v="4"/>
    <x v="0"/>
    <x v="2"/>
    <x v="131"/>
    <x v="0"/>
    <x v="65"/>
  </r>
  <r>
    <x v="2"/>
    <x v="0"/>
    <x v="22"/>
    <x v="4"/>
    <x v="13"/>
    <x v="0"/>
    <x v="1"/>
    <x v="105"/>
    <x v="0"/>
    <x v="20"/>
  </r>
  <r>
    <x v="2"/>
    <x v="0"/>
    <x v="23"/>
    <x v="13"/>
    <x v="6"/>
    <x v="0"/>
    <x v="0"/>
    <x v="26"/>
    <x v="0"/>
    <x v="67"/>
  </r>
  <r>
    <x v="2"/>
    <x v="0"/>
    <x v="24"/>
    <x v="6"/>
    <x v="10"/>
    <x v="0"/>
    <x v="0"/>
    <x v="133"/>
    <x v="0"/>
    <x v="24"/>
  </r>
  <r>
    <x v="2"/>
    <x v="0"/>
    <x v="25"/>
    <x v="10"/>
    <x v="13"/>
    <x v="0"/>
    <x v="0"/>
    <x v="100"/>
    <x v="0"/>
    <x v="49"/>
  </r>
  <r>
    <x v="2"/>
    <x v="0"/>
    <x v="26"/>
    <x v="13"/>
    <x v="2"/>
    <x v="0"/>
    <x v="3"/>
    <x v="94"/>
    <x v="0"/>
    <x v="60"/>
  </r>
  <r>
    <x v="2"/>
    <x v="0"/>
    <x v="27"/>
    <x v="2"/>
    <x v="10"/>
    <x v="0"/>
    <x v="0"/>
    <x v="45"/>
    <x v="0"/>
    <x v="7"/>
  </r>
  <r>
    <x v="2"/>
    <x v="0"/>
    <x v="28"/>
    <x v="10"/>
    <x v="13"/>
    <x v="0"/>
    <x v="0"/>
    <x v="100"/>
    <x v="0"/>
    <x v="49"/>
  </r>
  <r>
    <x v="2"/>
    <x v="0"/>
    <x v="29"/>
    <x v="13"/>
    <x v="2"/>
    <x v="0"/>
    <x v="3"/>
    <x v="94"/>
    <x v="0"/>
    <x v="60"/>
  </r>
  <r>
    <x v="2"/>
    <x v="0"/>
    <x v="30"/>
    <x v="2"/>
    <x v="10"/>
    <x v="0"/>
    <x v="0"/>
    <x v="45"/>
    <x v="0"/>
    <x v="7"/>
  </r>
  <r>
    <x v="2"/>
    <x v="0"/>
    <x v="31"/>
    <x v="10"/>
    <x v="13"/>
    <x v="0"/>
    <x v="0"/>
    <x v="100"/>
    <x v="0"/>
    <x v="49"/>
  </r>
  <r>
    <x v="2"/>
    <x v="0"/>
    <x v="32"/>
    <x v="13"/>
    <x v="10"/>
    <x v="0"/>
    <x v="0"/>
    <x v="170"/>
    <x v="0"/>
    <x v="72"/>
  </r>
  <r>
    <x v="2"/>
    <x v="0"/>
    <x v="33"/>
    <x v="10"/>
    <x v="2"/>
    <x v="0"/>
    <x v="0"/>
    <x v="54"/>
    <x v="0"/>
    <x v="44"/>
  </r>
  <r>
    <x v="2"/>
    <x v="0"/>
    <x v="34"/>
    <x v="15"/>
    <x v="15"/>
    <x v="0"/>
    <x v="0"/>
    <x v="76"/>
    <x v="0"/>
    <x v="0"/>
  </r>
  <r>
    <x v="2"/>
    <x v="1"/>
    <x v="0"/>
    <x v="15"/>
    <x v="15"/>
    <x v="0"/>
    <x v="0"/>
    <x v="76"/>
    <x v="0"/>
    <x v="0"/>
  </r>
  <r>
    <x v="2"/>
    <x v="1"/>
    <x v="1"/>
    <x v="4"/>
    <x v="10"/>
    <x v="0"/>
    <x v="0"/>
    <x v="95"/>
    <x v="0"/>
    <x v="17"/>
  </r>
  <r>
    <x v="2"/>
    <x v="1"/>
    <x v="2"/>
    <x v="10"/>
    <x v="13"/>
    <x v="0"/>
    <x v="0"/>
    <x v="100"/>
    <x v="0"/>
    <x v="49"/>
  </r>
  <r>
    <x v="2"/>
    <x v="1"/>
    <x v="3"/>
    <x v="13"/>
    <x v="10"/>
    <x v="0"/>
    <x v="0"/>
    <x v="170"/>
    <x v="0"/>
    <x v="72"/>
  </r>
  <r>
    <x v="2"/>
    <x v="1"/>
    <x v="4"/>
    <x v="10"/>
    <x v="2"/>
    <x v="0"/>
    <x v="1"/>
    <x v="50"/>
    <x v="0"/>
    <x v="45"/>
  </r>
  <r>
    <x v="2"/>
    <x v="1"/>
    <x v="5"/>
    <x v="2"/>
    <x v="13"/>
    <x v="0"/>
    <x v="1"/>
    <x v="24"/>
    <x v="0"/>
    <x v="10"/>
  </r>
  <r>
    <x v="2"/>
    <x v="1"/>
    <x v="6"/>
    <x v="13"/>
    <x v="10"/>
    <x v="0"/>
    <x v="0"/>
    <x v="170"/>
    <x v="0"/>
    <x v="72"/>
  </r>
  <r>
    <x v="2"/>
    <x v="1"/>
    <x v="7"/>
    <x v="10"/>
    <x v="4"/>
    <x v="0"/>
    <x v="0"/>
    <x v="68"/>
    <x v="0"/>
    <x v="46"/>
  </r>
  <r>
    <x v="2"/>
    <x v="1"/>
    <x v="8"/>
    <x v="4"/>
    <x v="13"/>
    <x v="0"/>
    <x v="1"/>
    <x v="105"/>
    <x v="0"/>
    <x v="20"/>
  </r>
  <r>
    <x v="2"/>
    <x v="1"/>
    <x v="9"/>
    <x v="13"/>
    <x v="10"/>
    <x v="0"/>
    <x v="0"/>
    <x v="170"/>
    <x v="0"/>
    <x v="72"/>
  </r>
  <r>
    <x v="2"/>
    <x v="1"/>
    <x v="10"/>
    <x v="10"/>
    <x v="4"/>
    <x v="0"/>
    <x v="0"/>
    <x v="68"/>
    <x v="0"/>
    <x v="46"/>
  </r>
  <r>
    <x v="2"/>
    <x v="1"/>
    <x v="11"/>
    <x v="4"/>
    <x v="13"/>
    <x v="0"/>
    <x v="1"/>
    <x v="105"/>
    <x v="0"/>
    <x v="20"/>
  </r>
  <r>
    <x v="2"/>
    <x v="1"/>
    <x v="12"/>
    <x v="13"/>
    <x v="10"/>
    <x v="0"/>
    <x v="0"/>
    <x v="170"/>
    <x v="0"/>
    <x v="72"/>
  </r>
  <r>
    <x v="2"/>
    <x v="1"/>
    <x v="13"/>
    <x v="10"/>
    <x v="2"/>
    <x v="0"/>
    <x v="1"/>
    <x v="50"/>
    <x v="0"/>
    <x v="45"/>
  </r>
  <r>
    <x v="2"/>
    <x v="1"/>
    <x v="14"/>
    <x v="2"/>
    <x v="13"/>
    <x v="0"/>
    <x v="1"/>
    <x v="24"/>
    <x v="0"/>
    <x v="10"/>
  </r>
  <r>
    <x v="2"/>
    <x v="1"/>
    <x v="15"/>
    <x v="13"/>
    <x v="10"/>
    <x v="0"/>
    <x v="0"/>
    <x v="170"/>
    <x v="0"/>
    <x v="72"/>
  </r>
  <r>
    <x v="2"/>
    <x v="1"/>
    <x v="16"/>
    <x v="10"/>
    <x v="2"/>
    <x v="0"/>
    <x v="1"/>
    <x v="50"/>
    <x v="0"/>
    <x v="45"/>
  </r>
  <r>
    <x v="2"/>
    <x v="1"/>
    <x v="17"/>
    <x v="2"/>
    <x v="13"/>
    <x v="0"/>
    <x v="1"/>
    <x v="24"/>
    <x v="0"/>
    <x v="10"/>
  </r>
  <r>
    <x v="2"/>
    <x v="1"/>
    <x v="18"/>
    <x v="13"/>
    <x v="10"/>
    <x v="0"/>
    <x v="0"/>
    <x v="170"/>
    <x v="0"/>
    <x v="72"/>
  </r>
  <r>
    <x v="2"/>
    <x v="1"/>
    <x v="19"/>
    <x v="10"/>
    <x v="6"/>
    <x v="0"/>
    <x v="0"/>
    <x v="140"/>
    <x v="0"/>
    <x v="48"/>
  </r>
  <r>
    <x v="2"/>
    <x v="1"/>
    <x v="20"/>
    <x v="6"/>
    <x v="13"/>
    <x v="0"/>
    <x v="0"/>
    <x v="34"/>
    <x v="0"/>
    <x v="25"/>
  </r>
  <r>
    <x v="2"/>
    <x v="1"/>
    <x v="21"/>
    <x v="13"/>
    <x v="4"/>
    <x v="0"/>
    <x v="2"/>
    <x v="131"/>
    <x v="0"/>
    <x v="65"/>
  </r>
  <r>
    <x v="2"/>
    <x v="1"/>
    <x v="22"/>
    <x v="4"/>
    <x v="13"/>
    <x v="0"/>
    <x v="1"/>
    <x v="105"/>
    <x v="0"/>
    <x v="20"/>
  </r>
  <r>
    <x v="2"/>
    <x v="1"/>
    <x v="23"/>
    <x v="13"/>
    <x v="10"/>
    <x v="0"/>
    <x v="0"/>
    <x v="170"/>
    <x v="0"/>
    <x v="72"/>
  </r>
  <r>
    <x v="2"/>
    <x v="1"/>
    <x v="24"/>
    <x v="10"/>
    <x v="6"/>
    <x v="0"/>
    <x v="0"/>
    <x v="140"/>
    <x v="0"/>
    <x v="48"/>
  </r>
  <r>
    <x v="2"/>
    <x v="1"/>
    <x v="25"/>
    <x v="6"/>
    <x v="13"/>
    <x v="0"/>
    <x v="0"/>
    <x v="34"/>
    <x v="0"/>
    <x v="25"/>
  </r>
  <r>
    <x v="2"/>
    <x v="1"/>
    <x v="26"/>
    <x v="13"/>
    <x v="10"/>
    <x v="0"/>
    <x v="0"/>
    <x v="170"/>
    <x v="0"/>
    <x v="72"/>
  </r>
  <r>
    <x v="2"/>
    <x v="1"/>
    <x v="27"/>
    <x v="10"/>
    <x v="2"/>
    <x v="0"/>
    <x v="1"/>
    <x v="50"/>
    <x v="0"/>
    <x v="45"/>
  </r>
  <r>
    <x v="2"/>
    <x v="1"/>
    <x v="28"/>
    <x v="2"/>
    <x v="13"/>
    <x v="0"/>
    <x v="1"/>
    <x v="24"/>
    <x v="0"/>
    <x v="10"/>
  </r>
  <r>
    <x v="2"/>
    <x v="1"/>
    <x v="29"/>
    <x v="13"/>
    <x v="10"/>
    <x v="0"/>
    <x v="0"/>
    <x v="170"/>
    <x v="0"/>
    <x v="72"/>
  </r>
  <r>
    <x v="2"/>
    <x v="1"/>
    <x v="30"/>
    <x v="10"/>
    <x v="2"/>
    <x v="0"/>
    <x v="1"/>
    <x v="50"/>
    <x v="0"/>
    <x v="45"/>
  </r>
  <r>
    <x v="2"/>
    <x v="1"/>
    <x v="31"/>
    <x v="2"/>
    <x v="13"/>
    <x v="0"/>
    <x v="1"/>
    <x v="24"/>
    <x v="0"/>
    <x v="10"/>
  </r>
  <r>
    <x v="2"/>
    <x v="1"/>
    <x v="32"/>
    <x v="13"/>
    <x v="10"/>
    <x v="0"/>
    <x v="0"/>
    <x v="170"/>
    <x v="0"/>
    <x v="72"/>
  </r>
  <r>
    <x v="2"/>
    <x v="1"/>
    <x v="33"/>
    <x v="10"/>
    <x v="2"/>
    <x v="0"/>
    <x v="0"/>
    <x v="54"/>
    <x v="0"/>
    <x v="44"/>
  </r>
  <r>
    <x v="2"/>
    <x v="1"/>
    <x v="34"/>
    <x v="15"/>
    <x v="15"/>
    <x v="0"/>
    <x v="0"/>
    <x v="76"/>
    <x v="0"/>
    <x v="0"/>
  </r>
  <r>
    <x v="2"/>
    <x v="3"/>
    <x v="0"/>
    <x v="15"/>
    <x v="15"/>
    <x v="1"/>
    <x v="0"/>
    <x v="102"/>
    <x v="0"/>
    <x v="76"/>
  </r>
  <r>
    <x v="2"/>
    <x v="3"/>
    <x v="1"/>
    <x v="4"/>
    <x v="10"/>
    <x v="1"/>
    <x v="0"/>
    <x v="52"/>
    <x v="0"/>
    <x v="83"/>
  </r>
  <r>
    <x v="2"/>
    <x v="3"/>
    <x v="2"/>
    <x v="10"/>
    <x v="13"/>
    <x v="1"/>
    <x v="0"/>
    <x v="28"/>
    <x v="0"/>
    <x v="107"/>
  </r>
  <r>
    <x v="2"/>
    <x v="3"/>
    <x v="3"/>
    <x v="13"/>
    <x v="10"/>
    <x v="1"/>
    <x v="0"/>
    <x v="80"/>
    <x v="0"/>
    <x v="114"/>
  </r>
  <r>
    <x v="2"/>
    <x v="3"/>
    <x v="4"/>
    <x v="10"/>
    <x v="2"/>
    <x v="1"/>
    <x v="0"/>
    <x v="99"/>
    <x v="0"/>
    <x v="102"/>
  </r>
  <r>
    <x v="2"/>
    <x v="3"/>
    <x v="5"/>
    <x v="2"/>
    <x v="13"/>
    <x v="1"/>
    <x v="1"/>
    <x v="65"/>
    <x v="0"/>
    <x v="80"/>
  </r>
  <r>
    <x v="2"/>
    <x v="3"/>
    <x v="6"/>
    <x v="13"/>
    <x v="10"/>
    <x v="1"/>
    <x v="0"/>
    <x v="80"/>
    <x v="0"/>
    <x v="114"/>
  </r>
  <r>
    <x v="2"/>
    <x v="3"/>
    <x v="7"/>
    <x v="10"/>
    <x v="4"/>
    <x v="1"/>
    <x v="0"/>
    <x v="155"/>
    <x v="0"/>
    <x v="104"/>
  </r>
  <r>
    <x v="2"/>
    <x v="3"/>
    <x v="8"/>
    <x v="4"/>
    <x v="13"/>
    <x v="1"/>
    <x v="1"/>
    <x v="135"/>
    <x v="0"/>
    <x v="85"/>
  </r>
  <r>
    <x v="2"/>
    <x v="3"/>
    <x v="9"/>
    <x v="13"/>
    <x v="10"/>
    <x v="1"/>
    <x v="0"/>
    <x v="80"/>
    <x v="0"/>
    <x v="114"/>
  </r>
  <r>
    <x v="2"/>
    <x v="3"/>
    <x v="10"/>
    <x v="10"/>
    <x v="4"/>
    <x v="1"/>
    <x v="0"/>
    <x v="155"/>
    <x v="0"/>
    <x v="104"/>
  </r>
  <r>
    <x v="2"/>
    <x v="3"/>
    <x v="11"/>
    <x v="4"/>
    <x v="13"/>
    <x v="1"/>
    <x v="1"/>
    <x v="135"/>
    <x v="0"/>
    <x v="85"/>
  </r>
  <r>
    <x v="2"/>
    <x v="3"/>
    <x v="12"/>
    <x v="13"/>
    <x v="10"/>
    <x v="1"/>
    <x v="0"/>
    <x v="80"/>
    <x v="0"/>
    <x v="114"/>
  </r>
  <r>
    <x v="2"/>
    <x v="3"/>
    <x v="13"/>
    <x v="10"/>
    <x v="2"/>
    <x v="1"/>
    <x v="0"/>
    <x v="99"/>
    <x v="0"/>
    <x v="102"/>
  </r>
  <r>
    <x v="2"/>
    <x v="3"/>
    <x v="14"/>
    <x v="2"/>
    <x v="13"/>
    <x v="1"/>
    <x v="1"/>
    <x v="65"/>
    <x v="0"/>
    <x v="80"/>
  </r>
  <r>
    <x v="2"/>
    <x v="3"/>
    <x v="15"/>
    <x v="13"/>
    <x v="10"/>
    <x v="1"/>
    <x v="0"/>
    <x v="80"/>
    <x v="0"/>
    <x v="114"/>
  </r>
  <r>
    <x v="2"/>
    <x v="3"/>
    <x v="16"/>
    <x v="10"/>
    <x v="2"/>
    <x v="1"/>
    <x v="0"/>
    <x v="99"/>
    <x v="0"/>
    <x v="102"/>
  </r>
  <r>
    <x v="2"/>
    <x v="3"/>
    <x v="17"/>
    <x v="2"/>
    <x v="13"/>
    <x v="1"/>
    <x v="1"/>
    <x v="65"/>
    <x v="0"/>
    <x v="80"/>
  </r>
  <r>
    <x v="2"/>
    <x v="3"/>
    <x v="18"/>
    <x v="13"/>
    <x v="10"/>
    <x v="1"/>
    <x v="0"/>
    <x v="80"/>
    <x v="0"/>
    <x v="114"/>
  </r>
  <r>
    <x v="2"/>
    <x v="3"/>
    <x v="19"/>
    <x v="10"/>
    <x v="6"/>
    <x v="1"/>
    <x v="0"/>
    <x v="56"/>
    <x v="0"/>
    <x v="106"/>
  </r>
  <r>
    <x v="2"/>
    <x v="3"/>
    <x v="20"/>
    <x v="6"/>
    <x v="13"/>
    <x v="1"/>
    <x v="0"/>
    <x v="30"/>
    <x v="0"/>
    <x v="88"/>
  </r>
  <r>
    <x v="2"/>
    <x v="3"/>
    <x v="21"/>
    <x v="13"/>
    <x v="4"/>
    <x v="1"/>
    <x v="0"/>
    <x v="104"/>
    <x v="0"/>
    <x v="110"/>
  </r>
  <r>
    <x v="2"/>
    <x v="3"/>
    <x v="22"/>
    <x v="4"/>
    <x v="13"/>
    <x v="1"/>
    <x v="1"/>
    <x v="135"/>
    <x v="0"/>
    <x v="85"/>
  </r>
  <r>
    <x v="2"/>
    <x v="3"/>
    <x v="23"/>
    <x v="13"/>
    <x v="10"/>
    <x v="1"/>
    <x v="0"/>
    <x v="80"/>
    <x v="0"/>
    <x v="114"/>
  </r>
  <r>
    <x v="2"/>
    <x v="3"/>
    <x v="24"/>
    <x v="10"/>
    <x v="6"/>
    <x v="1"/>
    <x v="0"/>
    <x v="56"/>
    <x v="0"/>
    <x v="106"/>
  </r>
  <r>
    <x v="2"/>
    <x v="3"/>
    <x v="25"/>
    <x v="6"/>
    <x v="13"/>
    <x v="1"/>
    <x v="0"/>
    <x v="30"/>
    <x v="0"/>
    <x v="88"/>
  </r>
  <r>
    <x v="2"/>
    <x v="3"/>
    <x v="26"/>
    <x v="13"/>
    <x v="10"/>
    <x v="1"/>
    <x v="0"/>
    <x v="80"/>
    <x v="0"/>
    <x v="114"/>
  </r>
  <r>
    <x v="2"/>
    <x v="3"/>
    <x v="27"/>
    <x v="10"/>
    <x v="2"/>
    <x v="1"/>
    <x v="0"/>
    <x v="99"/>
    <x v="0"/>
    <x v="102"/>
  </r>
  <r>
    <x v="2"/>
    <x v="3"/>
    <x v="28"/>
    <x v="2"/>
    <x v="13"/>
    <x v="1"/>
    <x v="1"/>
    <x v="65"/>
    <x v="0"/>
    <x v="80"/>
  </r>
  <r>
    <x v="2"/>
    <x v="3"/>
    <x v="29"/>
    <x v="13"/>
    <x v="10"/>
    <x v="1"/>
    <x v="0"/>
    <x v="80"/>
    <x v="0"/>
    <x v="114"/>
  </r>
  <r>
    <x v="2"/>
    <x v="3"/>
    <x v="30"/>
    <x v="10"/>
    <x v="2"/>
    <x v="1"/>
    <x v="0"/>
    <x v="99"/>
    <x v="0"/>
    <x v="102"/>
  </r>
  <r>
    <x v="2"/>
    <x v="3"/>
    <x v="31"/>
    <x v="2"/>
    <x v="13"/>
    <x v="1"/>
    <x v="1"/>
    <x v="65"/>
    <x v="0"/>
    <x v="80"/>
  </r>
  <r>
    <x v="2"/>
    <x v="3"/>
    <x v="32"/>
    <x v="13"/>
    <x v="10"/>
    <x v="1"/>
    <x v="0"/>
    <x v="80"/>
    <x v="0"/>
    <x v="114"/>
  </r>
  <r>
    <x v="2"/>
    <x v="3"/>
    <x v="33"/>
    <x v="10"/>
    <x v="2"/>
    <x v="1"/>
    <x v="1"/>
    <x v="12"/>
    <x v="0"/>
    <x v="103"/>
  </r>
  <r>
    <x v="2"/>
    <x v="3"/>
    <x v="34"/>
    <x v="15"/>
    <x v="15"/>
    <x v="1"/>
    <x v="0"/>
    <x v="102"/>
    <x v="0"/>
    <x v="76"/>
  </r>
  <r>
    <x v="2"/>
    <x v="5"/>
    <x v="0"/>
    <x v="15"/>
    <x v="15"/>
    <x v="0"/>
    <x v="0"/>
    <x v="76"/>
    <x v="0"/>
    <x v="0"/>
  </r>
  <r>
    <x v="2"/>
    <x v="5"/>
    <x v="1"/>
    <x v="5"/>
    <x v="11"/>
    <x v="0"/>
    <x v="0"/>
    <x v="62"/>
    <x v="0"/>
    <x v="21"/>
  </r>
  <r>
    <x v="2"/>
    <x v="5"/>
    <x v="2"/>
    <x v="11"/>
    <x v="13"/>
    <x v="0"/>
    <x v="0"/>
    <x v="132"/>
    <x v="0"/>
    <x v="43"/>
  </r>
  <r>
    <x v="2"/>
    <x v="5"/>
    <x v="3"/>
    <x v="13"/>
    <x v="11"/>
    <x v="0"/>
    <x v="0"/>
    <x v="149"/>
    <x v="0"/>
    <x v="73"/>
  </r>
  <r>
    <x v="2"/>
    <x v="5"/>
    <x v="4"/>
    <x v="11"/>
    <x v="3"/>
    <x v="0"/>
    <x v="0"/>
    <x v="35"/>
    <x v="0"/>
    <x v="37"/>
  </r>
  <r>
    <x v="2"/>
    <x v="5"/>
    <x v="5"/>
    <x v="3"/>
    <x v="13"/>
    <x v="0"/>
    <x v="0"/>
    <x v="67"/>
    <x v="0"/>
    <x v="13"/>
  </r>
  <r>
    <x v="2"/>
    <x v="5"/>
    <x v="6"/>
    <x v="13"/>
    <x v="11"/>
    <x v="0"/>
    <x v="0"/>
    <x v="149"/>
    <x v="0"/>
    <x v="73"/>
  </r>
  <r>
    <x v="2"/>
    <x v="5"/>
    <x v="7"/>
    <x v="11"/>
    <x v="5"/>
    <x v="0"/>
    <x v="0"/>
    <x v="134"/>
    <x v="0"/>
    <x v="40"/>
  </r>
  <r>
    <x v="2"/>
    <x v="5"/>
    <x v="8"/>
    <x v="5"/>
    <x v="13"/>
    <x v="0"/>
    <x v="0"/>
    <x v="142"/>
    <x v="0"/>
    <x v="23"/>
  </r>
  <r>
    <x v="2"/>
    <x v="5"/>
    <x v="9"/>
    <x v="13"/>
    <x v="11"/>
    <x v="0"/>
    <x v="0"/>
    <x v="149"/>
    <x v="0"/>
    <x v="73"/>
  </r>
  <r>
    <x v="2"/>
    <x v="5"/>
    <x v="10"/>
    <x v="11"/>
    <x v="5"/>
    <x v="0"/>
    <x v="0"/>
    <x v="134"/>
    <x v="0"/>
    <x v="40"/>
  </r>
  <r>
    <x v="2"/>
    <x v="5"/>
    <x v="11"/>
    <x v="5"/>
    <x v="13"/>
    <x v="0"/>
    <x v="0"/>
    <x v="142"/>
    <x v="0"/>
    <x v="23"/>
  </r>
  <r>
    <x v="2"/>
    <x v="5"/>
    <x v="12"/>
    <x v="13"/>
    <x v="11"/>
    <x v="0"/>
    <x v="0"/>
    <x v="149"/>
    <x v="0"/>
    <x v="73"/>
  </r>
  <r>
    <x v="2"/>
    <x v="5"/>
    <x v="13"/>
    <x v="11"/>
    <x v="3"/>
    <x v="0"/>
    <x v="1"/>
    <x v="115"/>
    <x v="0"/>
    <x v="38"/>
  </r>
  <r>
    <x v="2"/>
    <x v="5"/>
    <x v="14"/>
    <x v="3"/>
    <x v="13"/>
    <x v="0"/>
    <x v="1"/>
    <x v="4"/>
    <x v="0"/>
    <x v="14"/>
  </r>
  <r>
    <x v="2"/>
    <x v="5"/>
    <x v="15"/>
    <x v="13"/>
    <x v="11"/>
    <x v="0"/>
    <x v="0"/>
    <x v="149"/>
    <x v="0"/>
    <x v="73"/>
  </r>
  <r>
    <x v="2"/>
    <x v="5"/>
    <x v="16"/>
    <x v="11"/>
    <x v="3"/>
    <x v="0"/>
    <x v="0"/>
    <x v="35"/>
    <x v="0"/>
    <x v="37"/>
  </r>
  <r>
    <x v="2"/>
    <x v="5"/>
    <x v="17"/>
    <x v="3"/>
    <x v="13"/>
    <x v="0"/>
    <x v="0"/>
    <x v="67"/>
    <x v="0"/>
    <x v="13"/>
  </r>
  <r>
    <x v="2"/>
    <x v="5"/>
    <x v="18"/>
    <x v="13"/>
    <x v="11"/>
    <x v="0"/>
    <x v="0"/>
    <x v="149"/>
    <x v="0"/>
    <x v="73"/>
  </r>
  <r>
    <x v="2"/>
    <x v="5"/>
    <x v="19"/>
    <x v="11"/>
    <x v="7"/>
    <x v="0"/>
    <x v="0"/>
    <x v="164"/>
    <x v="0"/>
    <x v="42"/>
  </r>
  <r>
    <x v="2"/>
    <x v="5"/>
    <x v="20"/>
    <x v="7"/>
    <x v="13"/>
    <x v="0"/>
    <x v="0"/>
    <x v="119"/>
    <x v="0"/>
    <x v="27"/>
  </r>
  <r>
    <x v="2"/>
    <x v="5"/>
    <x v="21"/>
    <x v="13"/>
    <x v="5"/>
    <x v="0"/>
    <x v="0"/>
    <x v="97"/>
    <x v="0"/>
    <x v="66"/>
  </r>
  <r>
    <x v="2"/>
    <x v="5"/>
    <x v="22"/>
    <x v="5"/>
    <x v="13"/>
    <x v="0"/>
    <x v="0"/>
    <x v="142"/>
    <x v="0"/>
    <x v="23"/>
  </r>
  <r>
    <x v="2"/>
    <x v="5"/>
    <x v="23"/>
    <x v="13"/>
    <x v="11"/>
    <x v="0"/>
    <x v="0"/>
    <x v="149"/>
    <x v="0"/>
    <x v="73"/>
  </r>
  <r>
    <x v="2"/>
    <x v="5"/>
    <x v="24"/>
    <x v="11"/>
    <x v="7"/>
    <x v="0"/>
    <x v="0"/>
    <x v="164"/>
    <x v="0"/>
    <x v="42"/>
  </r>
  <r>
    <x v="2"/>
    <x v="5"/>
    <x v="25"/>
    <x v="7"/>
    <x v="13"/>
    <x v="0"/>
    <x v="0"/>
    <x v="119"/>
    <x v="0"/>
    <x v="27"/>
  </r>
  <r>
    <x v="2"/>
    <x v="5"/>
    <x v="26"/>
    <x v="13"/>
    <x v="11"/>
    <x v="0"/>
    <x v="0"/>
    <x v="149"/>
    <x v="0"/>
    <x v="73"/>
  </r>
  <r>
    <x v="2"/>
    <x v="5"/>
    <x v="27"/>
    <x v="11"/>
    <x v="3"/>
    <x v="0"/>
    <x v="1"/>
    <x v="115"/>
    <x v="0"/>
    <x v="38"/>
  </r>
  <r>
    <x v="2"/>
    <x v="5"/>
    <x v="28"/>
    <x v="3"/>
    <x v="13"/>
    <x v="0"/>
    <x v="1"/>
    <x v="4"/>
    <x v="0"/>
    <x v="14"/>
  </r>
  <r>
    <x v="2"/>
    <x v="5"/>
    <x v="29"/>
    <x v="13"/>
    <x v="11"/>
    <x v="0"/>
    <x v="0"/>
    <x v="149"/>
    <x v="0"/>
    <x v="73"/>
  </r>
  <r>
    <x v="2"/>
    <x v="5"/>
    <x v="30"/>
    <x v="11"/>
    <x v="3"/>
    <x v="0"/>
    <x v="0"/>
    <x v="35"/>
    <x v="0"/>
    <x v="37"/>
  </r>
  <r>
    <x v="2"/>
    <x v="5"/>
    <x v="31"/>
    <x v="3"/>
    <x v="13"/>
    <x v="0"/>
    <x v="0"/>
    <x v="67"/>
    <x v="0"/>
    <x v="13"/>
  </r>
  <r>
    <x v="2"/>
    <x v="5"/>
    <x v="32"/>
    <x v="13"/>
    <x v="11"/>
    <x v="0"/>
    <x v="0"/>
    <x v="149"/>
    <x v="0"/>
    <x v="73"/>
  </r>
  <r>
    <x v="2"/>
    <x v="5"/>
    <x v="33"/>
    <x v="11"/>
    <x v="3"/>
    <x v="0"/>
    <x v="2"/>
    <x v="23"/>
    <x v="0"/>
    <x v="39"/>
  </r>
  <r>
    <x v="2"/>
    <x v="5"/>
    <x v="34"/>
    <x v="15"/>
    <x v="15"/>
    <x v="0"/>
    <x v="0"/>
    <x v="76"/>
    <x v="0"/>
    <x v="0"/>
  </r>
  <r>
    <x v="2"/>
    <x v="6"/>
    <x v="0"/>
    <x v="15"/>
    <x v="15"/>
    <x v="0"/>
    <x v="0"/>
    <x v="76"/>
    <x v="0"/>
    <x v="0"/>
  </r>
  <r>
    <x v="2"/>
    <x v="6"/>
    <x v="1"/>
    <x v="5"/>
    <x v="11"/>
    <x v="0"/>
    <x v="0"/>
    <x v="62"/>
    <x v="0"/>
    <x v="21"/>
  </r>
  <r>
    <x v="2"/>
    <x v="6"/>
    <x v="2"/>
    <x v="11"/>
    <x v="13"/>
    <x v="0"/>
    <x v="0"/>
    <x v="132"/>
    <x v="0"/>
    <x v="43"/>
  </r>
  <r>
    <x v="2"/>
    <x v="6"/>
    <x v="3"/>
    <x v="13"/>
    <x v="3"/>
    <x v="0"/>
    <x v="0"/>
    <x v="0"/>
    <x v="0"/>
    <x v="61"/>
  </r>
  <r>
    <x v="2"/>
    <x v="6"/>
    <x v="4"/>
    <x v="3"/>
    <x v="11"/>
    <x v="0"/>
    <x v="0"/>
    <x v="129"/>
    <x v="0"/>
    <x v="11"/>
  </r>
  <r>
    <x v="2"/>
    <x v="6"/>
    <x v="5"/>
    <x v="11"/>
    <x v="13"/>
    <x v="0"/>
    <x v="0"/>
    <x v="132"/>
    <x v="0"/>
    <x v="43"/>
  </r>
  <r>
    <x v="2"/>
    <x v="6"/>
    <x v="6"/>
    <x v="13"/>
    <x v="5"/>
    <x v="0"/>
    <x v="0"/>
    <x v="97"/>
    <x v="0"/>
    <x v="66"/>
  </r>
  <r>
    <x v="2"/>
    <x v="6"/>
    <x v="7"/>
    <x v="5"/>
    <x v="11"/>
    <x v="0"/>
    <x v="1"/>
    <x v="9"/>
    <x v="0"/>
    <x v="22"/>
  </r>
  <r>
    <x v="2"/>
    <x v="6"/>
    <x v="8"/>
    <x v="11"/>
    <x v="13"/>
    <x v="0"/>
    <x v="0"/>
    <x v="132"/>
    <x v="0"/>
    <x v="43"/>
  </r>
  <r>
    <x v="2"/>
    <x v="6"/>
    <x v="9"/>
    <x v="13"/>
    <x v="5"/>
    <x v="0"/>
    <x v="0"/>
    <x v="97"/>
    <x v="0"/>
    <x v="66"/>
  </r>
  <r>
    <x v="2"/>
    <x v="6"/>
    <x v="10"/>
    <x v="5"/>
    <x v="11"/>
    <x v="0"/>
    <x v="1"/>
    <x v="9"/>
    <x v="0"/>
    <x v="22"/>
  </r>
  <r>
    <x v="2"/>
    <x v="6"/>
    <x v="11"/>
    <x v="11"/>
    <x v="13"/>
    <x v="0"/>
    <x v="0"/>
    <x v="132"/>
    <x v="0"/>
    <x v="43"/>
  </r>
  <r>
    <x v="2"/>
    <x v="6"/>
    <x v="12"/>
    <x v="13"/>
    <x v="3"/>
    <x v="0"/>
    <x v="1"/>
    <x v="103"/>
    <x v="0"/>
    <x v="62"/>
  </r>
  <r>
    <x v="2"/>
    <x v="6"/>
    <x v="13"/>
    <x v="3"/>
    <x v="11"/>
    <x v="0"/>
    <x v="1"/>
    <x v="108"/>
    <x v="0"/>
    <x v="12"/>
  </r>
  <r>
    <x v="2"/>
    <x v="6"/>
    <x v="14"/>
    <x v="11"/>
    <x v="13"/>
    <x v="0"/>
    <x v="0"/>
    <x v="132"/>
    <x v="0"/>
    <x v="43"/>
  </r>
  <r>
    <x v="2"/>
    <x v="6"/>
    <x v="15"/>
    <x v="13"/>
    <x v="3"/>
    <x v="0"/>
    <x v="0"/>
    <x v="0"/>
    <x v="0"/>
    <x v="61"/>
  </r>
  <r>
    <x v="2"/>
    <x v="6"/>
    <x v="16"/>
    <x v="3"/>
    <x v="11"/>
    <x v="0"/>
    <x v="0"/>
    <x v="129"/>
    <x v="0"/>
    <x v="11"/>
  </r>
  <r>
    <x v="2"/>
    <x v="6"/>
    <x v="17"/>
    <x v="11"/>
    <x v="13"/>
    <x v="0"/>
    <x v="0"/>
    <x v="132"/>
    <x v="0"/>
    <x v="43"/>
  </r>
  <r>
    <x v="2"/>
    <x v="6"/>
    <x v="18"/>
    <x v="13"/>
    <x v="7"/>
    <x v="0"/>
    <x v="0"/>
    <x v="150"/>
    <x v="0"/>
    <x v="68"/>
  </r>
  <r>
    <x v="2"/>
    <x v="6"/>
    <x v="19"/>
    <x v="7"/>
    <x v="11"/>
    <x v="0"/>
    <x v="0"/>
    <x v="130"/>
    <x v="0"/>
    <x v="26"/>
  </r>
  <r>
    <x v="2"/>
    <x v="6"/>
    <x v="20"/>
    <x v="11"/>
    <x v="13"/>
    <x v="0"/>
    <x v="0"/>
    <x v="132"/>
    <x v="0"/>
    <x v="43"/>
  </r>
  <r>
    <x v="2"/>
    <x v="6"/>
    <x v="21"/>
    <x v="13"/>
    <x v="5"/>
    <x v="0"/>
    <x v="0"/>
    <x v="97"/>
    <x v="0"/>
    <x v="66"/>
  </r>
  <r>
    <x v="2"/>
    <x v="6"/>
    <x v="22"/>
    <x v="5"/>
    <x v="13"/>
    <x v="0"/>
    <x v="0"/>
    <x v="142"/>
    <x v="0"/>
    <x v="23"/>
  </r>
  <r>
    <x v="2"/>
    <x v="6"/>
    <x v="23"/>
    <x v="13"/>
    <x v="7"/>
    <x v="0"/>
    <x v="0"/>
    <x v="150"/>
    <x v="0"/>
    <x v="68"/>
  </r>
  <r>
    <x v="2"/>
    <x v="6"/>
    <x v="24"/>
    <x v="7"/>
    <x v="11"/>
    <x v="0"/>
    <x v="0"/>
    <x v="130"/>
    <x v="0"/>
    <x v="26"/>
  </r>
  <r>
    <x v="2"/>
    <x v="6"/>
    <x v="25"/>
    <x v="11"/>
    <x v="13"/>
    <x v="0"/>
    <x v="0"/>
    <x v="132"/>
    <x v="0"/>
    <x v="43"/>
  </r>
  <r>
    <x v="2"/>
    <x v="6"/>
    <x v="26"/>
    <x v="13"/>
    <x v="3"/>
    <x v="0"/>
    <x v="1"/>
    <x v="103"/>
    <x v="0"/>
    <x v="62"/>
  </r>
  <r>
    <x v="2"/>
    <x v="6"/>
    <x v="27"/>
    <x v="3"/>
    <x v="11"/>
    <x v="0"/>
    <x v="1"/>
    <x v="108"/>
    <x v="0"/>
    <x v="12"/>
  </r>
  <r>
    <x v="2"/>
    <x v="6"/>
    <x v="28"/>
    <x v="11"/>
    <x v="13"/>
    <x v="0"/>
    <x v="0"/>
    <x v="132"/>
    <x v="0"/>
    <x v="43"/>
  </r>
  <r>
    <x v="2"/>
    <x v="6"/>
    <x v="29"/>
    <x v="13"/>
    <x v="3"/>
    <x v="0"/>
    <x v="0"/>
    <x v="0"/>
    <x v="0"/>
    <x v="61"/>
  </r>
  <r>
    <x v="2"/>
    <x v="6"/>
    <x v="30"/>
    <x v="3"/>
    <x v="11"/>
    <x v="0"/>
    <x v="0"/>
    <x v="129"/>
    <x v="0"/>
    <x v="11"/>
  </r>
  <r>
    <x v="2"/>
    <x v="6"/>
    <x v="31"/>
    <x v="11"/>
    <x v="13"/>
    <x v="0"/>
    <x v="0"/>
    <x v="132"/>
    <x v="0"/>
    <x v="43"/>
  </r>
  <r>
    <x v="2"/>
    <x v="6"/>
    <x v="32"/>
    <x v="13"/>
    <x v="11"/>
    <x v="0"/>
    <x v="0"/>
    <x v="149"/>
    <x v="0"/>
    <x v="73"/>
  </r>
  <r>
    <x v="2"/>
    <x v="6"/>
    <x v="33"/>
    <x v="11"/>
    <x v="3"/>
    <x v="0"/>
    <x v="2"/>
    <x v="23"/>
    <x v="0"/>
    <x v="39"/>
  </r>
  <r>
    <x v="2"/>
    <x v="6"/>
    <x v="34"/>
    <x v="15"/>
    <x v="15"/>
    <x v="0"/>
    <x v="0"/>
    <x v="76"/>
    <x v="0"/>
    <x v="0"/>
  </r>
  <r>
    <x v="2"/>
    <x v="7"/>
    <x v="0"/>
    <x v="15"/>
    <x v="15"/>
    <x v="1"/>
    <x v="0"/>
    <x v="102"/>
    <x v="0"/>
    <x v="76"/>
  </r>
  <r>
    <x v="2"/>
    <x v="7"/>
    <x v="1"/>
    <x v="5"/>
    <x v="11"/>
    <x v="1"/>
    <x v="0"/>
    <x v="92"/>
    <x v="0"/>
    <x v="86"/>
  </r>
  <r>
    <x v="2"/>
    <x v="7"/>
    <x v="2"/>
    <x v="11"/>
    <x v="13"/>
    <x v="1"/>
    <x v="0"/>
    <x v="166"/>
    <x v="0"/>
    <x v="101"/>
  </r>
  <r>
    <x v="2"/>
    <x v="7"/>
    <x v="3"/>
    <x v="13"/>
    <x v="11"/>
    <x v="1"/>
    <x v="0"/>
    <x v="6"/>
    <x v="0"/>
    <x v="115"/>
  </r>
  <r>
    <x v="2"/>
    <x v="7"/>
    <x v="4"/>
    <x v="11"/>
    <x v="3"/>
    <x v="1"/>
    <x v="0"/>
    <x v="90"/>
    <x v="0"/>
    <x v="95"/>
  </r>
  <r>
    <x v="2"/>
    <x v="7"/>
    <x v="5"/>
    <x v="3"/>
    <x v="13"/>
    <x v="1"/>
    <x v="0"/>
    <x v="15"/>
    <x v="0"/>
    <x v="81"/>
  </r>
  <r>
    <x v="2"/>
    <x v="7"/>
    <x v="6"/>
    <x v="13"/>
    <x v="11"/>
    <x v="1"/>
    <x v="0"/>
    <x v="6"/>
    <x v="0"/>
    <x v="115"/>
  </r>
  <r>
    <x v="2"/>
    <x v="7"/>
    <x v="7"/>
    <x v="11"/>
    <x v="5"/>
    <x v="1"/>
    <x v="0"/>
    <x v="21"/>
    <x v="0"/>
    <x v="98"/>
  </r>
  <r>
    <x v="2"/>
    <x v="7"/>
    <x v="8"/>
    <x v="5"/>
    <x v="13"/>
    <x v="1"/>
    <x v="0"/>
    <x v="116"/>
    <x v="0"/>
    <x v="87"/>
  </r>
  <r>
    <x v="2"/>
    <x v="7"/>
    <x v="9"/>
    <x v="13"/>
    <x v="11"/>
    <x v="1"/>
    <x v="0"/>
    <x v="6"/>
    <x v="0"/>
    <x v="115"/>
  </r>
  <r>
    <x v="2"/>
    <x v="7"/>
    <x v="10"/>
    <x v="11"/>
    <x v="5"/>
    <x v="1"/>
    <x v="0"/>
    <x v="21"/>
    <x v="0"/>
    <x v="98"/>
  </r>
  <r>
    <x v="2"/>
    <x v="7"/>
    <x v="11"/>
    <x v="5"/>
    <x v="13"/>
    <x v="1"/>
    <x v="0"/>
    <x v="116"/>
    <x v="0"/>
    <x v="87"/>
  </r>
  <r>
    <x v="2"/>
    <x v="7"/>
    <x v="12"/>
    <x v="13"/>
    <x v="11"/>
    <x v="1"/>
    <x v="0"/>
    <x v="6"/>
    <x v="0"/>
    <x v="115"/>
  </r>
  <r>
    <x v="2"/>
    <x v="7"/>
    <x v="13"/>
    <x v="11"/>
    <x v="3"/>
    <x v="1"/>
    <x v="1"/>
    <x v="165"/>
    <x v="0"/>
    <x v="96"/>
  </r>
  <r>
    <x v="2"/>
    <x v="7"/>
    <x v="14"/>
    <x v="3"/>
    <x v="13"/>
    <x v="1"/>
    <x v="1"/>
    <x v="147"/>
    <x v="0"/>
    <x v="82"/>
  </r>
  <r>
    <x v="2"/>
    <x v="7"/>
    <x v="15"/>
    <x v="13"/>
    <x v="11"/>
    <x v="1"/>
    <x v="0"/>
    <x v="6"/>
    <x v="0"/>
    <x v="115"/>
  </r>
  <r>
    <x v="2"/>
    <x v="7"/>
    <x v="16"/>
    <x v="11"/>
    <x v="3"/>
    <x v="1"/>
    <x v="0"/>
    <x v="90"/>
    <x v="0"/>
    <x v="95"/>
  </r>
  <r>
    <x v="2"/>
    <x v="7"/>
    <x v="17"/>
    <x v="3"/>
    <x v="13"/>
    <x v="1"/>
    <x v="0"/>
    <x v="15"/>
    <x v="0"/>
    <x v="81"/>
  </r>
  <r>
    <x v="2"/>
    <x v="7"/>
    <x v="18"/>
    <x v="13"/>
    <x v="11"/>
    <x v="1"/>
    <x v="0"/>
    <x v="6"/>
    <x v="0"/>
    <x v="115"/>
  </r>
  <r>
    <x v="2"/>
    <x v="7"/>
    <x v="19"/>
    <x v="11"/>
    <x v="7"/>
    <x v="1"/>
    <x v="0"/>
    <x v="125"/>
    <x v="0"/>
    <x v="100"/>
  </r>
  <r>
    <x v="2"/>
    <x v="7"/>
    <x v="20"/>
    <x v="7"/>
    <x v="13"/>
    <x v="1"/>
    <x v="0"/>
    <x v="13"/>
    <x v="0"/>
    <x v="89"/>
  </r>
  <r>
    <x v="2"/>
    <x v="7"/>
    <x v="21"/>
    <x v="13"/>
    <x v="5"/>
    <x v="1"/>
    <x v="0"/>
    <x v="141"/>
    <x v="0"/>
    <x v="111"/>
  </r>
  <r>
    <x v="2"/>
    <x v="7"/>
    <x v="22"/>
    <x v="5"/>
    <x v="13"/>
    <x v="1"/>
    <x v="0"/>
    <x v="116"/>
    <x v="0"/>
    <x v="87"/>
  </r>
  <r>
    <x v="2"/>
    <x v="7"/>
    <x v="23"/>
    <x v="13"/>
    <x v="11"/>
    <x v="1"/>
    <x v="0"/>
    <x v="6"/>
    <x v="0"/>
    <x v="115"/>
  </r>
  <r>
    <x v="2"/>
    <x v="7"/>
    <x v="24"/>
    <x v="11"/>
    <x v="7"/>
    <x v="1"/>
    <x v="0"/>
    <x v="125"/>
    <x v="0"/>
    <x v="100"/>
  </r>
  <r>
    <x v="2"/>
    <x v="7"/>
    <x v="25"/>
    <x v="7"/>
    <x v="13"/>
    <x v="1"/>
    <x v="0"/>
    <x v="13"/>
    <x v="0"/>
    <x v="89"/>
  </r>
  <r>
    <x v="2"/>
    <x v="7"/>
    <x v="26"/>
    <x v="13"/>
    <x v="11"/>
    <x v="1"/>
    <x v="0"/>
    <x v="6"/>
    <x v="0"/>
    <x v="115"/>
  </r>
  <r>
    <x v="2"/>
    <x v="7"/>
    <x v="27"/>
    <x v="11"/>
    <x v="3"/>
    <x v="1"/>
    <x v="1"/>
    <x v="165"/>
    <x v="0"/>
    <x v="96"/>
  </r>
  <r>
    <x v="2"/>
    <x v="7"/>
    <x v="28"/>
    <x v="3"/>
    <x v="13"/>
    <x v="1"/>
    <x v="1"/>
    <x v="147"/>
    <x v="0"/>
    <x v="82"/>
  </r>
  <r>
    <x v="2"/>
    <x v="7"/>
    <x v="29"/>
    <x v="13"/>
    <x v="11"/>
    <x v="1"/>
    <x v="0"/>
    <x v="6"/>
    <x v="0"/>
    <x v="115"/>
  </r>
  <r>
    <x v="2"/>
    <x v="7"/>
    <x v="30"/>
    <x v="11"/>
    <x v="3"/>
    <x v="1"/>
    <x v="0"/>
    <x v="90"/>
    <x v="0"/>
    <x v="95"/>
  </r>
  <r>
    <x v="2"/>
    <x v="7"/>
    <x v="31"/>
    <x v="3"/>
    <x v="13"/>
    <x v="1"/>
    <x v="0"/>
    <x v="15"/>
    <x v="0"/>
    <x v="81"/>
  </r>
  <r>
    <x v="2"/>
    <x v="7"/>
    <x v="32"/>
    <x v="13"/>
    <x v="11"/>
    <x v="1"/>
    <x v="0"/>
    <x v="6"/>
    <x v="0"/>
    <x v="115"/>
  </r>
  <r>
    <x v="2"/>
    <x v="7"/>
    <x v="33"/>
    <x v="11"/>
    <x v="3"/>
    <x v="1"/>
    <x v="2"/>
    <x v="114"/>
    <x v="0"/>
    <x v="97"/>
  </r>
  <r>
    <x v="2"/>
    <x v="7"/>
    <x v="34"/>
    <x v="15"/>
    <x v="15"/>
    <x v="1"/>
    <x v="0"/>
    <x v="102"/>
    <x v="0"/>
    <x v="76"/>
  </r>
  <r>
    <x v="2"/>
    <x v="9"/>
    <x v="0"/>
    <x v="15"/>
    <x v="15"/>
    <x v="3"/>
    <x v="0"/>
    <x v="59"/>
    <x v="0"/>
    <x v="130"/>
  </r>
  <r>
    <x v="2"/>
    <x v="9"/>
    <x v="1"/>
    <x v="5"/>
    <x v="11"/>
    <x v="3"/>
    <x v="0"/>
    <x v="78"/>
    <x v="0"/>
    <x v="135"/>
  </r>
  <r>
    <x v="2"/>
    <x v="9"/>
    <x v="2"/>
    <x v="11"/>
    <x v="13"/>
    <x v="3"/>
    <x v="0"/>
    <x v="124"/>
    <x v="0"/>
    <x v="148"/>
  </r>
  <r>
    <x v="2"/>
    <x v="9"/>
    <x v="3"/>
    <x v="13"/>
    <x v="11"/>
    <x v="3"/>
    <x v="0"/>
    <x v="17"/>
    <x v="0"/>
    <x v="154"/>
  </r>
  <r>
    <x v="2"/>
    <x v="9"/>
    <x v="4"/>
    <x v="11"/>
    <x v="3"/>
    <x v="3"/>
    <x v="0"/>
    <x v="127"/>
    <x v="0"/>
    <x v="143"/>
  </r>
  <r>
    <x v="2"/>
    <x v="9"/>
    <x v="5"/>
    <x v="3"/>
    <x v="13"/>
    <x v="3"/>
    <x v="0"/>
    <x v="64"/>
    <x v="0"/>
    <x v="133"/>
  </r>
  <r>
    <x v="2"/>
    <x v="9"/>
    <x v="6"/>
    <x v="13"/>
    <x v="11"/>
    <x v="3"/>
    <x v="0"/>
    <x v="17"/>
    <x v="0"/>
    <x v="154"/>
  </r>
  <r>
    <x v="2"/>
    <x v="9"/>
    <x v="7"/>
    <x v="11"/>
    <x v="5"/>
    <x v="3"/>
    <x v="0"/>
    <x v="118"/>
    <x v="0"/>
    <x v="145"/>
  </r>
  <r>
    <x v="2"/>
    <x v="9"/>
    <x v="8"/>
    <x v="5"/>
    <x v="13"/>
    <x v="3"/>
    <x v="0"/>
    <x v="72"/>
    <x v="0"/>
    <x v="136"/>
  </r>
  <r>
    <x v="2"/>
    <x v="9"/>
    <x v="9"/>
    <x v="13"/>
    <x v="11"/>
    <x v="3"/>
    <x v="0"/>
    <x v="17"/>
    <x v="0"/>
    <x v="154"/>
  </r>
  <r>
    <x v="2"/>
    <x v="9"/>
    <x v="10"/>
    <x v="11"/>
    <x v="5"/>
    <x v="3"/>
    <x v="0"/>
    <x v="118"/>
    <x v="0"/>
    <x v="145"/>
  </r>
  <r>
    <x v="2"/>
    <x v="9"/>
    <x v="11"/>
    <x v="5"/>
    <x v="13"/>
    <x v="3"/>
    <x v="0"/>
    <x v="72"/>
    <x v="0"/>
    <x v="136"/>
  </r>
  <r>
    <x v="2"/>
    <x v="9"/>
    <x v="12"/>
    <x v="13"/>
    <x v="11"/>
    <x v="3"/>
    <x v="1"/>
    <x v="160"/>
    <x v="0"/>
    <x v="155"/>
  </r>
  <r>
    <x v="2"/>
    <x v="9"/>
    <x v="13"/>
    <x v="11"/>
    <x v="1"/>
    <x v="3"/>
    <x v="0"/>
    <x v="41"/>
    <x v="0"/>
    <x v="142"/>
  </r>
  <r>
    <x v="2"/>
    <x v="9"/>
    <x v="14"/>
    <x v="1"/>
    <x v="13"/>
    <x v="3"/>
    <x v="0"/>
    <x v="25"/>
    <x v="0"/>
    <x v="131"/>
  </r>
  <r>
    <x v="2"/>
    <x v="9"/>
    <x v="15"/>
    <x v="13"/>
    <x v="11"/>
    <x v="3"/>
    <x v="0"/>
    <x v="17"/>
    <x v="0"/>
    <x v="154"/>
  </r>
  <r>
    <x v="2"/>
    <x v="9"/>
    <x v="16"/>
    <x v="11"/>
    <x v="3"/>
    <x v="3"/>
    <x v="0"/>
    <x v="127"/>
    <x v="0"/>
    <x v="143"/>
  </r>
  <r>
    <x v="2"/>
    <x v="9"/>
    <x v="17"/>
    <x v="3"/>
    <x v="13"/>
    <x v="3"/>
    <x v="1"/>
    <x v="168"/>
    <x v="0"/>
    <x v="134"/>
  </r>
  <r>
    <x v="2"/>
    <x v="9"/>
    <x v="18"/>
    <x v="13"/>
    <x v="11"/>
    <x v="3"/>
    <x v="0"/>
    <x v="17"/>
    <x v="0"/>
    <x v="154"/>
  </r>
  <r>
    <x v="2"/>
    <x v="9"/>
    <x v="19"/>
    <x v="11"/>
    <x v="7"/>
    <x v="3"/>
    <x v="0"/>
    <x v="96"/>
    <x v="0"/>
    <x v="147"/>
  </r>
  <r>
    <x v="2"/>
    <x v="9"/>
    <x v="20"/>
    <x v="7"/>
    <x v="13"/>
    <x v="3"/>
    <x v="0"/>
    <x v="27"/>
    <x v="0"/>
    <x v="138"/>
  </r>
  <r>
    <x v="2"/>
    <x v="9"/>
    <x v="21"/>
    <x v="13"/>
    <x v="5"/>
    <x v="3"/>
    <x v="0"/>
    <x v="74"/>
    <x v="0"/>
    <x v="152"/>
  </r>
  <r>
    <x v="2"/>
    <x v="9"/>
    <x v="22"/>
    <x v="5"/>
    <x v="13"/>
    <x v="3"/>
    <x v="0"/>
    <x v="72"/>
    <x v="0"/>
    <x v="136"/>
  </r>
  <r>
    <x v="2"/>
    <x v="9"/>
    <x v="23"/>
    <x v="13"/>
    <x v="11"/>
    <x v="3"/>
    <x v="0"/>
    <x v="17"/>
    <x v="0"/>
    <x v="154"/>
  </r>
  <r>
    <x v="2"/>
    <x v="9"/>
    <x v="24"/>
    <x v="11"/>
    <x v="7"/>
    <x v="3"/>
    <x v="0"/>
    <x v="96"/>
    <x v="0"/>
    <x v="147"/>
  </r>
  <r>
    <x v="2"/>
    <x v="9"/>
    <x v="25"/>
    <x v="7"/>
    <x v="13"/>
    <x v="3"/>
    <x v="0"/>
    <x v="27"/>
    <x v="0"/>
    <x v="138"/>
  </r>
  <r>
    <x v="2"/>
    <x v="9"/>
    <x v="26"/>
    <x v="13"/>
    <x v="11"/>
    <x v="3"/>
    <x v="1"/>
    <x v="160"/>
    <x v="0"/>
    <x v="155"/>
  </r>
  <r>
    <x v="2"/>
    <x v="9"/>
    <x v="27"/>
    <x v="11"/>
    <x v="1"/>
    <x v="3"/>
    <x v="0"/>
    <x v="41"/>
    <x v="0"/>
    <x v="142"/>
  </r>
  <r>
    <x v="2"/>
    <x v="9"/>
    <x v="28"/>
    <x v="1"/>
    <x v="13"/>
    <x v="3"/>
    <x v="0"/>
    <x v="25"/>
    <x v="0"/>
    <x v="131"/>
  </r>
  <r>
    <x v="2"/>
    <x v="9"/>
    <x v="29"/>
    <x v="13"/>
    <x v="11"/>
    <x v="3"/>
    <x v="0"/>
    <x v="17"/>
    <x v="0"/>
    <x v="154"/>
  </r>
  <r>
    <x v="2"/>
    <x v="9"/>
    <x v="30"/>
    <x v="11"/>
    <x v="3"/>
    <x v="3"/>
    <x v="0"/>
    <x v="127"/>
    <x v="0"/>
    <x v="143"/>
  </r>
  <r>
    <x v="2"/>
    <x v="9"/>
    <x v="31"/>
    <x v="3"/>
    <x v="13"/>
    <x v="3"/>
    <x v="0"/>
    <x v="64"/>
    <x v="0"/>
    <x v="133"/>
  </r>
  <r>
    <x v="2"/>
    <x v="9"/>
    <x v="32"/>
    <x v="13"/>
    <x v="11"/>
    <x v="3"/>
    <x v="0"/>
    <x v="17"/>
    <x v="0"/>
    <x v="154"/>
  </r>
  <r>
    <x v="2"/>
    <x v="9"/>
    <x v="33"/>
    <x v="11"/>
    <x v="3"/>
    <x v="3"/>
    <x v="1"/>
    <x v="83"/>
    <x v="0"/>
    <x v="144"/>
  </r>
  <r>
    <x v="2"/>
    <x v="9"/>
    <x v="34"/>
    <x v="15"/>
    <x v="15"/>
    <x v="3"/>
    <x v="0"/>
    <x v="59"/>
    <x v="0"/>
    <x v="130"/>
  </r>
  <r>
    <x v="3"/>
    <x v="0"/>
    <x v="0"/>
    <x v="15"/>
    <x v="15"/>
    <x v="0"/>
    <x v="0"/>
    <x v="76"/>
    <x v="0"/>
    <x v="0"/>
  </r>
  <r>
    <x v="3"/>
    <x v="0"/>
    <x v="1"/>
    <x v="4"/>
    <x v="10"/>
    <x v="0"/>
    <x v="0"/>
    <x v="95"/>
    <x v="0"/>
    <x v="17"/>
  </r>
  <r>
    <x v="3"/>
    <x v="0"/>
    <x v="2"/>
    <x v="10"/>
    <x v="13"/>
    <x v="0"/>
    <x v="0"/>
    <x v="100"/>
    <x v="0"/>
    <x v="49"/>
  </r>
  <r>
    <x v="3"/>
    <x v="0"/>
    <x v="3"/>
    <x v="13"/>
    <x v="4"/>
    <x v="0"/>
    <x v="2"/>
    <x v="131"/>
    <x v="0"/>
    <x v="65"/>
  </r>
  <r>
    <x v="3"/>
    <x v="0"/>
    <x v="4"/>
    <x v="4"/>
    <x v="10"/>
    <x v="0"/>
    <x v="1"/>
    <x v="128"/>
    <x v="0"/>
    <x v="18"/>
  </r>
  <r>
    <x v="3"/>
    <x v="0"/>
    <x v="5"/>
    <x v="10"/>
    <x v="13"/>
    <x v="0"/>
    <x v="0"/>
    <x v="100"/>
    <x v="0"/>
    <x v="49"/>
  </r>
  <r>
    <x v="3"/>
    <x v="0"/>
    <x v="6"/>
    <x v="13"/>
    <x v="4"/>
    <x v="0"/>
    <x v="2"/>
    <x v="131"/>
    <x v="0"/>
    <x v="65"/>
  </r>
  <r>
    <x v="3"/>
    <x v="0"/>
    <x v="7"/>
    <x v="4"/>
    <x v="10"/>
    <x v="0"/>
    <x v="1"/>
    <x v="128"/>
    <x v="0"/>
    <x v="18"/>
  </r>
  <r>
    <x v="3"/>
    <x v="0"/>
    <x v="8"/>
    <x v="10"/>
    <x v="13"/>
    <x v="0"/>
    <x v="0"/>
    <x v="100"/>
    <x v="0"/>
    <x v="49"/>
  </r>
  <r>
    <x v="3"/>
    <x v="0"/>
    <x v="9"/>
    <x v="13"/>
    <x v="4"/>
    <x v="0"/>
    <x v="2"/>
    <x v="131"/>
    <x v="0"/>
    <x v="65"/>
  </r>
  <r>
    <x v="3"/>
    <x v="0"/>
    <x v="10"/>
    <x v="4"/>
    <x v="10"/>
    <x v="0"/>
    <x v="1"/>
    <x v="128"/>
    <x v="0"/>
    <x v="18"/>
  </r>
  <r>
    <x v="3"/>
    <x v="0"/>
    <x v="11"/>
    <x v="10"/>
    <x v="13"/>
    <x v="0"/>
    <x v="0"/>
    <x v="100"/>
    <x v="0"/>
    <x v="49"/>
  </r>
  <r>
    <x v="3"/>
    <x v="0"/>
    <x v="12"/>
    <x v="13"/>
    <x v="4"/>
    <x v="0"/>
    <x v="2"/>
    <x v="131"/>
    <x v="0"/>
    <x v="65"/>
  </r>
  <r>
    <x v="3"/>
    <x v="0"/>
    <x v="13"/>
    <x v="4"/>
    <x v="10"/>
    <x v="0"/>
    <x v="1"/>
    <x v="128"/>
    <x v="0"/>
    <x v="18"/>
  </r>
  <r>
    <x v="3"/>
    <x v="0"/>
    <x v="14"/>
    <x v="10"/>
    <x v="13"/>
    <x v="0"/>
    <x v="0"/>
    <x v="100"/>
    <x v="0"/>
    <x v="49"/>
  </r>
  <r>
    <x v="3"/>
    <x v="0"/>
    <x v="15"/>
    <x v="13"/>
    <x v="4"/>
    <x v="0"/>
    <x v="2"/>
    <x v="131"/>
    <x v="0"/>
    <x v="65"/>
  </r>
  <r>
    <x v="3"/>
    <x v="0"/>
    <x v="16"/>
    <x v="4"/>
    <x v="10"/>
    <x v="0"/>
    <x v="1"/>
    <x v="128"/>
    <x v="0"/>
    <x v="18"/>
  </r>
  <r>
    <x v="3"/>
    <x v="0"/>
    <x v="17"/>
    <x v="10"/>
    <x v="13"/>
    <x v="0"/>
    <x v="0"/>
    <x v="100"/>
    <x v="0"/>
    <x v="49"/>
  </r>
  <r>
    <x v="3"/>
    <x v="0"/>
    <x v="18"/>
    <x v="13"/>
    <x v="2"/>
    <x v="0"/>
    <x v="3"/>
    <x v="94"/>
    <x v="0"/>
    <x v="60"/>
  </r>
  <r>
    <x v="3"/>
    <x v="0"/>
    <x v="19"/>
    <x v="2"/>
    <x v="10"/>
    <x v="0"/>
    <x v="0"/>
    <x v="45"/>
    <x v="0"/>
    <x v="7"/>
  </r>
  <r>
    <x v="3"/>
    <x v="0"/>
    <x v="20"/>
    <x v="10"/>
    <x v="13"/>
    <x v="0"/>
    <x v="0"/>
    <x v="100"/>
    <x v="0"/>
    <x v="49"/>
  </r>
  <r>
    <x v="3"/>
    <x v="0"/>
    <x v="21"/>
    <x v="13"/>
    <x v="4"/>
    <x v="0"/>
    <x v="2"/>
    <x v="131"/>
    <x v="0"/>
    <x v="65"/>
  </r>
  <r>
    <x v="3"/>
    <x v="0"/>
    <x v="22"/>
    <x v="4"/>
    <x v="10"/>
    <x v="0"/>
    <x v="1"/>
    <x v="128"/>
    <x v="0"/>
    <x v="18"/>
  </r>
  <r>
    <x v="3"/>
    <x v="0"/>
    <x v="23"/>
    <x v="10"/>
    <x v="13"/>
    <x v="0"/>
    <x v="0"/>
    <x v="100"/>
    <x v="0"/>
    <x v="49"/>
  </r>
  <r>
    <x v="3"/>
    <x v="0"/>
    <x v="24"/>
    <x v="13"/>
    <x v="4"/>
    <x v="0"/>
    <x v="2"/>
    <x v="131"/>
    <x v="0"/>
    <x v="65"/>
  </r>
  <r>
    <x v="3"/>
    <x v="0"/>
    <x v="25"/>
    <x v="4"/>
    <x v="10"/>
    <x v="0"/>
    <x v="1"/>
    <x v="128"/>
    <x v="0"/>
    <x v="18"/>
  </r>
  <r>
    <x v="3"/>
    <x v="0"/>
    <x v="26"/>
    <x v="10"/>
    <x v="13"/>
    <x v="0"/>
    <x v="0"/>
    <x v="100"/>
    <x v="0"/>
    <x v="49"/>
  </r>
  <r>
    <x v="3"/>
    <x v="0"/>
    <x v="27"/>
    <x v="13"/>
    <x v="4"/>
    <x v="0"/>
    <x v="2"/>
    <x v="131"/>
    <x v="0"/>
    <x v="65"/>
  </r>
  <r>
    <x v="3"/>
    <x v="0"/>
    <x v="28"/>
    <x v="4"/>
    <x v="10"/>
    <x v="0"/>
    <x v="1"/>
    <x v="128"/>
    <x v="0"/>
    <x v="18"/>
  </r>
  <r>
    <x v="3"/>
    <x v="0"/>
    <x v="29"/>
    <x v="10"/>
    <x v="13"/>
    <x v="0"/>
    <x v="0"/>
    <x v="100"/>
    <x v="0"/>
    <x v="49"/>
  </r>
  <r>
    <x v="3"/>
    <x v="0"/>
    <x v="30"/>
    <x v="13"/>
    <x v="2"/>
    <x v="0"/>
    <x v="3"/>
    <x v="94"/>
    <x v="0"/>
    <x v="60"/>
  </r>
  <r>
    <x v="3"/>
    <x v="0"/>
    <x v="31"/>
    <x v="2"/>
    <x v="10"/>
    <x v="0"/>
    <x v="0"/>
    <x v="45"/>
    <x v="0"/>
    <x v="7"/>
  </r>
  <r>
    <x v="3"/>
    <x v="0"/>
    <x v="32"/>
    <x v="10"/>
    <x v="13"/>
    <x v="0"/>
    <x v="0"/>
    <x v="100"/>
    <x v="0"/>
    <x v="49"/>
  </r>
  <r>
    <x v="3"/>
    <x v="0"/>
    <x v="33"/>
    <x v="13"/>
    <x v="10"/>
    <x v="0"/>
    <x v="0"/>
    <x v="170"/>
    <x v="0"/>
    <x v="72"/>
  </r>
  <r>
    <x v="3"/>
    <x v="0"/>
    <x v="34"/>
    <x v="10"/>
    <x v="4"/>
    <x v="0"/>
    <x v="1"/>
    <x v="86"/>
    <x v="0"/>
    <x v="47"/>
  </r>
  <r>
    <x v="3"/>
    <x v="0"/>
    <x v="35"/>
    <x v="15"/>
    <x v="15"/>
    <x v="0"/>
    <x v="0"/>
    <x v="76"/>
    <x v="0"/>
    <x v="0"/>
  </r>
  <r>
    <x v="3"/>
    <x v="1"/>
    <x v="0"/>
    <x v="15"/>
    <x v="15"/>
    <x v="0"/>
    <x v="0"/>
    <x v="76"/>
    <x v="0"/>
    <x v="0"/>
  </r>
  <r>
    <x v="3"/>
    <x v="1"/>
    <x v="1"/>
    <x v="4"/>
    <x v="10"/>
    <x v="0"/>
    <x v="0"/>
    <x v="95"/>
    <x v="0"/>
    <x v="17"/>
  </r>
  <r>
    <x v="3"/>
    <x v="1"/>
    <x v="2"/>
    <x v="10"/>
    <x v="13"/>
    <x v="0"/>
    <x v="0"/>
    <x v="100"/>
    <x v="0"/>
    <x v="49"/>
  </r>
  <r>
    <x v="3"/>
    <x v="1"/>
    <x v="3"/>
    <x v="13"/>
    <x v="10"/>
    <x v="0"/>
    <x v="0"/>
    <x v="170"/>
    <x v="0"/>
    <x v="72"/>
  </r>
  <r>
    <x v="3"/>
    <x v="1"/>
    <x v="4"/>
    <x v="10"/>
    <x v="4"/>
    <x v="0"/>
    <x v="0"/>
    <x v="68"/>
    <x v="0"/>
    <x v="46"/>
  </r>
  <r>
    <x v="3"/>
    <x v="1"/>
    <x v="5"/>
    <x v="4"/>
    <x v="13"/>
    <x v="0"/>
    <x v="1"/>
    <x v="105"/>
    <x v="0"/>
    <x v="20"/>
  </r>
  <r>
    <x v="3"/>
    <x v="1"/>
    <x v="6"/>
    <x v="13"/>
    <x v="10"/>
    <x v="0"/>
    <x v="0"/>
    <x v="170"/>
    <x v="0"/>
    <x v="72"/>
  </r>
  <r>
    <x v="3"/>
    <x v="1"/>
    <x v="7"/>
    <x v="10"/>
    <x v="4"/>
    <x v="0"/>
    <x v="0"/>
    <x v="68"/>
    <x v="0"/>
    <x v="46"/>
  </r>
  <r>
    <x v="3"/>
    <x v="1"/>
    <x v="8"/>
    <x v="4"/>
    <x v="13"/>
    <x v="0"/>
    <x v="1"/>
    <x v="105"/>
    <x v="0"/>
    <x v="20"/>
  </r>
  <r>
    <x v="3"/>
    <x v="1"/>
    <x v="9"/>
    <x v="13"/>
    <x v="10"/>
    <x v="0"/>
    <x v="0"/>
    <x v="170"/>
    <x v="0"/>
    <x v="72"/>
  </r>
  <r>
    <x v="3"/>
    <x v="1"/>
    <x v="10"/>
    <x v="10"/>
    <x v="4"/>
    <x v="0"/>
    <x v="0"/>
    <x v="68"/>
    <x v="0"/>
    <x v="46"/>
  </r>
  <r>
    <x v="3"/>
    <x v="1"/>
    <x v="11"/>
    <x v="4"/>
    <x v="13"/>
    <x v="0"/>
    <x v="1"/>
    <x v="105"/>
    <x v="0"/>
    <x v="20"/>
  </r>
  <r>
    <x v="3"/>
    <x v="1"/>
    <x v="12"/>
    <x v="13"/>
    <x v="10"/>
    <x v="0"/>
    <x v="0"/>
    <x v="170"/>
    <x v="0"/>
    <x v="72"/>
  </r>
  <r>
    <x v="3"/>
    <x v="1"/>
    <x v="13"/>
    <x v="10"/>
    <x v="4"/>
    <x v="0"/>
    <x v="0"/>
    <x v="68"/>
    <x v="0"/>
    <x v="46"/>
  </r>
  <r>
    <x v="3"/>
    <x v="1"/>
    <x v="14"/>
    <x v="4"/>
    <x v="13"/>
    <x v="0"/>
    <x v="1"/>
    <x v="105"/>
    <x v="0"/>
    <x v="20"/>
  </r>
  <r>
    <x v="3"/>
    <x v="1"/>
    <x v="15"/>
    <x v="13"/>
    <x v="10"/>
    <x v="0"/>
    <x v="0"/>
    <x v="170"/>
    <x v="0"/>
    <x v="72"/>
  </r>
  <r>
    <x v="3"/>
    <x v="1"/>
    <x v="16"/>
    <x v="10"/>
    <x v="4"/>
    <x v="0"/>
    <x v="0"/>
    <x v="68"/>
    <x v="0"/>
    <x v="46"/>
  </r>
  <r>
    <x v="3"/>
    <x v="1"/>
    <x v="17"/>
    <x v="4"/>
    <x v="13"/>
    <x v="0"/>
    <x v="1"/>
    <x v="105"/>
    <x v="0"/>
    <x v="20"/>
  </r>
  <r>
    <x v="3"/>
    <x v="1"/>
    <x v="18"/>
    <x v="13"/>
    <x v="10"/>
    <x v="0"/>
    <x v="0"/>
    <x v="170"/>
    <x v="0"/>
    <x v="72"/>
  </r>
  <r>
    <x v="3"/>
    <x v="1"/>
    <x v="19"/>
    <x v="10"/>
    <x v="2"/>
    <x v="0"/>
    <x v="1"/>
    <x v="50"/>
    <x v="0"/>
    <x v="45"/>
  </r>
  <r>
    <x v="3"/>
    <x v="1"/>
    <x v="20"/>
    <x v="2"/>
    <x v="13"/>
    <x v="0"/>
    <x v="1"/>
    <x v="24"/>
    <x v="0"/>
    <x v="10"/>
  </r>
  <r>
    <x v="3"/>
    <x v="1"/>
    <x v="21"/>
    <x v="13"/>
    <x v="10"/>
    <x v="0"/>
    <x v="0"/>
    <x v="170"/>
    <x v="0"/>
    <x v="72"/>
  </r>
  <r>
    <x v="3"/>
    <x v="1"/>
    <x v="22"/>
    <x v="10"/>
    <x v="4"/>
    <x v="0"/>
    <x v="0"/>
    <x v="68"/>
    <x v="0"/>
    <x v="46"/>
  </r>
  <r>
    <x v="3"/>
    <x v="1"/>
    <x v="23"/>
    <x v="4"/>
    <x v="13"/>
    <x v="0"/>
    <x v="1"/>
    <x v="105"/>
    <x v="0"/>
    <x v="20"/>
  </r>
  <r>
    <x v="3"/>
    <x v="1"/>
    <x v="24"/>
    <x v="13"/>
    <x v="10"/>
    <x v="0"/>
    <x v="0"/>
    <x v="170"/>
    <x v="0"/>
    <x v="72"/>
  </r>
  <r>
    <x v="3"/>
    <x v="1"/>
    <x v="25"/>
    <x v="10"/>
    <x v="4"/>
    <x v="0"/>
    <x v="0"/>
    <x v="68"/>
    <x v="0"/>
    <x v="46"/>
  </r>
  <r>
    <x v="3"/>
    <x v="1"/>
    <x v="26"/>
    <x v="4"/>
    <x v="13"/>
    <x v="0"/>
    <x v="1"/>
    <x v="105"/>
    <x v="0"/>
    <x v="20"/>
  </r>
  <r>
    <x v="3"/>
    <x v="1"/>
    <x v="27"/>
    <x v="13"/>
    <x v="10"/>
    <x v="0"/>
    <x v="0"/>
    <x v="170"/>
    <x v="0"/>
    <x v="72"/>
  </r>
  <r>
    <x v="3"/>
    <x v="1"/>
    <x v="28"/>
    <x v="10"/>
    <x v="4"/>
    <x v="0"/>
    <x v="0"/>
    <x v="68"/>
    <x v="0"/>
    <x v="46"/>
  </r>
  <r>
    <x v="3"/>
    <x v="1"/>
    <x v="29"/>
    <x v="4"/>
    <x v="13"/>
    <x v="0"/>
    <x v="1"/>
    <x v="105"/>
    <x v="0"/>
    <x v="20"/>
  </r>
  <r>
    <x v="3"/>
    <x v="1"/>
    <x v="30"/>
    <x v="13"/>
    <x v="10"/>
    <x v="0"/>
    <x v="0"/>
    <x v="170"/>
    <x v="0"/>
    <x v="72"/>
  </r>
  <r>
    <x v="3"/>
    <x v="1"/>
    <x v="31"/>
    <x v="10"/>
    <x v="2"/>
    <x v="0"/>
    <x v="1"/>
    <x v="50"/>
    <x v="0"/>
    <x v="45"/>
  </r>
  <r>
    <x v="3"/>
    <x v="1"/>
    <x v="32"/>
    <x v="2"/>
    <x v="13"/>
    <x v="0"/>
    <x v="1"/>
    <x v="24"/>
    <x v="0"/>
    <x v="10"/>
  </r>
  <r>
    <x v="3"/>
    <x v="1"/>
    <x v="33"/>
    <x v="13"/>
    <x v="10"/>
    <x v="0"/>
    <x v="0"/>
    <x v="170"/>
    <x v="0"/>
    <x v="72"/>
  </r>
  <r>
    <x v="3"/>
    <x v="1"/>
    <x v="34"/>
    <x v="10"/>
    <x v="4"/>
    <x v="0"/>
    <x v="1"/>
    <x v="86"/>
    <x v="0"/>
    <x v="47"/>
  </r>
  <r>
    <x v="3"/>
    <x v="1"/>
    <x v="35"/>
    <x v="15"/>
    <x v="15"/>
    <x v="0"/>
    <x v="0"/>
    <x v="76"/>
    <x v="0"/>
    <x v="0"/>
  </r>
  <r>
    <x v="3"/>
    <x v="3"/>
    <x v="0"/>
    <x v="15"/>
    <x v="15"/>
    <x v="1"/>
    <x v="0"/>
    <x v="102"/>
    <x v="0"/>
    <x v="76"/>
  </r>
  <r>
    <x v="3"/>
    <x v="3"/>
    <x v="1"/>
    <x v="4"/>
    <x v="10"/>
    <x v="1"/>
    <x v="0"/>
    <x v="52"/>
    <x v="0"/>
    <x v="83"/>
  </r>
  <r>
    <x v="3"/>
    <x v="3"/>
    <x v="2"/>
    <x v="10"/>
    <x v="13"/>
    <x v="1"/>
    <x v="0"/>
    <x v="28"/>
    <x v="0"/>
    <x v="107"/>
  </r>
  <r>
    <x v="3"/>
    <x v="3"/>
    <x v="3"/>
    <x v="13"/>
    <x v="10"/>
    <x v="1"/>
    <x v="0"/>
    <x v="80"/>
    <x v="0"/>
    <x v="114"/>
  </r>
  <r>
    <x v="3"/>
    <x v="3"/>
    <x v="4"/>
    <x v="10"/>
    <x v="4"/>
    <x v="1"/>
    <x v="0"/>
    <x v="155"/>
    <x v="0"/>
    <x v="104"/>
  </r>
  <r>
    <x v="3"/>
    <x v="3"/>
    <x v="5"/>
    <x v="4"/>
    <x v="13"/>
    <x v="1"/>
    <x v="1"/>
    <x v="135"/>
    <x v="0"/>
    <x v="85"/>
  </r>
  <r>
    <x v="3"/>
    <x v="3"/>
    <x v="6"/>
    <x v="13"/>
    <x v="10"/>
    <x v="1"/>
    <x v="0"/>
    <x v="80"/>
    <x v="0"/>
    <x v="114"/>
  </r>
  <r>
    <x v="3"/>
    <x v="3"/>
    <x v="7"/>
    <x v="10"/>
    <x v="4"/>
    <x v="1"/>
    <x v="0"/>
    <x v="155"/>
    <x v="0"/>
    <x v="104"/>
  </r>
  <r>
    <x v="3"/>
    <x v="3"/>
    <x v="8"/>
    <x v="4"/>
    <x v="13"/>
    <x v="1"/>
    <x v="1"/>
    <x v="135"/>
    <x v="0"/>
    <x v="85"/>
  </r>
  <r>
    <x v="3"/>
    <x v="3"/>
    <x v="9"/>
    <x v="13"/>
    <x v="10"/>
    <x v="1"/>
    <x v="0"/>
    <x v="80"/>
    <x v="0"/>
    <x v="114"/>
  </r>
  <r>
    <x v="3"/>
    <x v="3"/>
    <x v="10"/>
    <x v="10"/>
    <x v="4"/>
    <x v="1"/>
    <x v="0"/>
    <x v="155"/>
    <x v="0"/>
    <x v="104"/>
  </r>
  <r>
    <x v="3"/>
    <x v="3"/>
    <x v="11"/>
    <x v="4"/>
    <x v="13"/>
    <x v="1"/>
    <x v="1"/>
    <x v="135"/>
    <x v="0"/>
    <x v="85"/>
  </r>
  <r>
    <x v="3"/>
    <x v="3"/>
    <x v="12"/>
    <x v="13"/>
    <x v="10"/>
    <x v="1"/>
    <x v="0"/>
    <x v="80"/>
    <x v="0"/>
    <x v="114"/>
  </r>
  <r>
    <x v="3"/>
    <x v="3"/>
    <x v="13"/>
    <x v="10"/>
    <x v="4"/>
    <x v="1"/>
    <x v="0"/>
    <x v="155"/>
    <x v="0"/>
    <x v="104"/>
  </r>
  <r>
    <x v="3"/>
    <x v="3"/>
    <x v="14"/>
    <x v="4"/>
    <x v="13"/>
    <x v="1"/>
    <x v="1"/>
    <x v="135"/>
    <x v="0"/>
    <x v="85"/>
  </r>
  <r>
    <x v="3"/>
    <x v="3"/>
    <x v="15"/>
    <x v="13"/>
    <x v="10"/>
    <x v="1"/>
    <x v="0"/>
    <x v="80"/>
    <x v="0"/>
    <x v="114"/>
  </r>
  <r>
    <x v="3"/>
    <x v="3"/>
    <x v="16"/>
    <x v="10"/>
    <x v="4"/>
    <x v="1"/>
    <x v="0"/>
    <x v="155"/>
    <x v="0"/>
    <x v="104"/>
  </r>
  <r>
    <x v="3"/>
    <x v="3"/>
    <x v="17"/>
    <x v="4"/>
    <x v="13"/>
    <x v="1"/>
    <x v="1"/>
    <x v="135"/>
    <x v="0"/>
    <x v="85"/>
  </r>
  <r>
    <x v="3"/>
    <x v="3"/>
    <x v="18"/>
    <x v="13"/>
    <x v="10"/>
    <x v="1"/>
    <x v="0"/>
    <x v="80"/>
    <x v="0"/>
    <x v="114"/>
  </r>
  <r>
    <x v="3"/>
    <x v="3"/>
    <x v="19"/>
    <x v="10"/>
    <x v="2"/>
    <x v="1"/>
    <x v="0"/>
    <x v="99"/>
    <x v="0"/>
    <x v="102"/>
  </r>
  <r>
    <x v="3"/>
    <x v="3"/>
    <x v="20"/>
    <x v="2"/>
    <x v="13"/>
    <x v="1"/>
    <x v="1"/>
    <x v="65"/>
    <x v="0"/>
    <x v="80"/>
  </r>
  <r>
    <x v="3"/>
    <x v="3"/>
    <x v="21"/>
    <x v="13"/>
    <x v="10"/>
    <x v="1"/>
    <x v="0"/>
    <x v="80"/>
    <x v="0"/>
    <x v="114"/>
  </r>
  <r>
    <x v="3"/>
    <x v="3"/>
    <x v="22"/>
    <x v="10"/>
    <x v="4"/>
    <x v="1"/>
    <x v="0"/>
    <x v="155"/>
    <x v="0"/>
    <x v="104"/>
  </r>
  <r>
    <x v="3"/>
    <x v="3"/>
    <x v="23"/>
    <x v="4"/>
    <x v="13"/>
    <x v="1"/>
    <x v="1"/>
    <x v="135"/>
    <x v="0"/>
    <x v="85"/>
  </r>
  <r>
    <x v="3"/>
    <x v="3"/>
    <x v="24"/>
    <x v="13"/>
    <x v="10"/>
    <x v="1"/>
    <x v="0"/>
    <x v="80"/>
    <x v="0"/>
    <x v="114"/>
  </r>
  <r>
    <x v="3"/>
    <x v="3"/>
    <x v="25"/>
    <x v="10"/>
    <x v="4"/>
    <x v="1"/>
    <x v="0"/>
    <x v="155"/>
    <x v="0"/>
    <x v="104"/>
  </r>
  <r>
    <x v="3"/>
    <x v="3"/>
    <x v="26"/>
    <x v="4"/>
    <x v="13"/>
    <x v="1"/>
    <x v="1"/>
    <x v="135"/>
    <x v="0"/>
    <x v="85"/>
  </r>
  <r>
    <x v="3"/>
    <x v="3"/>
    <x v="27"/>
    <x v="13"/>
    <x v="10"/>
    <x v="1"/>
    <x v="0"/>
    <x v="80"/>
    <x v="0"/>
    <x v="114"/>
  </r>
  <r>
    <x v="3"/>
    <x v="3"/>
    <x v="28"/>
    <x v="10"/>
    <x v="4"/>
    <x v="1"/>
    <x v="0"/>
    <x v="155"/>
    <x v="0"/>
    <x v="104"/>
  </r>
  <r>
    <x v="3"/>
    <x v="3"/>
    <x v="29"/>
    <x v="4"/>
    <x v="13"/>
    <x v="1"/>
    <x v="1"/>
    <x v="135"/>
    <x v="0"/>
    <x v="85"/>
  </r>
  <r>
    <x v="3"/>
    <x v="3"/>
    <x v="30"/>
    <x v="13"/>
    <x v="10"/>
    <x v="1"/>
    <x v="0"/>
    <x v="80"/>
    <x v="0"/>
    <x v="114"/>
  </r>
  <r>
    <x v="3"/>
    <x v="3"/>
    <x v="31"/>
    <x v="10"/>
    <x v="2"/>
    <x v="1"/>
    <x v="0"/>
    <x v="99"/>
    <x v="0"/>
    <x v="102"/>
  </r>
  <r>
    <x v="3"/>
    <x v="3"/>
    <x v="32"/>
    <x v="2"/>
    <x v="13"/>
    <x v="1"/>
    <x v="1"/>
    <x v="65"/>
    <x v="0"/>
    <x v="80"/>
  </r>
  <r>
    <x v="3"/>
    <x v="3"/>
    <x v="33"/>
    <x v="13"/>
    <x v="10"/>
    <x v="1"/>
    <x v="0"/>
    <x v="80"/>
    <x v="0"/>
    <x v="114"/>
  </r>
  <r>
    <x v="3"/>
    <x v="3"/>
    <x v="34"/>
    <x v="10"/>
    <x v="4"/>
    <x v="1"/>
    <x v="1"/>
    <x v="85"/>
    <x v="0"/>
    <x v="105"/>
  </r>
  <r>
    <x v="3"/>
    <x v="3"/>
    <x v="35"/>
    <x v="15"/>
    <x v="15"/>
    <x v="1"/>
    <x v="0"/>
    <x v="102"/>
    <x v="0"/>
    <x v="76"/>
  </r>
  <r>
    <x v="3"/>
    <x v="5"/>
    <x v="0"/>
    <x v="15"/>
    <x v="15"/>
    <x v="0"/>
    <x v="0"/>
    <x v="76"/>
    <x v="0"/>
    <x v="0"/>
  </r>
  <r>
    <x v="3"/>
    <x v="5"/>
    <x v="1"/>
    <x v="5"/>
    <x v="11"/>
    <x v="0"/>
    <x v="0"/>
    <x v="62"/>
    <x v="0"/>
    <x v="21"/>
  </r>
  <r>
    <x v="3"/>
    <x v="5"/>
    <x v="2"/>
    <x v="11"/>
    <x v="13"/>
    <x v="0"/>
    <x v="0"/>
    <x v="132"/>
    <x v="0"/>
    <x v="43"/>
  </r>
  <r>
    <x v="3"/>
    <x v="5"/>
    <x v="3"/>
    <x v="13"/>
    <x v="11"/>
    <x v="0"/>
    <x v="0"/>
    <x v="149"/>
    <x v="0"/>
    <x v="73"/>
  </r>
  <r>
    <x v="3"/>
    <x v="5"/>
    <x v="4"/>
    <x v="11"/>
    <x v="5"/>
    <x v="0"/>
    <x v="0"/>
    <x v="134"/>
    <x v="0"/>
    <x v="40"/>
  </r>
  <r>
    <x v="3"/>
    <x v="5"/>
    <x v="5"/>
    <x v="5"/>
    <x v="13"/>
    <x v="0"/>
    <x v="0"/>
    <x v="142"/>
    <x v="0"/>
    <x v="23"/>
  </r>
  <r>
    <x v="3"/>
    <x v="5"/>
    <x v="6"/>
    <x v="13"/>
    <x v="11"/>
    <x v="0"/>
    <x v="0"/>
    <x v="149"/>
    <x v="0"/>
    <x v="73"/>
  </r>
  <r>
    <x v="3"/>
    <x v="5"/>
    <x v="7"/>
    <x v="11"/>
    <x v="5"/>
    <x v="0"/>
    <x v="0"/>
    <x v="134"/>
    <x v="0"/>
    <x v="40"/>
  </r>
  <r>
    <x v="3"/>
    <x v="5"/>
    <x v="8"/>
    <x v="5"/>
    <x v="13"/>
    <x v="0"/>
    <x v="0"/>
    <x v="142"/>
    <x v="0"/>
    <x v="23"/>
  </r>
  <r>
    <x v="3"/>
    <x v="5"/>
    <x v="9"/>
    <x v="13"/>
    <x v="11"/>
    <x v="0"/>
    <x v="0"/>
    <x v="149"/>
    <x v="0"/>
    <x v="73"/>
  </r>
  <r>
    <x v="3"/>
    <x v="5"/>
    <x v="10"/>
    <x v="11"/>
    <x v="5"/>
    <x v="0"/>
    <x v="0"/>
    <x v="134"/>
    <x v="0"/>
    <x v="40"/>
  </r>
  <r>
    <x v="3"/>
    <x v="5"/>
    <x v="11"/>
    <x v="5"/>
    <x v="13"/>
    <x v="0"/>
    <x v="0"/>
    <x v="142"/>
    <x v="0"/>
    <x v="23"/>
  </r>
  <r>
    <x v="3"/>
    <x v="5"/>
    <x v="12"/>
    <x v="13"/>
    <x v="11"/>
    <x v="0"/>
    <x v="0"/>
    <x v="149"/>
    <x v="0"/>
    <x v="73"/>
  </r>
  <r>
    <x v="3"/>
    <x v="5"/>
    <x v="13"/>
    <x v="11"/>
    <x v="5"/>
    <x v="0"/>
    <x v="0"/>
    <x v="134"/>
    <x v="0"/>
    <x v="40"/>
  </r>
  <r>
    <x v="3"/>
    <x v="5"/>
    <x v="14"/>
    <x v="5"/>
    <x v="13"/>
    <x v="0"/>
    <x v="0"/>
    <x v="142"/>
    <x v="0"/>
    <x v="23"/>
  </r>
  <r>
    <x v="3"/>
    <x v="5"/>
    <x v="15"/>
    <x v="13"/>
    <x v="11"/>
    <x v="0"/>
    <x v="0"/>
    <x v="149"/>
    <x v="0"/>
    <x v="73"/>
  </r>
  <r>
    <x v="3"/>
    <x v="5"/>
    <x v="16"/>
    <x v="11"/>
    <x v="5"/>
    <x v="0"/>
    <x v="0"/>
    <x v="134"/>
    <x v="0"/>
    <x v="40"/>
  </r>
  <r>
    <x v="3"/>
    <x v="5"/>
    <x v="17"/>
    <x v="5"/>
    <x v="13"/>
    <x v="0"/>
    <x v="0"/>
    <x v="142"/>
    <x v="0"/>
    <x v="23"/>
  </r>
  <r>
    <x v="3"/>
    <x v="5"/>
    <x v="18"/>
    <x v="13"/>
    <x v="11"/>
    <x v="0"/>
    <x v="0"/>
    <x v="149"/>
    <x v="0"/>
    <x v="73"/>
  </r>
  <r>
    <x v="3"/>
    <x v="5"/>
    <x v="19"/>
    <x v="11"/>
    <x v="3"/>
    <x v="0"/>
    <x v="0"/>
    <x v="35"/>
    <x v="0"/>
    <x v="37"/>
  </r>
  <r>
    <x v="3"/>
    <x v="5"/>
    <x v="20"/>
    <x v="3"/>
    <x v="13"/>
    <x v="0"/>
    <x v="0"/>
    <x v="67"/>
    <x v="0"/>
    <x v="13"/>
  </r>
  <r>
    <x v="3"/>
    <x v="5"/>
    <x v="21"/>
    <x v="13"/>
    <x v="11"/>
    <x v="0"/>
    <x v="0"/>
    <x v="149"/>
    <x v="0"/>
    <x v="73"/>
  </r>
  <r>
    <x v="3"/>
    <x v="5"/>
    <x v="22"/>
    <x v="11"/>
    <x v="5"/>
    <x v="0"/>
    <x v="0"/>
    <x v="134"/>
    <x v="0"/>
    <x v="40"/>
  </r>
  <r>
    <x v="3"/>
    <x v="5"/>
    <x v="23"/>
    <x v="5"/>
    <x v="13"/>
    <x v="0"/>
    <x v="0"/>
    <x v="142"/>
    <x v="0"/>
    <x v="23"/>
  </r>
  <r>
    <x v="3"/>
    <x v="5"/>
    <x v="24"/>
    <x v="13"/>
    <x v="11"/>
    <x v="0"/>
    <x v="0"/>
    <x v="149"/>
    <x v="0"/>
    <x v="73"/>
  </r>
  <r>
    <x v="3"/>
    <x v="5"/>
    <x v="25"/>
    <x v="11"/>
    <x v="5"/>
    <x v="0"/>
    <x v="0"/>
    <x v="134"/>
    <x v="0"/>
    <x v="40"/>
  </r>
  <r>
    <x v="3"/>
    <x v="5"/>
    <x v="26"/>
    <x v="5"/>
    <x v="13"/>
    <x v="0"/>
    <x v="0"/>
    <x v="142"/>
    <x v="0"/>
    <x v="23"/>
  </r>
  <r>
    <x v="3"/>
    <x v="5"/>
    <x v="27"/>
    <x v="13"/>
    <x v="11"/>
    <x v="0"/>
    <x v="0"/>
    <x v="149"/>
    <x v="0"/>
    <x v="73"/>
  </r>
  <r>
    <x v="3"/>
    <x v="5"/>
    <x v="28"/>
    <x v="11"/>
    <x v="5"/>
    <x v="0"/>
    <x v="0"/>
    <x v="134"/>
    <x v="0"/>
    <x v="40"/>
  </r>
  <r>
    <x v="3"/>
    <x v="5"/>
    <x v="29"/>
    <x v="5"/>
    <x v="13"/>
    <x v="0"/>
    <x v="0"/>
    <x v="142"/>
    <x v="0"/>
    <x v="23"/>
  </r>
  <r>
    <x v="3"/>
    <x v="5"/>
    <x v="30"/>
    <x v="13"/>
    <x v="11"/>
    <x v="0"/>
    <x v="0"/>
    <x v="149"/>
    <x v="0"/>
    <x v="73"/>
  </r>
  <r>
    <x v="3"/>
    <x v="5"/>
    <x v="31"/>
    <x v="11"/>
    <x v="3"/>
    <x v="0"/>
    <x v="0"/>
    <x v="35"/>
    <x v="0"/>
    <x v="37"/>
  </r>
  <r>
    <x v="3"/>
    <x v="5"/>
    <x v="32"/>
    <x v="3"/>
    <x v="13"/>
    <x v="0"/>
    <x v="0"/>
    <x v="67"/>
    <x v="0"/>
    <x v="13"/>
  </r>
  <r>
    <x v="3"/>
    <x v="5"/>
    <x v="33"/>
    <x v="13"/>
    <x v="11"/>
    <x v="0"/>
    <x v="0"/>
    <x v="149"/>
    <x v="0"/>
    <x v="73"/>
  </r>
  <r>
    <x v="3"/>
    <x v="5"/>
    <x v="34"/>
    <x v="11"/>
    <x v="5"/>
    <x v="0"/>
    <x v="1"/>
    <x v="10"/>
    <x v="0"/>
    <x v="41"/>
  </r>
  <r>
    <x v="3"/>
    <x v="5"/>
    <x v="35"/>
    <x v="15"/>
    <x v="15"/>
    <x v="0"/>
    <x v="0"/>
    <x v="76"/>
    <x v="0"/>
    <x v="0"/>
  </r>
  <r>
    <x v="3"/>
    <x v="6"/>
    <x v="0"/>
    <x v="15"/>
    <x v="15"/>
    <x v="0"/>
    <x v="0"/>
    <x v="76"/>
    <x v="0"/>
    <x v="0"/>
  </r>
  <r>
    <x v="3"/>
    <x v="6"/>
    <x v="1"/>
    <x v="5"/>
    <x v="11"/>
    <x v="0"/>
    <x v="0"/>
    <x v="62"/>
    <x v="0"/>
    <x v="21"/>
  </r>
  <r>
    <x v="3"/>
    <x v="6"/>
    <x v="2"/>
    <x v="11"/>
    <x v="13"/>
    <x v="0"/>
    <x v="0"/>
    <x v="132"/>
    <x v="0"/>
    <x v="43"/>
  </r>
  <r>
    <x v="3"/>
    <x v="6"/>
    <x v="3"/>
    <x v="13"/>
    <x v="5"/>
    <x v="0"/>
    <x v="0"/>
    <x v="97"/>
    <x v="0"/>
    <x v="66"/>
  </r>
  <r>
    <x v="3"/>
    <x v="6"/>
    <x v="4"/>
    <x v="5"/>
    <x v="11"/>
    <x v="0"/>
    <x v="1"/>
    <x v="9"/>
    <x v="0"/>
    <x v="22"/>
  </r>
  <r>
    <x v="3"/>
    <x v="6"/>
    <x v="5"/>
    <x v="11"/>
    <x v="13"/>
    <x v="0"/>
    <x v="0"/>
    <x v="132"/>
    <x v="0"/>
    <x v="43"/>
  </r>
  <r>
    <x v="3"/>
    <x v="6"/>
    <x v="6"/>
    <x v="13"/>
    <x v="5"/>
    <x v="0"/>
    <x v="0"/>
    <x v="97"/>
    <x v="0"/>
    <x v="66"/>
  </r>
  <r>
    <x v="3"/>
    <x v="6"/>
    <x v="7"/>
    <x v="5"/>
    <x v="11"/>
    <x v="0"/>
    <x v="1"/>
    <x v="9"/>
    <x v="0"/>
    <x v="22"/>
  </r>
  <r>
    <x v="3"/>
    <x v="6"/>
    <x v="8"/>
    <x v="11"/>
    <x v="13"/>
    <x v="0"/>
    <x v="0"/>
    <x v="132"/>
    <x v="0"/>
    <x v="43"/>
  </r>
  <r>
    <x v="3"/>
    <x v="6"/>
    <x v="9"/>
    <x v="13"/>
    <x v="5"/>
    <x v="0"/>
    <x v="0"/>
    <x v="97"/>
    <x v="0"/>
    <x v="66"/>
  </r>
  <r>
    <x v="3"/>
    <x v="6"/>
    <x v="10"/>
    <x v="5"/>
    <x v="11"/>
    <x v="0"/>
    <x v="1"/>
    <x v="9"/>
    <x v="0"/>
    <x v="22"/>
  </r>
  <r>
    <x v="3"/>
    <x v="6"/>
    <x v="11"/>
    <x v="11"/>
    <x v="13"/>
    <x v="0"/>
    <x v="0"/>
    <x v="132"/>
    <x v="0"/>
    <x v="43"/>
  </r>
  <r>
    <x v="3"/>
    <x v="6"/>
    <x v="12"/>
    <x v="13"/>
    <x v="5"/>
    <x v="0"/>
    <x v="0"/>
    <x v="97"/>
    <x v="0"/>
    <x v="66"/>
  </r>
  <r>
    <x v="3"/>
    <x v="6"/>
    <x v="13"/>
    <x v="5"/>
    <x v="11"/>
    <x v="0"/>
    <x v="1"/>
    <x v="9"/>
    <x v="0"/>
    <x v="22"/>
  </r>
  <r>
    <x v="3"/>
    <x v="6"/>
    <x v="14"/>
    <x v="11"/>
    <x v="13"/>
    <x v="0"/>
    <x v="0"/>
    <x v="132"/>
    <x v="0"/>
    <x v="43"/>
  </r>
  <r>
    <x v="3"/>
    <x v="6"/>
    <x v="15"/>
    <x v="13"/>
    <x v="5"/>
    <x v="0"/>
    <x v="0"/>
    <x v="97"/>
    <x v="0"/>
    <x v="66"/>
  </r>
  <r>
    <x v="3"/>
    <x v="6"/>
    <x v="16"/>
    <x v="5"/>
    <x v="11"/>
    <x v="0"/>
    <x v="1"/>
    <x v="9"/>
    <x v="0"/>
    <x v="22"/>
  </r>
  <r>
    <x v="3"/>
    <x v="6"/>
    <x v="17"/>
    <x v="11"/>
    <x v="13"/>
    <x v="0"/>
    <x v="0"/>
    <x v="132"/>
    <x v="0"/>
    <x v="43"/>
  </r>
  <r>
    <x v="3"/>
    <x v="6"/>
    <x v="18"/>
    <x v="13"/>
    <x v="3"/>
    <x v="0"/>
    <x v="0"/>
    <x v="0"/>
    <x v="0"/>
    <x v="61"/>
  </r>
  <r>
    <x v="3"/>
    <x v="6"/>
    <x v="19"/>
    <x v="3"/>
    <x v="11"/>
    <x v="0"/>
    <x v="0"/>
    <x v="129"/>
    <x v="0"/>
    <x v="11"/>
  </r>
  <r>
    <x v="3"/>
    <x v="6"/>
    <x v="20"/>
    <x v="11"/>
    <x v="13"/>
    <x v="0"/>
    <x v="0"/>
    <x v="132"/>
    <x v="0"/>
    <x v="43"/>
  </r>
  <r>
    <x v="3"/>
    <x v="6"/>
    <x v="21"/>
    <x v="13"/>
    <x v="5"/>
    <x v="0"/>
    <x v="0"/>
    <x v="97"/>
    <x v="0"/>
    <x v="66"/>
  </r>
  <r>
    <x v="3"/>
    <x v="6"/>
    <x v="22"/>
    <x v="5"/>
    <x v="11"/>
    <x v="0"/>
    <x v="1"/>
    <x v="9"/>
    <x v="0"/>
    <x v="22"/>
  </r>
  <r>
    <x v="3"/>
    <x v="6"/>
    <x v="23"/>
    <x v="11"/>
    <x v="13"/>
    <x v="0"/>
    <x v="0"/>
    <x v="132"/>
    <x v="0"/>
    <x v="43"/>
  </r>
  <r>
    <x v="3"/>
    <x v="6"/>
    <x v="24"/>
    <x v="13"/>
    <x v="5"/>
    <x v="0"/>
    <x v="0"/>
    <x v="97"/>
    <x v="0"/>
    <x v="66"/>
  </r>
  <r>
    <x v="3"/>
    <x v="6"/>
    <x v="25"/>
    <x v="5"/>
    <x v="11"/>
    <x v="0"/>
    <x v="1"/>
    <x v="9"/>
    <x v="0"/>
    <x v="22"/>
  </r>
  <r>
    <x v="3"/>
    <x v="6"/>
    <x v="26"/>
    <x v="11"/>
    <x v="13"/>
    <x v="0"/>
    <x v="0"/>
    <x v="132"/>
    <x v="0"/>
    <x v="43"/>
  </r>
  <r>
    <x v="3"/>
    <x v="6"/>
    <x v="27"/>
    <x v="13"/>
    <x v="5"/>
    <x v="0"/>
    <x v="0"/>
    <x v="97"/>
    <x v="0"/>
    <x v="66"/>
  </r>
  <r>
    <x v="3"/>
    <x v="6"/>
    <x v="28"/>
    <x v="5"/>
    <x v="11"/>
    <x v="0"/>
    <x v="1"/>
    <x v="9"/>
    <x v="0"/>
    <x v="22"/>
  </r>
  <r>
    <x v="3"/>
    <x v="6"/>
    <x v="29"/>
    <x v="11"/>
    <x v="13"/>
    <x v="0"/>
    <x v="0"/>
    <x v="132"/>
    <x v="0"/>
    <x v="43"/>
  </r>
  <r>
    <x v="3"/>
    <x v="6"/>
    <x v="30"/>
    <x v="13"/>
    <x v="3"/>
    <x v="0"/>
    <x v="0"/>
    <x v="0"/>
    <x v="0"/>
    <x v="61"/>
  </r>
  <r>
    <x v="3"/>
    <x v="6"/>
    <x v="31"/>
    <x v="3"/>
    <x v="11"/>
    <x v="0"/>
    <x v="0"/>
    <x v="129"/>
    <x v="0"/>
    <x v="11"/>
  </r>
  <r>
    <x v="3"/>
    <x v="6"/>
    <x v="32"/>
    <x v="11"/>
    <x v="13"/>
    <x v="0"/>
    <x v="0"/>
    <x v="132"/>
    <x v="0"/>
    <x v="43"/>
  </r>
  <r>
    <x v="3"/>
    <x v="6"/>
    <x v="33"/>
    <x v="13"/>
    <x v="11"/>
    <x v="0"/>
    <x v="0"/>
    <x v="149"/>
    <x v="0"/>
    <x v="73"/>
  </r>
  <r>
    <x v="3"/>
    <x v="6"/>
    <x v="34"/>
    <x v="11"/>
    <x v="5"/>
    <x v="0"/>
    <x v="1"/>
    <x v="10"/>
    <x v="0"/>
    <x v="41"/>
  </r>
  <r>
    <x v="3"/>
    <x v="6"/>
    <x v="35"/>
    <x v="15"/>
    <x v="15"/>
    <x v="0"/>
    <x v="0"/>
    <x v="76"/>
    <x v="0"/>
    <x v="0"/>
  </r>
  <r>
    <x v="3"/>
    <x v="7"/>
    <x v="0"/>
    <x v="15"/>
    <x v="15"/>
    <x v="1"/>
    <x v="0"/>
    <x v="102"/>
    <x v="0"/>
    <x v="76"/>
  </r>
  <r>
    <x v="3"/>
    <x v="7"/>
    <x v="1"/>
    <x v="5"/>
    <x v="11"/>
    <x v="1"/>
    <x v="0"/>
    <x v="92"/>
    <x v="0"/>
    <x v="86"/>
  </r>
  <r>
    <x v="3"/>
    <x v="7"/>
    <x v="2"/>
    <x v="11"/>
    <x v="13"/>
    <x v="1"/>
    <x v="0"/>
    <x v="166"/>
    <x v="0"/>
    <x v="101"/>
  </r>
  <r>
    <x v="3"/>
    <x v="7"/>
    <x v="3"/>
    <x v="13"/>
    <x v="11"/>
    <x v="1"/>
    <x v="0"/>
    <x v="6"/>
    <x v="0"/>
    <x v="115"/>
  </r>
  <r>
    <x v="3"/>
    <x v="7"/>
    <x v="4"/>
    <x v="11"/>
    <x v="5"/>
    <x v="1"/>
    <x v="0"/>
    <x v="21"/>
    <x v="0"/>
    <x v="98"/>
  </r>
  <r>
    <x v="3"/>
    <x v="7"/>
    <x v="5"/>
    <x v="5"/>
    <x v="13"/>
    <x v="1"/>
    <x v="0"/>
    <x v="116"/>
    <x v="0"/>
    <x v="87"/>
  </r>
  <r>
    <x v="3"/>
    <x v="7"/>
    <x v="6"/>
    <x v="13"/>
    <x v="11"/>
    <x v="1"/>
    <x v="0"/>
    <x v="6"/>
    <x v="0"/>
    <x v="115"/>
  </r>
  <r>
    <x v="3"/>
    <x v="7"/>
    <x v="7"/>
    <x v="11"/>
    <x v="5"/>
    <x v="1"/>
    <x v="0"/>
    <x v="21"/>
    <x v="0"/>
    <x v="98"/>
  </r>
  <r>
    <x v="3"/>
    <x v="7"/>
    <x v="8"/>
    <x v="5"/>
    <x v="13"/>
    <x v="1"/>
    <x v="0"/>
    <x v="116"/>
    <x v="0"/>
    <x v="87"/>
  </r>
  <r>
    <x v="3"/>
    <x v="7"/>
    <x v="9"/>
    <x v="13"/>
    <x v="11"/>
    <x v="1"/>
    <x v="0"/>
    <x v="6"/>
    <x v="0"/>
    <x v="115"/>
  </r>
  <r>
    <x v="3"/>
    <x v="7"/>
    <x v="10"/>
    <x v="11"/>
    <x v="5"/>
    <x v="1"/>
    <x v="0"/>
    <x v="21"/>
    <x v="0"/>
    <x v="98"/>
  </r>
  <r>
    <x v="3"/>
    <x v="7"/>
    <x v="11"/>
    <x v="5"/>
    <x v="13"/>
    <x v="1"/>
    <x v="0"/>
    <x v="116"/>
    <x v="0"/>
    <x v="87"/>
  </r>
  <r>
    <x v="3"/>
    <x v="7"/>
    <x v="12"/>
    <x v="13"/>
    <x v="11"/>
    <x v="1"/>
    <x v="0"/>
    <x v="6"/>
    <x v="0"/>
    <x v="115"/>
  </r>
  <r>
    <x v="3"/>
    <x v="7"/>
    <x v="13"/>
    <x v="11"/>
    <x v="5"/>
    <x v="1"/>
    <x v="0"/>
    <x v="21"/>
    <x v="0"/>
    <x v="98"/>
  </r>
  <r>
    <x v="3"/>
    <x v="7"/>
    <x v="14"/>
    <x v="5"/>
    <x v="13"/>
    <x v="1"/>
    <x v="0"/>
    <x v="116"/>
    <x v="0"/>
    <x v="87"/>
  </r>
  <r>
    <x v="3"/>
    <x v="7"/>
    <x v="15"/>
    <x v="13"/>
    <x v="11"/>
    <x v="1"/>
    <x v="0"/>
    <x v="6"/>
    <x v="0"/>
    <x v="115"/>
  </r>
  <r>
    <x v="3"/>
    <x v="7"/>
    <x v="16"/>
    <x v="11"/>
    <x v="5"/>
    <x v="1"/>
    <x v="0"/>
    <x v="21"/>
    <x v="0"/>
    <x v="98"/>
  </r>
  <r>
    <x v="3"/>
    <x v="7"/>
    <x v="17"/>
    <x v="5"/>
    <x v="13"/>
    <x v="1"/>
    <x v="0"/>
    <x v="116"/>
    <x v="0"/>
    <x v="87"/>
  </r>
  <r>
    <x v="3"/>
    <x v="7"/>
    <x v="18"/>
    <x v="13"/>
    <x v="11"/>
    <x v="1"/>
    <x v="0"/>
    <x v="6"/>
    <x v="0"/>
    <x v="115"/>
  </r>
  <r>
    <x v="3"/>
    <x v="7"/>
    <x v="19"/>
    <x v="11"/>
    <x v="3"/>
    <x v="1"/>
    <x v="0"/>
    <x v="90"/>
    <x v="0"/>
    <x v="95"/>
  </r>
  <r>
    <x v="3"/>
    <x v="7"/>
    <x v="20"/>
    <x v="3"/>
    <x v="13"/>
    <x v="1"/>
    <x v="0"/>
    <x v="15"/>
    <x v="0"/>
    <x v="81"/>
  </r>
  <r>
    <x v="3"/>
    <x v="7"/>
    <x v="21"/>
    <x v="13"/>
    <x v="11"/>
    <x v="1"/>
    <x v="0"/>
    <x v="6"/>
    <x v="0"/>
    <x v="115"/>
  </r>
  <r>
    <x v="3"/>
    <x v="7"/>
    <x v="22"/>
    <x v="11"/>
    <x v="5"/>
    <x v="1"/>
    <x v="0"/>
    <x v="21"/>
    <x v="0"/>
    <x v="98"/>
  </r>
  <r>
    <x v="3"/>
    <x v="7"/>
    <x v="23"/>
    <x v="5"/>
    <x v="13"/>
    <x v="1"/>
    <x v="0"/>
    <x v="116"/>
    <x v="0"/>
    <x v="87"/>
  </r>
  <r>
    <x v="3"/>
    <x v="7"/>
    <x v="24"/>
    <x v="13"/>
    <x v="11"/>
    <x v="1"/>
    <x v="0"/>
    <x v="6"/>
    <x v="0"/>
    <x v="115"/>
  </r>
  <r>
    <x v="3"/>
    <x v="7"/>
    <x v="25"/>
    <x v="11"/>
    <x v="5"/>
    <x v="1"/>
    <x v="0"/>
    <x v="21"/>
    <x v="0"/>
    <x v="98"/>
  </r>
  <r>
    <x v="3"/>
    <x v="7"/>
    <x v="26"/>
    <x v="5"/>
    <x v="13"/>
    <x v="1"/>
    <x v="0"/>
    <x v="116"/>
    <x v="0"/>
    <x v="87"/>
  </r>
  <r>
    <x v="3"/>
    <x v="7"/>
    <x v="27"/>
    <x v="13"/>
    <x v="11"/>
    <x v="1"/>
    <x v="0"/>
    <x v="6"/>
    <x v="0"/>
    <x v="115"/>
  </r>
  <r>
    <x v="3"/>
    <x v="7"/>
    <x v="28"/>
    <x v="11"/>
    <x v="5"/>
    <x v="1"/>
    <x v="0"/>
    <x v="21"/>
    <x v="0"/>
    <x v="98"/>
  </r>
  <r>
    <x v="3"/>
    <x v="7"/>
    <x v="29"/>
    <x v="5"/>
    <x v="13"/>
    <x v="1"/>
    <x v="0"/>
    <x v="116"/>
    <x v="0"/>
    <x v="87"/>
  </r>
  <r>
    <x v="3"/>
    <x v="7"/>
    <x v="30"/>
    <x v="13"/>
    <x v="11"/>
    <x v="1"/>
    <x v="0"/>
    <x v="6"/>
    <x v="0"/>
    <x v="115"/>
  </r>
  <r>
    <x v="3"/>
    <x v="7"/>
    <x v="31"/>
    <x v="11"/>
    <x v="3"/>
    <x v="1"/>
    <x v="0"/>
    <x v="90"/>
    <x v="0"/>
    <x v="95"/>
  </r>
  <r>
    <x v="3"/>
    <x v="7"/>
    <x v="32"/>
    <x v="3"/>
    <x v="13"/>
    <x v="1"/>
    <x v="0"/>
    <x v="15"/>
    <x v="0"/>
    <x v="81"/>
  </r>
  <r>
    <x v="3"/>
    <x v="7"/>
    <x v="33"/>
    <x v="13"/>
    <x v="11"/>
    <x v="1"/>
    <x v="0"/>
    <x v="6"/>
    <x v="0"/>
    <x v="115"/>
  </r>
  <r>
    <x v="3"/>
    <x v="7"/>
    <x v="34"/>
    <x v="11"/>
    <x v="5"/>
    <x v="1"/>
    <x v="1"/>
    <x v="73"/>
    <x v="0"/>
    <x v="99"/>
  </r>
  <r>
    <x v="3"/>
    <x v="7"/>
    <x v="35"/>
    <x v="15"/>
    <x v="15"/>
    <x v="1"/>
    <x v="0"/>
    <x v="102"/>
    <x v="0"/>
    <x v="76"/>
  </r>
  <r>
    <x v="3"/>
    <x v="9"/>
    <x v="0"/>
    <x v="15"/>
    <x v="15"/>
    <x v="3"/>
    <x v="0"/>
    <x v="59"/>
    <x v="0"/>
    <x v="130"/>
  </r>
  <r>
    <x v="3"/>
    <x v="9"/>
    <x v="1"/>
    <x v="5"/>
    <x v="11"/>
    <x v="3"/>
    <x v="0"/>
    <x v="78"/>
    <x v="0"/>
    <x v="135"/>
  </r>
  <r>
    <x v="3"/>
    <x v="9"/>
    <x v="2"/>
    <x v="11"/>
    <x v="13"/>
    <x v="3"/>
    <x v="0"/>
    <x v="124"/>
    <x v="0"/>
    <x v="148"/>
  </r>
  <r>
    <x v="3"/>
    <x v="9"/>
    <x v="3"/>
    <x v="13"/>
    <x v="11"/>
    <x v="3"/>
    <x v="0"/>
    <x v="17"/>
    <x v="0"/>
    <x v="154"/>
  </r>
  <r>
    <x v="3"/>
    <x v="9"/>
    <x v="4"/>
    <x v="11"/>
    <x v="5"/>
    <x v="3"/>
    <x v="0"/>
    <x v="118"/>
    <x v="0"/>
    <x v="145"/>
  </r>
  <r>
    <x v="3"/>
    <x v="9"/>
    <x v="5"/>
    <x v="5"/>
    <x v="13"/>
    <x v="3"/>
    <x v="0"/>
    <x v="72"/>
    <x v="0"/>
    <x v="136"/>
  </r>
  <r>
    <x v="3"/>
    <x v="9"/>
    <x v="6"/>
    <x v="13"/>
    <x v="11"/>
    <x v="3"/>
    <x v="0"/>
    <x v="17"/>
    <x v="0"/>
    <x v="154"/>
  </r>
  <r>
    <x v="3"/>
    <x v="9"/>
    <x v="7"/>
    <x v="11"/>
    <x v="5"/>
    <x v="3"/>
    <x v="0"/>
    <x v="118"/>
    <x v="0"/>
    <x v="145"/>
  </r>
  <r>
    <x v="3"/>
    <x v="9"/>
    <x v="8"/>
    <x v="5"/>
    <x v="13"/>
    <x v="3"/>
    <x v="0"/>
    <x v="72"/>
    <x v="0"/>
    <x v="136"/>
  </r>
  <r>
    <x v="3"/>
    <x v="9"/>
    <x v="9"/>
    <x v="13"/>
    <x v="11"/>
    <x v="3"/>
    <x v="0"/>
    <x v="17"/>
    <x v="0"/>
    <x v="154"/>
  </r>
  <r>
    <x v="3"/>
    <x v="9"/>
    <x v="10"/>
    <x v="11"/>
    <x v="5"/>
    <x v="3"/>
    <x v="0"/>
    <x v="118"/>
    <x v="0"/>
    <x v="145"/>
  </r>
  <r>
    <x v="3"/>
    <x v="9"/>
    <x v="11"/>
    <x v="5"/>
    <x v="13"/>
    <x v="3"/>
    <x v="0"/>
    <x v="72"/>
    <x v="0"/>
    <x v="136"/>
  </r>
  <r>
    <x v="3"/>
    <x v="9"/>
    <x v="12"/>
    <x v="13"/>
    <x v="11"/>
    <x v="3"/>
    <x v="0"/>
    <x v="17"/>
    <x v="0"/>
    <x v="154"/>
  </r>
  <r>
    <x v="3"/>
    <x v="9"/>
    <x v="13"/>
    <x v="11"/>
    <x v="5"/>
    <x v="3"/>
    <x v="0"/>
    <x v="118"/>
    <x v="0"/>
    <x v="145"/>
  </r>
  <r>
    <x v="3"/>
    <x v="9"/>
    <x v="14"/>
    <x v="5"/>
    <x v="13"/>
    <x v="3"/>
    <x v="0"/>
    <x v="72"/>
    <x v="0"/>
    <x v="136"/>
  </r>
  <r>
    <x v="3"/>
    <x v="9"/>
    <x v="15"/>
    <x v="13"/>
    <x v="11"/>
    <x v="3"/>
    <x v="0"/>
    <x v="17"/>
    <x v="0"/>
    <x v="154"/>
  </r>
  <r>
    <x v="3"/>
    <x v="9"/>
    <x v="16"/>
    <x v="11"/>
    <x v="5"/>
    <x v="3"/>
    <x v="0"/>
    <x v="118"/>
    <x v="0"/>
    <x v="145"/>
  </r>
  <r>
    <x v="3"/>
    <x v="9"/>
    <x v="17"/>
    <x v="5"/>
    <x v="13"/>
    <x v="3"/>
    <x v="0"/>
    <x v="72"/>
    <x v="0"/>
    <x v="136"/>
  </r>
  <r>
    <x v="3"/>
    <x v="9"/>
    <x v="18"/>
    <x v="13"/>
    <x v="11"/>
    <x v="3"/>
    <x v="0"/>
    <x v="17"/>
    <x v="0"/>
    <x v="154"/>
  </r>
  <r>
    <x v="3"/>
    <x v="9"/>
    <x v="19"/>
    <x v="11"/>
    <x v="3"/>
    <x v="3"/>
    <x v="0"/>
    <x v="127"/>
    <x v="0"/>
    <x v="143"/>
  </r>
  <r>
    <x v="3"/>
    <x v="9"/>
    <x v="20"/>
    <x v="3"/>
    <x v="13"/>
    <x v="3"/>
    <x v="1"/>
    <x v="168"/>
    <x v="0"/>
    <x v="134"/>
  </r>
  <r>
    <x v="3"/>
    <x v="9"/>
    <x v="21"/>
    <x v="13"/>
    <x v="11"/>
    <x v="3"/>
    <x v="0"/>
    <x v="17"/>
    <x v="0"/>
    <x v="154"/>
  </r>
  <r>
    <x v="3"/>
    <x v="9"/>
    <x v="22"/>
    <x v="11"/>
    <x v="5"/>
    <x v="3"/>
    <x v="0"/>
    <x v="118"/>
    <x v="0"/>
    <x v="145"/>
  </r>
  <r>
    <x v="3"/>
    <x v="9"/>
    <x v="23"/>
    <x v="5"/>
    <x v="13"/>
    <x v="3"/>
    <x v="1"/>
    <x v="55"/>
    <x v="0"/>
    <x v="137"/>
  </r>
  <r>
    <x v="3"/>
    <x v="9"/>
    <x v="24"/>
    <x v="13"/>
    <x v="11"/>
    <x v="3"/>
    <x v="0"/>
    <x v="17"/>
    <x v="0"/>
    <x v="154"/>
  </r>
  <r>
    <x v="3"/>
    <x v="9"/>
    <x v="25"/>
    <x v="11"/>
    <x v="5"/>
    <x v="3"/>
    <x v="0"/>
    <x v="118"/>
    <x v="0"/>
    <x v="145"/>
  </r>
  <r>
    <x v="3"/>
    <x v="9"/>
    <x v="26"/>
    <x v="5"/>
    <x v="13"/>
    <x v="3"/>
    <x v="0"/>
    <x v="72"/>
    <x v="0"/>
    <x v="136"/>
  </r>
  <r>
    <x v="3"/>
    <x v="9"/>
    <x v="27"/>
    <x v="13"/>
    <x v="11"/>
    <x v="3"/>
    <x v="0"/>
    <x v="17"/>
    <x v="0"/>
    <x v="154"/>
  </r>
  <r>
    <x v="3"/>
    <x v="9"/>
    <x v="28"/>
    <x v="11"/>
    <x v="5"/>
    <x v="3"/>
    <x v="0"/>
    <x v="118"/>
    <x v="0"/>
    <x v="145"/>
  </r>
  <r>
    <x v="3"/>
    <x v="9"/>
    <x v="29"/>
    <x v="5"/>
    <x v="13"/>
    <x v="3"/>
    <x v="0"/>
    <x v="72"/>
    <x v="0"/>
    <x v="136"/>
  </r>
  <r>
    <x v="3"/>
    <x v="9"/>
    <x v="30"/>
    <x v="13"/>
    <x v="11"/>
    <x v="3"/>
    <x v="0"/>
    <x v="17"/>
    <x v="0"/>
    <x v="154"/>
  </r>
  <r>
    <x v="3"/>
    <x v="9"/>
    <x v="31"/>
    <x v="11"/>
    <x v="3"/>
    <x v="3"/>
    <x v="0"/>
    <x v="127"/>
    <x v="0"/>
    <x v="143"/>
  </r>
  <r>
    <x v="3"/>
    <x v="9"/>
    <x v="32"/>
    <x v="3"/>
    <x v="13"/>
    <x v="3"/>
    <x v="0"/>
    <x v="64"/>
    <x v="0"/>
    <x v="133"/>
  </r>
  <r>
    <x v="3"/>
    <x v="9"/>
    <x v="33"/>
    <x v="13"/>
    <x v="11"/>
    <x v="3"/>
    <x v="0"/>
    <x v="17"/>
    <x v="0"/>
    <x v="154"/>
  </r>
  <r>
    <x v="3"/>
    <x v="9"/>
    <x v="34"/>
    <x v="11"/>
    <x v="5"/>
    <x v="3"/>
    <x v="1"/>
    <x v="154"/>
    <x v="0"/>
    <x v="146"/>
  </r>
  <r>
    <x v="3"/>
    <x v="9"/>
    <x v="35"/>
    <x v="15"/>
    <x v="15"/>
    <x v="3"/>
    <x v="0"/>
    <x v="59"/>
    <x v="0"/>
    <x v="1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4">
  <r>
    <x v="0"/>
    <x v="0"/>
    <x v="0"/>
    <x v="9"/>
    <x v="13"/>
    <x v="2"/>
    <x v="0"/>
    <x v="77"/>
    <x v="0"/>
  </r>
  <r>
    <x v="0"/>
    <x v="0"/>
    <x v="1"/>
    <x v="13"/>
    <x v="2"/>
    <x v="2"/>
    <x v="0"/>
    <x v="136"/>
    <x v="0"/>
  </r>
  <r>
    <x v="0"/>
    <x v="0"/>
    <x v="2"/>
    <x v="2"/>
    <x v="8"/>
    <x v="2"/>
    <x v="0"/>
    <x v="84"/>
    <x v="0"/>
  </r>
  <r>
    <x v="0"/>
    <x v="0"/>
    <x v="3"/>
    <x v="8"/>
    <x v="12"/>
    <x v="2"/>
    <x v="0"/>
    <x v="47"/>
    <x v="0"/>
  </r>
  <r>
    <x v="0"/>
    <x v="0"/>
    <x v="4"/>
    <x v="12"/>
    <x v="13"/>
    <x v="2"/>
    <x v="0"/>
    <x v="153"/>
    <x v="0"/>
  </r>
  <r>
    <x v="0"/>
    <x v="0"/>
    <x v="5"/>
    <x v="13"/>
    <x v="2"/>
    <x v="2"/>
    <x v="0"/>
    <x v="136"/>
    <x v="0"/>
  </r>
  <r>
    <x v="0"/>
    <x v="0"/>
    <x v="6"/>
    <x v="2"/>
    <x v="8"/>
    <x v="2"/>
    <x v="0"/>
    <x v="84"/>
    <x v="0"/>
  </r>
  <r>
    <x v="0"/>
    <x v="0"/>
    <x v="7"/>
    <x v="8"/>
    <x v="12"/>
    <x v="2"/>
    <x v="0"/>
    <x v="47"/>
    <x v="0"/>
  </r>
  <r>
    <x v="0"/>
    <x v="0"/>
    <x v="8"/>
    <x v="12"/>
    <x v="13"/>
    <x v="2"/>
    <x v="0"/>
    <x v="153"/>
    <x v="0"/>
  </r>
  <r>
    <x v="0"/>
    <x v="0"/>
    <x v="9"/>
    <x v="13"/>
    <x v="4"/>
    <x v="2"/>
    <x v="0"/>
    <x v="11"/>
    <x v="0"/>
  </r>
  <r>
    <x v="0"/>
    <x v="0"/>
    <x v="10"/>
    <x v="4"/>
    <x v="8"/>
    <x v="2"/>
    <x v="0"/>
    <x v="93"/>
    <x v="0"/>
  </r>
  <r>
    <x v="0"/>
    <x v="0"/>
    <x v="11"/>
    <x v="8"/>
    <x v="13"/>
    <x v="2"/>
    <x v="0"/>
    <x v="110"/>
    <x v="0"/>
  </r>
  <r>
    <x v="0"/>
    <x v="0"/>
    <x v="12"/>
    <x v="13"/>
    <x v="12"/>
    <x v="2"/>
    <x v="0"/>
    <x v="169"/>
    <x v="0"/>
  </r>
  <r>
    <x v="0"/>
    <x v="0"/>
    <x v="13"/>
    <x v="12"/>
    <x v="0"/>
    <x v="2"/>
    <x v="0"/>
    <x v="33"/>
    <x v="0"/>
  </r>
  <r>
    <x v="0"/>
    <x v="0"/>
    <x v="14"/>
    <x v="0"/>
    <x v="8"/>
    <x v="2"/>
    <x v="0"/>
    <x v="71"/>
    <x v="0"/>
  </r>
  <r>
    <x v="0"/>
    <x v="0"/>
    <x v="15"/>
    <x v="8"/>
    <x v="12"/>
    <x v="2"/>
    <x v="0"/>
    <x v="47"/>
    <x v="0"/>
  </r>
  <r>
    <x v="0"/>
    <x v="0"/>
    <x v="16"/>
    <x v="12"/>
    <x v="13"/>
    <x v="2"/>
    <x v="0"/>
    <x v="153"/>
    <x v="0"/>
  </r>
  <r>
    <x v="0"/>
    <x v="0"/>
    <x v="17"/>
    <x v="13"/>
    <x v="4"/>
    <x v="2"/>
    <x v="0"/>
    <x v="11"/>
    <x v="0"/>
  </r>
  <r>
    <x v="0"/>
    <x v="0"/>
    <x v="18"/>
    <x v="4"/>
    <x v="8"/>
    <x v="2"/>
    <x v="0"/>
    <x v="93"/>
    <x v="0"/>
  </r>
  <r>
    <x v="0"/>
    <x v="0"/>
    <x v="19"/>
    <x v="8"/>
    <x v="13"/>
    <x v="2"/>
    <x v="0"/>
    <x v="110"/>
    <x v="0"/>
  </r>
  <r>
    <x v="0"/>
    <x v="0"/>
    <x v="20"/>
    <x v="13"/>
    <x v="12"/>
    <x v="2"/>
    <x v="0"/>
    <x v="169"/>
    <x v="0"/>
  </r>
  <r>
    <x v="0"/>
    <x v="0"/>
    <x v="21"/>
    <x v="12"/>
    <x v="2"/>
    <x v="2"/>
    <x v="0"/>
    <x v="60"/>
    <x v="0"/>
  </r>
  <r>
    <x v="0"/>
    <x v="0"/>
    <x v="22"/>
    <x v="2"/>
    <x v="8"/>
    <x v="2"/>
    <x v="0"/>
    <x v="84"/>
    <x v="0"/>
  </r>
  <r>
    <x v="0"/>
    <x v="0"/>
    <x v="23"/>
    <x v="8"/>
    <x v="13"/>
    <x v="2"/>
    <x v="0"/>
    <x v="110"/>
    <x v="0"/>
  </r>
  <r>
    <x v="0"/>
    <x v="0"/>
    <x v="24"/>
    <x v="13"/>
    <x v="12"/>
    <x v="2"/>
    <x v="0"/>
    <x v="169"/>
    <x v="0"/>
  </r>
  <r>
    <x v="0"/>
    <x v="0"/>
    <x v="25"/>
    <x v="12"/>
    <x v="2"/>
    <x v="2"/>
    <x v="0"/>
    <x v="60"/>
    <x v="0"/>
  </r>
  <r>
    <x v="0"/>
    <x v="0"/>
    <x v="26"/>
    <x v="2"/>
    <x v="8"/>
    <x v="2"/>
    <x v="0"/>
    <x v="84"/>
    <x v="0"/>
  </r>
  <r>
    <x v="0"/>
    <x v="0"/>
    <x v="27"/>
    <x v="8"/>
    <x v="13"/>
    <x v="2"/>
    <x v="0"/>
    <x v="110"/>
    <x v="0"/>
  </r>
  <r>
    <x v="0"/>
    <x v="0"/>
    <x v="28"/>
    <x v="13"/>
    <x v="9"/>
    <x v="2"/>
    <x v="0"/>
    <x v="144"/>
    <x v="0"/>
  </r>
  <r>
    <x v="0"/>
    <x v="1"/>
    <x v="0"/>
    <x v="9"/>
    <x v="13"/>
    <x v="0"/>
    <x v="0"/>
    <x v="75"/>
    <x v="0"/>
  </r>
  <r>
    <x v="0"/>
    <x v="1"/>
    <x v="1"/>
    <x v="13"/>
    <x v="8"/>
    <x v="0"/>
    <x v="0"/>
    <x v="163"/>
    <x v="0"/>
  </r>
  <r>
    <x v="0"/>
    <x v="1"/>
    <x v="2"/>
    <x v="8"/>
    <x v="2"/>
    <x v="0"/>
    <x v="0"/>
    <x v="32"/>
    <x v="0"/>
  </r>
  <r>
    <x v="0"/>
    <x v="1"/>
    <x v="3"/>
    <x v="2"/>
    <x v="12"/>
    <x v="0"/>
    <x v="0"/>
    <x v="38"/>
    <x v="0"/>
  </r>
  <r>
    <x v="0"/>
    <x v="1"/>
    <x v="4"/>
    <x v="12"/>
    <x v="13"/>
    <x v="0"/>
    <x v="0"/>
    <x v="137"/>
    <x v="0"/>
  </r>
  <r>
    <x v="0"/>
    <x v="1"/>
    <x v="5"/>
    <x v="13"/>
    <x v="8"/>
    <x v="0"/>
    <x v="0"/>
    <x v="163"/>
    <x v="0"/>
  </r>
  <r>
    <x v="0"/>
    <x v="1"/>
    <x v="6"/>
    <x v="8"/>
    <x v="2"/>
    <x v="0"/>
    <x v="0"/>
    <x v="32"/>
    <x v="0"/>
  </r>
  <r>
    <x v="0"/>
    <x v="1"/>
    <x v="7"/>
    <x v="2"/>
    <x v="12"/>
    <x v="0"/>
    <x v="0"/>
    <x v="38"/>
    <x v="0"/>
  </r>
  <r>
    <x v="0"/>
    <x v="1"/>
    <x v="8"/>
    <x v="12"/>
    <x v="13"/>
    <x v="0"/>
    <x v="0"/>
    <x v="137"/>
    <x v="0"/>
  </r>
  <r>
    <x v="0"/>
    <x v="1"/>
    <x v="9"/>
    <x v="13"/>
    <x v="8"/>
    <x v="0"/>
    <x v="0"/>
    <x v="163"/>
    <x v="0"/>
  </r>
  <r>
    <x v="0"/>
    <x v="1"/>
    <x v="10"/>
    <x v="8"/>
    <x v="4"/>
    <x v="0"/>
    <x v="0"/>
    <x v="148"/>
    <x v="0"/>
  </r>
  <r>
    <x v="0"/>
    <x v="1"/>
    <x v="11"/>
    <x v="4"/>
    <x v="13"/>
    <x v="0"/>
    <x v="0"/>
    <x v="16"/>
    <x v="0"/>
  </r>
  <r>
    <x v="0"/>
    <x v="1"/>
    <x v="12"/>
    <x v="13"/>
    <x v="12"/>
    <x v="0"/>
    <x v="0"/>
    <x v="51"/>
    <x v="0"/>
  </r>
  <r>
    <x v="0"/>
    <x v="1"/>
    <x v="13"/>
    <x v="12"/>
    <x v="8"/>
    <x v="0"/>
    <x v="0"/>
    <x v="5"/>
    <x v="0"/>
  </r>
  <r>
    <x v="0"/>
    <x v="1"/>
    <x v="14"/>
    <x v="8"/>
    <x v="0"/>
    <x v="0"/>
    <x v="0"/>
    <x v="36"/>
    <x v="0"/>
  </r>
  <r>
    <x v="0"/>
    <x v="1"/>
    <x v="15"/>
    <x v="0"/>
    <x v="12"/>
    <x v="0"/>
    <x v="0"/>
    <x v="43"/>
    <x v="0"/>
  </r>
  <r>
    <x v="0"/>
    <x v="1"/>
    <x v="16"/>
    <x v="12"/>
    <x v="13"/>
    <x v="0"/>
    <x v="0"/>
    <x v="137"/>
    <x v="0"/>
  </r>
  <r>
    <x v="0"/>
    <x v="1"/>
    <x v="17"/>
    <x v="13"/>
    <x v="8"/>
    <x v="0"/>
    <x v="0"/>
    <x v="163"/>
    <x v="0"/>
  </r>
  <r>
    <x v="0"/>
    <x v="1"/>
    <x v="18"/>
    <x v="8"/>
    <x v="4"/>
    <x v="0"/>
    <x v="0"/>
    <x v="148"/>
    <x v="0"/>
  </r>
  <r>
    <x v="0"/>
    <x v="1"/>
    <x v="19"/>
    <x v="4"/>
    <x v="13"/>
    <x v="0"/>
    <x v="0"/>
    <x v="16"/>
    <x v="0"/>
  </r>
  <r>
    <x v="0"/>
    <x v="1"/>
    <x v="20"/>
    <x v="13"/>
    <x v="12"/>
    <x v="0"/>
    <x v="0"/>
    <x v="51"/>
    <x v="0"/>
  </r>
  <r>
    <x v="0"/>
    <x v="1"/>
    <x v="21"/>
    <x v="12"/>
    <x v="8"/>
    <x v="0"/>
    <x v="0"/>
    <x v="5"/>
    <x v="0"/>
  </r>
  <r>
    <x v="0"/>
    <x v="1"/>
    <x v="22"/>
    <x v="8"/>
    <x v="2"/>
    <x v="0"/>
    <x v="0"/>
    <x v="32"/>
    <x v="0"/>
  </r>
  <r>
    <x v="0"/>
    <x v="1"/>
    <x v="23"/>
    <x v="2"/>
    <x v="13"/>
    <x v="0"/>
    <x v="0"/>
    <x v="143"/>
    <x v="0"/>
  </r>
  <r>
    <x v="0"/>
    <x v="1"/>
    <x v="24"/>
    <x v="13"/>
    <x v="12"/>
    <x v="0"/>
    <x v="0"/>
    <x v="51"/>
    <x v="0"/>
  </r>
  <r>
    <x v="0"/>
    <x v="1"/>
    <x v="25"/>
    <x v="12"/>
    <x v="8"/>
    <x v="0"/>
    <x v="0"/>
    <x v="5"/>
    <x v="0"/>
  </r>
  <r>
    <x v="0"/>
    <x v="1"/>
    <x v="26"/>
    <x v="8"/>
    <x v="2"/>
    <x v="0"/>
    <x v="0"/>
    <x v="32"/>
    <x v="0"/>
  </r>
  <r>
    <x v="0"/>
    <x v="1"/>
    <x v="27"/>
    <x v="2"/>
    <x v="13"/>
    <x v="0"/>
    <x v="0"/>
    <x v="143"/>
    <x v="0"/>
  </r>
  <r>
    <x v="0"/>
    <x v="1"/>
    <x v="28"/>
    <x v="13"/>
    <x v="9"/>
    <x v="0"/>
    <x v="0"/>
    <x v="122"/>
    <x v="0"/>
  </r>
  <r>
    <x v="0"/>
    <x v="2"/>
    <x v="0"/>
    <x v="9"/>
    <x v="13"/>
    <x v="0"/>
    <x v="0"/>
    <x v="75"/>
    <x v="0"/>
  </r>
  <r>
    <x v="0"/>
    <x v="2"/>
    <x v="1"/>
    <x v="13"/>
    <x v="2"/>
    <x v="0"/>
    <x v="0"/>
    <x v="111"/>
    <x v="0"/>
  </r>
  <r>
    <x v="0"/>
    <x v="2"/>
    <x v="2"/>
    <x v="2"/>
    <x v="8"/>
    <x v="0"/>
    <x v="0"/>
    <x v="61"/>
    <x v="0"/>
  </r>
  <r>
    <x v="0"/>
    <x v="2"/>
    <x v="3"/>
    <x v="8"/>
    <x v="12"/>
    <x v="0"/>
    <x v="0"/>
    <x v="161"/>
    <x v="0"/>
  </r>
  <r>
    <x v="0"/>
    <x v="2"/>
    <x v="4"/>
    <x v="12"/>
    <x v="13"/>
    <x v="0"/>
    <x v="0"/>
    <x v="137"/>
    <x v="0"/>
  </r>
  <r>
    <x v="0"/>
    <x v="2"/>
    <x v="5"/>
    <x v="13"/>
    <x v="2"/>
    <x v="0"/>
    <x v="0"/>
    <x v="111"/>
    <x v="0"/>
  </r>
  <r>
    <x v="0"/>
    <x v="2"/>
    <x v="6"/>
    <x v="2"/>
    <x v="8"/>
    <x v="0"/>
    <x v="0"/>
    <x v="61"/>
    <x v="0"/>
  </r>
  <r>
    <x v="0"/>
    <x v="2"/>
    <x v="7"/>
    <x v="8"/>
    <x v="12"/>
    <x v="0"/>
    <x v="0"/>
    <x v="161"/>
    <x v="0"/>
  </r>
  <r>
    <x v="0"/>
    <x v="2"/>
    <x v="8"/>
    <x v="12"/>
    <x v="13"/>
    <x v="0"/>
    <x v="0"/>
    <x v="137"/>
    <x v="0"/>
  </r>
  <r>
    <x v="0"/>
    <x v="2"/>
    <x v="9"/>
    <x v="13"/>
    <x v="4"/>
    <x v="0"/>
    <x v="0"/>
    <x v="31"/>
    <x v="0"/>
  </r>
  <r>
    <x v="0"/>
    <x v="2"/>
    <x v="10"/>
    <x v="4"/>
    <x v="8"/>
    <x v="0"/>
    <x v="0"/>
    <x v="138"/>
    <x v="0"/>
  </r>
  <r>
    <x v="0"/>
    <x v="2"/>
    <x v="11"/>
    <x v="8"/>
    <x v="13"/>
    <x v="0"/>
    <x v="0"/>
    <x v="1"/>
    <x v="0"/>
  </r>
  <r>
    <x v="0"/>
    <x v="2"/>
    <x v="12"/>
    <x v="13"/>
    <x v="12"/>
    <x v="0"/>
    <x v="0"/>
    <x v="51"/>
    <x v="0"/>
  </r>
  <r>
    <x v="0"/>
    <x v="2"/>
    <x v="13"/>
    <x v="12"/>
    <x v="0"/>
    <x v="0"/>
    <x v="0"/>
    <x v="3"/>
    <x v="0"/>
  </r>
  <r>
    <x v="0"/>
    <x v="2"/>
    <x v="14"/>
    <x v="0"/>
    <x v="8"/>
    <x v="0"/>
    <x v="0"/>
    <x v="42"/>
    <x v="0"/>
  </r>
  <r>
    <x v="0"/>
    <x v="2"/>
    <x v="15"/>
    <x v="8"/>
    <x v="12"/>
    <x v="0"/>
    <x v="0"/>
    <x v="161"/>
    <x v="0"/>
  </r>
  <r>
    <x v="0"/>
    <x v="2"/>
    <x v="16"/>
    <x v="12"/>
    <x v="13"/>
    <x v="0"/>
    <x v="0"/>
    <x v="137"/>
    <x v="0"/>
  </r>
  <r>
    <x v="0"/>
    <x v="2"/>
    <x v="17"/>
    <x v="13"/>
    <x v="4"/>
    <x v="0"/>
    <x v="0"/>
    <x v="31"/>
    <x v="0"/>
  </r>
  <r>
    <x v="0"/>
    <x v="2"/>
    <x v="18"/>
    <x v="4"/>
    <x v="8"/>
    <x v="0"/>
    <x v="0"/>
    <x v="138"/>
    <x v="0"/>
  </r>
  <r>
    <x v="0"/>
    <x v="2"/>
    <x v="19"/>
    <x v="8"/>
    <x v="13"/>
    <x v="0"/>
    <x v="0"/>
    <x v="1"/>
    <x v="0"/>
  </r>
  <r>
    <x v="0"/>
    <x v="2"/>
    <x v="20"/>
    <x v="13"/>
    <x v="12"/>
    <x v="0"/>
    <x v="0"/>
    <x v="51"/>
    <x v="0"/>
  </r>
  <r>
    <x v="0"/>
    <x v="2"/>
    <x v="21"/>
    <x v="12"/>
    <x v="2"/>
    <x v="0"/>
    <x v="0"/>
    <x v="117"/>
    <x v="0"/>
  </r>
  <r>
    <x v="0"/>
    <x v="2"/>
    <x v="22"/>
    <x v="2"/>
    <x v="8"/>
    <x v="0"/>
    <x v="0"/>
    <x v="61"/>
    <x v="0"/>
  </r>
  <r>
    <x v="0"/>
    <x v="2"/>
    <x v="23"/>
    <x v="8"/>
    <x v="13"/>
    <x v="0"/>
    <x v="0"/>
    <x v="1"/>
    <x v="0"/>
  </r>
  <r>
    <x v="0"/>
    <x v="2"/>
    <x v="24"/>
    <x v="13"/>
    <x v="12"/>
    <x v="0"/>
    <x v="0"/>
    <x v="51"/>
    <x v="0"/>
  </r>
  <r>
    <x v="0"/>
    <x v="2"/>
    <x v="25"/>
    <x v="12"/>
    <x v="2"/>
    <x v="0"/>
    <x v="0"/>
    <x v="117"/>
    <x v="0"/>
  </r>
  <r>
    <x v="0"/>
    <x v="2"/>
    <x v="26"/>
    <x v="2"/>
    <x v="8"/>
    <x v="0"/>
    <x v="0"/>
    <x v="61"/>
    <x v="0"/>
  </r>
  <r>
    <x v="0"/>
    <x v="2"/>
    <x v="27"/>
    <x v="8"/>
    <x v="13"/>
    <x v="0"/>
    <x v="0"/>
    <x v="1"/>
    <x v="0"/>
  </r>
  <r>
    <x v="0"/>
    <x v="2"/>
    <x v="28"/>
    <x v="13"/>
    <x v="9"/>
    <x v="0"/>
    <x v="0"/>
    <x v="122"/>
    <x v="0"/>
  </r>
  <r>
    <x v="0"/>
    <x v="3"/>
    <x v="0"/>
    <x v="9"/>
    <x v="13"/>
    <x v="1"/>
    <x v="0"/>
    <x v="7"/>
    <x v="0"/>
  </r>
  <r>
    <x v="0"/>
    <x v="3"/>
    <x v="1"/>
    <x v="13"/>
    <x v="8"/>
    <x v="1"/>
    <x v="0"/>
    <x v="20"/>
    <x v="0"/>
  </r>
  <r>
    <x v="0"/>
    <x v="3"/>
    <x v="2"/>
    <x v="8"/>
    <x v="2"/>
    <x v="1"/>
    <x v="0"/>
    <x v="88"/>
    <x v="0"/>
  </r>
  <r>
    <x v="0"/>
    <x v="3"/>
    <x v="3"/>
    <x v="2"/>
    <x v="12"/>
    <x v="1"/>
    <x v="0"/>
    <x v="14"/>
    <x v="0"/>
  </r>
  <r>
    <x v="0"/>
    <x v="3"/>
    <x v="4"/>
    <x v="12"/>
    <x v="13"/>
    <x v="1"/>
    <x v="0"/>
    <x v="79"/>
    <x v="0"/>
  </r>
  <r>
    <x v="0"/>
    <x v="3"/>
    <x v="5"/>
    <x v="13"/>
    <x v="8"/>
    <x v="1"/>
    <x v="0"/>
    <x v="20"/>
    <x v="0"/>
  </r>
  <r>
    <x v="0"/>
    <x v="3"/>
    <x v="6"/>
    <x v="8"/>
    <x v="2"/>
    <x v="1"/>
    <x v="0"/>
    <x v="88"/>
    <x v="0"/>
  </r>
  <r>
    <x v="0"/>
    <x v="3"/>
    <x v="7"/>
    <x v="2"/>
    <x v="12"/>
    <x v="1"/>
    <x v="0"/>
    <x v="14"/>
    <x v="0"/>
  </r>
  <r>
    <x v="0"/>
    <x v="3"/>
    <x v="8"/>
    <x v="12"/>
    <x v="13"/>
    <x v="1"/>
    <x v="0"/>
    <x v="79"/>
    <x v="0"/>
  </r>
  <r>
    <x v="0"/>
    <x v="3"/>
    <x v="9"/>
    <x v="13"/>
    <x v="8"/>
    <x v="1"/>
    <x v="0"/>
    <x v="20"/>
    <x v="0"/>
  </r>
  <r>
    <x v="0"/>
    <x v="3"/>
    <x v="10"/>
    <x v="8"/>
    <x v="4"/>
    <x v="1"/>
    <x v="0"/>
    <x v="157"/>
    <x v="0"/>
  </r>
  <r>
    <x v="0"/>
    <x v="3"/>
    <x v="11"/>
    <x v="4"/>
    <x v="13"/>
    <x v="1"/>
    <x v="0"/>
    <x v="171"/>
    <x v="0"/>
  </r>
  <r>
    <x v="0"/>
    <x v="3"/>
    <x v="12"/>
    <x v="13"/>
    <x v="12"/>
    <x v="1"/>
    <x v="0"/>
    <x v="123"/>
    <x v="0"/>
  </r>
  <r>
    <x v="0"/>
    <x v="3"/>
    <x v="13"/>
    <x v="12"/>
    <x v="8"/>
    <x v="1"/>
    <x v="0"/>
    <x v="146"/>
    <x v="0"/>
  </r>
  <r>
    <x v="0"/>
    <x v="3"/>
    <x v="14"/>
    <x v="8"/>
    <x v="0"/>
    <x v="1"/>
    <x v="0"/>
    <x v="29"/>
    <x v="0"/>
  </r>
  <r>
    <x v="0"/>
    <x v="3"/>
    <x v="15"/>
    <x v="0"/>
    <x v="12"/>
    <x v="1"/>
    <x v="0"/>
    <x v="109"/>
    <x v="0"/>
  </r>
  <r>
    <x v="0"/>
    <x v="3"/>
    <x v="16"/>
    <x v="12"/>
    <x v="13"/>
    <x v="1"/>
    <x v="0"/>
    <x v="79"/>
    <x v="0"/>
  </r>
  <r>
    <x v="0"/>
    <x v="3"/>
    <x v="17"/>
    <x v="13"/>
    <x v="8"/>
    <x v="1"/>
    <x v="0"/>
    <x v="20"/>
    <x v="0"/>
  </r>
  <r>
    <x v="0"/>
    <x v="3"/>
    <x v="18"/>
    <x v="8"/>
    <x v="4"/>
    <x v="1"/>
    <x v="0"/>
    <x v="157"/>
    <x v="0"/>
  </r>
  <r>
    <x v="0"/>
    <x v="3"/>
    <x v="19"/>
    <x v="4"/>
    <x v="13"/>
    <x v="1"/>
    <x v="0"/>
    <x v="171"/>
    <x v="0"/>
  </r>
  <r>
    <x v="0"/>
    <x v="3"/>
    <x v="20"/>
    <x v="13"/>
    <x v="12"/>
    <x v="1"/>
    <x v="0"/>
    <x v="123"/>
    <x v="0"/>
  </r>
  <r>
    <x v="0"/>
    <x v="3"/>
    <x v="21"/>
    <x v="12"/>
    <x v="8"/>
    <x v="1"/>
    <x v="0"/>
    <x v="146"/>
    <x v="0"/>
  </r>
  <r>
    <x v="0"/>
    <x v="3"/>
    <x v="22"/>
    <x v="8"/>
    <x v="2"/>
    <x v="1"/>
    <x v="0"/>
    <x v="88"/>
    <x v="0"/>
  </r>
  <r>
    <x v="0"/>
    <x v="3"/>
    <x v="23"/>
    <x v="2"/>
    <x v="13"/>
    <x v="1"/>
    <x v="0"/>
    <x v="159"/>
    <x v="0"/>
  </r>
  <r>
    <x v="0"/>
    <x v="3"/>
    <x v="24"/>
    <x v="13"/>
    <x v="12"/>
    <x v="1"/>
    <x v="0"/>
    <x v="123"/>
    <x v="0"/>
  </r>
  <r>
    <x v="0"/>
    <x v="3"/>
    <x v="25"/>
    <x v="12"/>
    <x v="8"/>
    <x v="1"/>
    <x v="0"/>
    <x v="146"/>
    <x v="0"/>
  </r>
  <r>
    <x v="0"/>
    <x v="3"/>
    <x v="26"/>
    <x v="8"/>
    <x v="2"/>
    <x v="1"/>
    <x v="0"/>
    <x v="88"/>
    <x v="0"/>
  </r>
  <r>
    <x v="0"/>
    <x v="3"/>
    <x v="27"/>
    <x v="2"/>
    <x v="13"/>
    <x v="1"/>
    <x v="0"/>
    <x v="159"/>
    <x v="0"/>
  </r>
  <r>
    <x v="0"/>
    <x v="3"/>
    <x v="28"/>
    <x v="13"/>
    <x v="9"/>
    <x v="1"/>
    <x v="0"/>
    <x v="107"/>
    <x v="0"/>
  </r>
  <r>
    <x v="0"/>
    <x v="4"/>
    <x v="0"/>
    <x v="9"/>
    <x v="13"/>
    <x v="0"/>
    <x v="1"/>
    <x v="44"/>
    <x v="0"/>
  </r>
  <r>
    <x v="0"/>
    <x v="4"/>
    <x v="1"/>
    <x v="13"/>
    <x v="2"/>
    <x v="0"/>
    <x v="1"/>
    <x v="139"/>
    <x v="0"/>
  </r>
  <r>
    <x v="0"/>
    <x v="4"/>
    <x v="2"/>
    <x v="2"/>
    <x v="8"/>
    <x v="0"/>
    <x v="1"/>
    <x v="48"/>
    <x v="0"/>
  </r>
  <r>
    <x v="0"/>
    <x v="4"/>
    <x v="3"/>
    <x v="8"/>
    <x v="12"/>
    <x v="0"/>
    <x v="1"/>
    <x v="158"/>
    <x v="0"/>
  </r>
  <r>
    <x v="0"/>
    <x v="4"/>
    <x v="4"/>
    <x v="12"/>
    <x v="13"/>
    <x v="0"/>
    <x v="1"/>
    <x v="22"/>
    <x v="0"/>
  </r>
  <r>
    <x v="0"/>
    <x v="4"/>
    <x v="5"/>
    <x v="13"/>
    <x v="2"/>
    <x v="0"/>
    <x v="1"/>
    <x v="139"/>
    <x v="0"/>
  </r>
  <r>
    <x v="0"/>
    <x v="4"/>
    <x v="6"/>
    <x v="2"/>
    <x v="8"/>
    <x v="0"/>
    <x v="1"/>
    <x v="48"/>
    <x v="0"/>
  </r>
  <r>
    <x v="0"/>
    <x v="4"/>
    <x v="7"/>
    <x v="8"/>
    <x v="12"/>
    <x v="0"/>
    <x v="1"/>
    <x v="158"/>
    <x v="0"/>
  </r>
  <r>
    <x v="0"/>
    <x v="4"/>
    <x v="8"/>
    <x v="12"/>
    <x v="13"/>
    <x v="0"/>
    <x v="1"/>
    <x v="22"/>
    <x v="0"/>
  </r>
  <r>
    <x v="0"/>
    <x v="4"/>
    <x v="9"/>
    <x v="13"/>
    <x v="4"/>
    <x v="0"/>
    <x v="1"/>
    <x v="53"/>
    <x v="0"/>
  </r>
  <r>
    <x v="0"/>
    <x v="4"/>
    <x v="10"/>
    <x v="4"/>
    <x v="8"/>
    <x v="0"/>
    <x v="1"/>
    <x v="58"/>
    <x v="0"/>
  </r>
  <r>
    <x v="0"/>
    <x v="4"/>
    <x v="11"/>
    <x v="8"/>
    <x v="13"/>
    <x v="0"/>
    <x v="1"/>
    <x v="152"/>
    <x v="0"/>
  </r>
  <r>
    <x v="0"/>
    <x v="4"/>
    <x v="12"/>
    <x v="13"/>
    <x v="12"/>
    <x v="0"/>
    <x v="1"/>
    <x v="18"/>
    <x v="0"/>
  </r>
  <r>
    <x v="0"/>
    <x v="4"/>
    <x v="13"/>
    <x v="12"/>
    <x v="0"/>
    <x v="0"/>
    <x v="1"/>
    <x v="40"/>
    <x v="0"/>
  </r>
  <r>
    <x v="0"/>
    <x v="4"/>
    <x v="14"/>
    <x v="0"/>
    <x v="8"/>
    <x v="0"/>
    <x v="1"/>
    <x v="162"/>
    <x v="0"/>
  </r>
  <r>
    <x v="0"/>
    <x v="4"/>
    <x v="15"/>
    <x v="8"/>
    <x v="12"/>
    <x v="0"/>
    <x v="1"/>
    <x v="158"/>
    <x v="0"/>
  </r>
  <r>
    <x v="0"/>
    <x v="4"/>
    <x v="16"/>
    <x v="12"/>
    <x v="13"/>
    <x v="0"/>
    <x v="1"/>
    <x v="22"/>
    <x v="0"/>
  </r>
  <r>
    <x v="0"/>
    <x v="4"/>
    <x v="17"/>
    <x v="13"/>
    <x v="4"/>
    <x v="0"/>
    <x v="1"/>
    <x v="53"/>
    <x v="0"/>
  </r>
  <r>
    <x v="0"/>
    <x v="4"/>
    <x v="18"/>
    <x v="4"/>
    <x v="8"/>
    <x v="0"/>
    <x v="1"/>
    <x v="58"/>
    <x v="0"/>
  </r>
  <r>
    <x v="0"/>
    <x v="4"/>
    <x v="19"/>
    <x v="8"/>
    <x v="13"/>
    <x v="0"/>
    <x v="1"/>
    <x v="152"/>
    <x v="0"/>
  </r>
  <r>
    <x v="0"/>
    <x v="4"/>
    <x v="20"/>
    <x v="13"/>
    <x v="12"/>
    <x v="0"/>
    <x v="1"/>
    <x v="18"/>
    <x v="0"/>
  </r>
  <r>
    <x v="0"/>
    <x v="4"/>
    <x v="21"/>
    <x v="12"/>
    <x v="2"/>
    <x v="0"/>
    <x v="1"/>
    <x v="70"/>
    <x v="0"/>
  </r>
  <r>
    <x v="0"/>
    <x v="4"/>
    <x v="22"/>
    <x v="2"/>
    <x v="8"/>
    <x v="0"/>
    <x v="1"/>
    <x v="48"/>
    <x v="0"/>
  </r>
  <r>
    <x v="0"/>
    <x v="4"/>
    <x v="23"/>
    <x v="8"/>
    <x v="13"/>
    <x v="0"/>
    <x v="1"/>
    <x v="152"/>
    <x v="0"/>
  </r>
  <r>
    <x v="0"/>
    <x v="4"/>
    <x v="24"/>
    <x v="13"/>
    <x v="12"/>
    <x v="0"/>
    <x v="1"/>
    <x v="18"/>
    <x v="0"/>
  </r>
  <r>
    <x v="0"/>
    <x v="4"/>
    <x v="25"/>
    <x v="12"/>
    <x v="2"/>
    <x v="0"/>
    <x v="1"/>
    <x v="70"/>
    <x v="0"/>
  </r>
  <r>
    <x v="0"/>
    <x v="4"/>
    <x v="26"/>
    <x v="2"/>
    <x v="8"/>
    <x v="0"/>
    <x v="1"/>
    <x v="48"/>
    <x v="0"/>
  </r>
  <r>
    <x v="0"/>
    <x v="4"/>
    <x v="27"/>
    <x v="8"/>
    <x v="13"/>
    <x v="0"/>
    <x v="1"/>
    <x v="152"/>
    <x v="0"/>
  </r>
  <r>
    <x v="0"/>
    <x v="4"/>
    <x v="28"/>
    <x v="13"/>
    <x v="9"/>
    <x v="0"/>
    <x v="1"/>
    <x v="98"/>
    <x v="0"/>
  </r>
  <r>
    <x v="0"/>
    <x v="8"/>
    <x v="0"/>
    <x v="9"/>
    <x v="13"/>
    <x v="0"/>
    <x v="1"/>
    <x v="44"/>
    <x v="0"/>
  </r>
  <r>
    <x v="0"/>
    <x v="8"/>
    <x v="1"/>
    <x v="13"/>
    <x v="2"/>
    <x v="0"/>
    <x v="1"/>
    <x v="139"/>
    <x v="0"/>
  </r>
  <r>
    <x v="0"/>
    <x v="8"/>
    <x v="2"/>
    <x v="2"/>
    <x v="8"/>
    <x v="0"/>
    <x v="1"/>
    <x v="48"/>
    <x v="0"/>
  </r>
  <r>
    <x v="0"/>
    <x v="8"/>
    <x v="3"/>
    <x v="8"/>
    <x v="12"/>
    <x v="0"/>
    <x v="1"/>
    <x v="158"/>
    <x v="0"/>
  </r>
  <r>
    <x v="0"/>
    <x v="8"/>
    <x v="4"/>
    <x v="12"/>
    <x v="13"/>
    <x v="0"/>
    <x v="1"/>
    <x v="22"/>
    <x v="0"/>
  </r>
  <r>
    <x v="0"/>
    <x v="8"/>
    <x v="5"/>
    <x v="13"/>
    <x v="2"/>
    <x v="0"/>
    <x v="1"/>
    <x v="139"/>
    <x v="0"/>
  </r>
  <r>
    <x v="0"/>
    <x v="8"/>
    <x v="6"/>
    <x v="2"/>
    <x v="8"/>
    <x v="0"/>
    <x v="1"/>
    <x v="48"/>
    <x v="0"/>
  </r>
  <r>
    <x v="0"/>
    <x v="8"/>
    <x v="7"/>
    <x v="8"/>
    <x v="12"/>
    <x v="0"/>
    <x v="1"/>
    <x v="158"/>
    <x v="0"/>
  </r>
  <r>
    <x v="0"/>
    <x v="8"/>
    <x v="8"/>
    <x v="12"/>
    <x v="13"/>
    <x v="0"/>
    <x v="1"/>
    <x v="22"/>
    <x v="0"/>
  </r>
  <r>
    <x v="0"/>
    <x v="8"/>
    <x v="9"/>
    <x v="13"/>
    <x v="4"/>
    <x v="0"/>
    <x v="1"/>
    <x v="53"/>
    <x v="0"/>
  </r>
  <r>
    <x v="0"/>
    <x v="8"/>
    <x v="10"/>
    <x v="4"/>
    <x v="8"/>
    <x v="0"/>
    <x v="1"/>
    <x v="58"/>
    <x v="0"/>
  </r>
  <r>
    <x v="0"/>
    <x v="8"/>
    <x v="11"/>
    <x v="8"/>
    <x v="13"/>
    <x v="0"/>
    <x v="1"/>
    <x v="152"/>
    <x v="0"/>
  </r>
  <r>
    <x v="0"/>
    <x v="8"/>
    <x v="12"/>
    <x v="13"/>
    <x v="12"/>
    <x v="0"/>
    <x v="1"/>
    <x v="18"/>
    <x v="0"/>
  </r>
  <r>
    <x v="0"/>
    <x v="8"/>
    <x v="13"/>
    <x v="12"/>
    <x v="0"/>
    <x v="0"/>
    <x v="1"/>
    <x v="40"/>
    <x v="0"/>
  </r>
  <r>
    <x v="0"/>
    <x v="8"/>
    <x v="14"/>
    <x v="0"/>
    <x v="8"/>
    <x v="0"/>
    <x v="1"/>
    <x v="162"/>
    <x v="0"/>
  </r>
  <r>
    <x v="0"/>
    <x v="8"/>
    <x v="15"/>
    <x v="8"/>
    <x v="12"/>
    <x v="0"/>
    <x v="1"/>
    <x v="158"/>
    <x v="0"/>
  </r>
  <r>
    <x v="0"/>
    <x v="8"/>
    <x v="16"/>
    <x v="12"/>
    <x v="13"/>
    <x v="0"/>
    <x v="1"/>
    <x v="22"/>
    <x v="0"/>
  </r>
  <r>
    <x v="0"/>
    <x v="8"/>
    <x v="17"/>
    <x v="13"/>
    <x v="4"/>
    <x v="0"/>
    <x v="1"/>
    <x v="53"/>
    <x v="0"/>
  </r>
  <r>
    <x v="0"/>
    <x v="8"/>
    <x v="18"/>
    <x v="4"/>
    <x v="8"/>
    <x v="0"/>
    <x v="1"/>
    <x v="58"/>
    <x v="0"/>
  </r>
  <r>
    <x v="0"/>
    <x v="8"/>
    <x v="19"/>
    <x v="8"/>
    <x v="13"/>
    <x v="0"/>
    <x v="1"/>
    <x v="152"/>
    <x v="0"/>
  </r>
  <r>
    <x v="0"/>
    <x v="8"/>
    <x v="20"/>
    <x v="13"/>
    <x v="12"/>
    <x v="0"/>
    <x v="1"/>
    <x v="18"/>
    <x v="0"/>
  </r>
  <r>
    <x v="0"/>
    <x v="8"/>
    <x v="21"/>
    <x v="12"/>
    <x v="2"/>
    <x v="0"/>
    <x v="1"/>
    <x v="70"/>
    <x v="0"/>
  </r>
  <r>
    <x v="0"/>
    <x v="8"/>
    <x v="22"/>
    <x v="2"/>
    <x v="8"/>
    <x v="0"/>
    <x v="1"/>
    <x v="48"/>
    <x v="0"/>
  </r>
  <r>
    <x v="0"/>
    <x v="8"/>
    <x v="23"/>
    <x v="8"/>
    <x v="13"/>
    <x v="0"/>
    <x v="1"/>
    <x v="152"/>
    <x v="0"/>
  </r>
  <r>
    <x v="0"/>
    <x v="8"/>
    <x v="24"/>
    <x v="13"/>
    <x v="12"/>
    <x v="0"/>
    <x v="1"/>
    <x v="18"/>
    <x v="0"/>
  </r>
  <r>
    <x v="0"/>
    <x v="8"/>
    <x v="25"/>
    <x v="12"/>
    <x v="2"/>
    <x v="0"/>
    <x v="1"/>
    <x v="70"/>
    <x v="0"/>
  </r>
  <r>
    <x v="0"/>
    <x v="8"/>
    <x v="26"/>
    <x v="2"/>
    <x v="8"/>
    <x v="0"/>
    <x v="1"/>
    <x v="48"/>
    <x v="0"/>
  </r>
  <r>
    <x v="0"/>
    <x v="8"/>
    <x v="27"/>
    <x v="8"/>
    <x v="13"/>
    <x v="0"/>
    <x v="1"/>
    <x v="152"/>
    <x v="0"/>
  </r>
  <r>
    <x v="0"/>
    <x v="8"/>
    <x v="28"/>
    <x v="13"/>
    <x v="9"/>
    <x v="0"/>
    <x v="1"/>
    <x v="98"/>
    <x v="0"/>
  </r>
  <r>
    <x v="0"/>
    <x v="9"/>
    <x v="0"/>
    <x v="9"/>
    <x v="14"/>
    <x v="4"/>
    <x v="0"/>
    <x v="37"/>
    <x v="0"/>
  </r>
  <r>
    <x v="0"/>
    <x v="9"/>
    <x v="1"/>
    <x v="14"/>
    <x v="8"/>
    <x v="4"/>
    <x v="0"/>
    <x v="145"/>
    <x v="0"/>
  </r>
  <r>
    <x v="0"/>
    <x v="9"/>
    <x v="2"/>
    <x v="8"/>
    <x v="2"/>
    <x v="4"/>
    <x v="0"/>
    <x v="91"/>
    <x v="0"/>
  </r>
  <r>
    <x v="0"/>
    <x v="9"/>
    <x v="3"/>
    <x v="2"/>
    <x v="12"/>
    <x v="4"/>
    <x v="0"/>
    <x v="81"/>
    <x v="0"/>
  </r>
  <r>
    <x v="0"/>
    <x v="9"/>
    <x v="4"/>
    <x v="12"/>
    <x v="14"/>
    <x v="4"/>
    <x v="0"/>
    <x v="113"/>
    <x v="0"/>
  </r>
  <r>
    <x v="0"/>
    <x v="9"/>
    <x v="5"/>
    <x v="14"/>
    <x v="8"/>
    <x v="4"/>
    <x v="0"/>
    <x v="145"/>
    <x v="0"/>
  </r>
  <r>
    <x v="0"/>
    <x v="9"/>
    <x v="6"/>
    <x v="8"/>
    <x v="2"/>
    <x v="4"/>
    <x v="0"/>
    <x v="91"/>
    <x v="0"/>
  </r>
  <r>
    <x v="0"/>
    <x v="9"/>
    <x v="7"/>
    <x v="2"/>
    <x v="12"/>
    <x v="4"/>
    <x v="0"/>
    <x v="81"/>
    <x v="0"/>
  </r>
  <r>
    <x v="0"/>
    <x v="9"/>
    <x v="8"/>
    <x v="12"/>
    <x v="14"/>
    <x v="4"/>
    <x v="0"/>
    <x v="113"/>
    <x v="0"/>
  </r>
  <r>
    <x v="0"/>
    <x v="9"/>
    <x v="9"/>
    <x v="14"/>
    <x v="8"/>
    <x v="4"/>
    <x v="0"/>
    <x v="145"/>
    <x v="0"/>
  </r>
  <r>
    <x v="0"/>
    <x v="9"/>
    <x v="10"/>
    <x v="8"/>
    <x v="4"/>
    <x v="4"/>
    <x v="0"/>
    <x v="156"/>
    <x v="0"/>
  </r>
  <r>
    <x v="0"/>
    <x v="9"/>
    <x v="11"/>
    <x v="4"/>
    <x v="14"/>
    <x v="4"/>
    <x v="0"/>
    <x v="66"/>
    <x v="0"/>
  </r>
  <r>
    <x v="0"/>
    <x v="9"/>
    <x v="12"/>
    <x v="14"/>
    <x v="12"/>
    <x v="4"/>
    <x v="0"/>
    <x v="101"/>
    <x v="0"/>
  </r>
  <r>
    <x v="0"/>
    <x v="9"/>
    <x v="13"/>
    <x v="12"/>
    <x v="8"/>
    <x v="4"/>
    <x v="0"/>
    <x v="112"/>
    <x v="0"/>
  </r>
  <r>
    <x v="0"/>
    <x v="9"/>
    <x v="14"/>
    <x v="8"/>
    <x v="0"/>
    <x v="4"/>
    <x v="0"/>
    <x v="57"/>
    <x v="0"/>
  </r>
  <r>
    <x v="0"/>
    <x v="9"/>
    <x v="15"/>
    <x v="0"/>
    <x v="12"/>
    <x v="4"/>
    <x v="0"/>
    <x v="121"/>
    <x v="0"/>
  </r>
  <r>
    <x v="0"/>
    <x v="9"/>
    <x v="16"/>
    <x v="12"/>
    <x v="14"/>
    <x v="4"/>
    <x v="0"/>
    <x v="113"/>
    <x v="0"/>
  </r>
  <r>
    <x v="0"/>
    <x v="9"/>
    <x v="17"/>
    <x v="14"/>
    <x v="8"/>
    <x v="4"/>
    <x v="0"/>
    <x v="145"/>
    <x v="0"/>
  </r>
  <r>
    <x v="0"/>
    <x v="9"/>
    <x v="18"/>
    <x v="8"/>
    <x v="4"/>
    <x v="4"/>
    <x v="0"/>
    <x v="156"/>
    <x v="0"/>
  </r>
  <r>
    <x v="0"/>
    <x v="9"/>
    <x v="19"/>
    <x v="4"/>
    <x v="14"/>
    <x v="4"/>
    <x v="0"/>
    <x v="66"/>
    <x v="0"/>
  </r>
  <r>
    <x v="0"/>
    <x v="9"/>
    <x v="20"/>
    <x v="14"/>
    <x v="12"/>
    <x v="4"/>
    <x v="0"/>
    <x v="101"/>
    <x v="0"/>
  </r>
  <r>
    <x v="0"/>
    <x v="9"/>
    <x v="21"/>
    <x v="12"/>
    <x v="8"/>
    <x v="4"/>
    <x v="1"/>
    <x v="19"/>
    <x v="0"/>
  </r>
  <r>
    <x v="0"/>
    <x v="9"/>
    <x v="22"/>
    <x v="8"/>
    <x v="2"/>
    <x v="4"/>
    <x v="0"/>
    <x v="91"/>
    <x v="0"/>
  </r>
  <r>
    <x v="0"/>
    <x v="9"/>
    <x v="23"/>
    <x v="2"/>
    <x v="14"/>
    <x v="4"/>
    <x v="0"/>
    <x v="126"/>
    <x v="0"/>
  </r>
  <r>
    <x v="0"/>
    <x v="9"/>
    <x v="24"/>
    <x v="14"/>
    <x v="12"/>
    <x v="4"/>
    <x v="0"/>
    <x v="101"/>
    <x v="0"/>
  </r>
  <r>
    <x v="0"/>
    <x v="9"/>
    <x v="25"/>
    <x v="12"/>
    <x v="8"/>
    <x v="4"/>
    <x v="1"/>
    <x v="19"/>
    <x v="0"/>
  </r>
  <r>
    <x v="0"/>
    <x v="9"/>
    <x v="26"/>
    <x v="8"/>
    <x v="2"/>
    <x v="4"/>
    <x v="0"/>
    <x v="91"/>
    <x v="0"/>
  </r>
  <r>
    <x v="0"/>
    <x v="9"/>
    <x v="27"/>
    <x v="2"/>
    <x v="14"/>
    <x v="4"/>
    <x v="0"/>
    <x v="126"/>
    <x v="0"/>
  </r>
  <r>
    <x v="0"/>
    <x v="9"/>
    <x v="28"/>
    <x v="14"/>
    <x v="9"/>
    <x v="4"/>
    <x v="0"/>
    <x v="63"/>
    <x v="0"/>
  </r>
  <r>
    <x v="1"/>
    <x v="0"/>
    <x v="0"/>
    <x v="9"/>
    <x v="13"/>
    <x v="3"/>
    <x v="0"/>
    <x v="106"/>
    <x v="0"/>
  </r>
  <r>
    <x v="1"/>
    <x v="0"/>
    <x v="1"/>
    <x v="13"/>
    <x v="2"/>
    <x v="3"/>
    <x v="0"/>
    <x v="82"/>
    <x v="0"/>
  </r>
  <r>
    <x v="1"/>
    <x v="0"/>
    <x v="2"/>
    <x v="2"/>
    <x v="8"/>
    <x v="3"/>
    <x v="0"/>
    <x v="87"/>
    <x v="0"/>
  </r>
  <r>
    <x v="1"/>
    <x v="0"/>
    <x v="3"/>
    <x v="8"/>
    <x v="12"/>
    <x v="3"/>
    <x v="0"/>
    <x v="8"/>
    <x v="0"/>
  </r>
  <r>
    <x v="1"/>
    <x v="0"/>
    <x v="4"/>
    <x v="12"/>
    <x v="13"/>
    <x v="3"/>
    <x v="0"/>
    <x v="151"/>
    <x v="0"/>
  </r>
  <r>
    <x v="1"/>
    <x v="0"/>
    <x v="5"/>
    <x v="13"/>
    <x v="2"/>
    <x v="3"/>
    <x v="0"/>
    <x v="82"/>
    <x v="0"/>
  </r>
  <r>
    <x v="1"/>
    <x v="0"/>
    <x v="6"/>
    <x v="2"/>
    <x v="8"/>
    <x v="3"/>
    <x v="0"/>
    <x v="87"/>
    <x v="0"/>
  </r>
  <r>
    <x v="1"/>
    <x v="0"/>
    <x v="7"/>
    <x v="8"/>
    <x v="12"/>
    <x v="3"/>
    <x v="0"/>
    <x v="8"/>
    <x v="0"/>
  </r>
  <r>
    <x v="1"/>
    <x v="0"/>
    <x v="8"/>
    <x v="12"/>
    <x v="13"/>
    <x v="3"/>
    <x v="0"/>
    <x v="151"/>
    <x v="0"/>
  </r>
  <r>
    <x v="1"/>
    <x v="0"/>
    <x v="9"/>
    <x v="13"/>
    <x v="2"/>
    <x v="3"/>
    <x v="0"/>
    <x v="82"/>
    <x v="0"/>
  </r>
  <r>
    <x v="1"/>
    <x v="0"/>
    <x v="10"/>
    <x v="2"/>
    <x v="8"/>
    <x v="3"/>
    <x v="0"/>
    <x v="87"/>
    <x v="0"/>
  </r>
  <r>
    <x v="1"/>
    <x v="0"/>
    <x v="11"/>
    <x v="8"/>
    <x v="12"/>
    <x v="3"/>
    <x v="0"/>
    <x v="8"/>
    <x v="0"/>
  </r>
  <r>
    <x v="1"/>
    <x v="0"/>
    <x v="12"/>
    <x v="12"/>
    <x v="13"/>
    <x v="3"/>
    <x v="0"/>
    <x v="151"/>
    <x v="0"/>
  </r>
  <r>
    <x v="1"/>
    <x v="0"/>
    <x v="13"/>
    <x v="13"/>
    <x v="2"/>
    <x v="3"/>
    <x v="0"/>
    <x v="82"/>
    <x v="0"/>
  </r>
  <r>
    <x v="1"/>
    <x v="0"/>
    <x v="14"/>
    <x v="2"/>
    <x v="8"/>
    <x v="3"/>
    <x v="0"/>
    <x v="87"/>
    <x v="0"/>
  </r>
  <r>
    <x v="1"/>
    <x v="0"/>
    <x v="15"/>
    <x v="8"/>
    <x v="13"/>
    <x v="3"/>
    <x v="0"/>
    <x v="46"/>
    <x v="0"/>
  </r>
  <r>
    <x v="1"/>
    <x v="0"/>
    <x v="16"/>
    <x v="13"/>
    <x v="12"/>
    <x v="3"/>
    <x v="0"/>
    <x v="120"/>
    <x v="0"/>
  </r>
  <r>
    <x v="1"/>
    <x v="0"/>
    <x v="17"/>
    <x v="12"/>
    <x v="2"/>
    <x v="3"/>
    <x v="0"/>
    <x v="39"/>
    <x v="0"/>
  </r>
  <r>
    <x v="1"/>
    <x v="0"/>
    <x v="18"/>
    <x v="2"/>
    <x v="8"/>
    <x v="3"/>
    <x v="0"/>
    <x v="87"/>
    <x v="0"/>
  </r>
  <r>
    <x v="1"/>
    <x v="0"/>
    <x v="19"/>
    <x v="8"/>
    <x v="13"/>
    <x v="3"/>
    <x v="0"/>
    <x v="46"/>
    <x v="0"/>
  </r>
  <r>
    <x v="1"/>
    <x v="0"/>
    <x v="20"/>
    <x v="13"/>
    <x v="12"/>
    <x v="3"/>
    <x v="0"/>
    <x v="120"/>
    <x v="0"/>
  </r>
  <r>
    <x v="1"/>
    <x v="0"/>
    <x v="21"/>
    <x v="12"/>
    <x v="2"/>
    <x v="3"/>
    <x v="0"/>
    <x v="39"/>
    <x v="0"/>
  </r>
  <r>
    <x v="1"/>
    <x v="0"/>
    <x v="22"/>
    <x v="2"/>
    <x v="8"/>
    <x v="3"/>
    <x v="0"/>
    <x v="87"/>
    <x v="0"/>
  </r>
  <r>
    <x v="1"/>
    <x v="0"/>
    <x v="23"/>
    <x v="8"/>
    <x v="13"/>
    <x v="3"/>
    <x v="0"/>
    <x v="46"/>
    <x v="0"/>
  </r>
  <r>
    <x v="1"/>
    <x v="0"/>
    <x v="24"/>
    <x v="13"/>
    <x v="12"/>
    <x v="3"/>
    <x v="0"/>
    <x v="120"/>
    <x v="0"/>
  </r>
  <r>
    <x v="1"/>
    <x v="0"/>
    <x v="25"/>
    <x v="12"/>
    <x v="2"/>
    <x v="3"/>
    <x v="0"/>
    <x v="39"/>
    <x v="0"/>
  </r>
  <r>
    <x v="1"/>
    <x v="0"/>
    <x v="26"/>
    <x v="2"/>
    <x v="8"/>
    <x v="3"/>
    <x v="0"/>
    <x v="87"/>
    <x v="0"/>
  </r>
  <r>
    <x v="1"/>
    <x v="0"/>
    <x v="27"/>
    <x v="8"/>
    <x v="13"/>
    <x v="3"/>
    <x v="0"/>
    <x v="46"/>
    <x v="0"/>
  </r>
  <r>
    <x v="1"/>
    <x v="0"/>
    <x v="28"/>
    <x v="13"/>
    <x v="9"/>
    <x v="3"/>
    <x v="0"/>
    <x v="89"/>
    <x v="0"/>
  </r>
  <r>
    <x v="1"/>
    <x v="1"/>
    <x v="0"/>
    <x v="9"/>
    <x v="13"/>
    <x v="0"/>
    <x v="0"/>
    <x v="75"/>
    <x v="0"/>
  </r>
  <r>
    <x v="1"/>
    <x v="1"/>
    <x v="1"/>
    <x v="13"/>
    <x v="8"/>
    <x v="0"/>
    <x v="0"/>
    <x v="163"/>
    <x v="0"/>
  </r>
  <r>
    <x v="1"/>
    <x v="1"/>
    <x v="2"/>
    <x v="8"/>
    <x v="2"/>
    <x v="0"/>
    <x v="0"/>
    <x v="32"/>
    <x v="0"/>
  </r>
  <r>
    <x v="1"/>
    <x v="1"/>
    <x v="3"/>
    <x v="2"/>
    <x v="12"/>
    <x v="0"/>
    <x v="0"/>
    <x v="38"/>
    <x v="0"/>
  </r>
  <r>
    <x v="1"/>
    <x v="1"/>
    <x v="4"/>
    <x v="12"/>
    <x v="13"/>
    <x v="0"/>
    <x v="0"/>
    <x v="137"/>
    <x v="0"/>
  </r>
  <r>
    <x v="1"/>
    <x v="1"/>
    <x v="5"/>
    <x v="13"/>
    <x v="8"/>
    <x v="0"/>
    <x v="0"/>
    <x v="163"/>
    <x v="0"/>
  </r>
  <r>
    <x v="1"/>
    <x v="1"/>
    <x v="6"/>
    <x v="8"/>
    <x v="2"/>
    <x v="0"/>
    <x v="0"/>
    <x v="32"/>
    <x v="0"/>
  </r>
  <r>
    <x v="1"/>
    <x v="1"/>
    <x v="7"/>
    <x v="2"/>
    <x v="12"/>
    <x v="0"/>
    <x v="0"/>
    <x v="38"/>
    <x v="0"/>
  </r>
  <r>
    <x v="1"/>
    <x v="1"/>
    <x v="8"/>
    <x v="12"/>
    <x v="13"/>
    <x v="0"/>
    <x v="0"/>
    <x v="137"/>
    <x v="0"/>
  </r>
  <r>
    <x v="1"/>
    <x v="1"/>
    <x v="9"/>
    <x v="13"/>
    <x v="8"/>
    <x v="0"/>
    <x v="0"/>
    <x v="163"/>
    <x v="0"/>
  </r>
  <r>
    <x v="1"/>
    <x v="1"/>
    <x v="10"/>
    <x v="8"/>
    <x v="2"/>
    <x v="0"/>
    <x v="0"/>
    <x v="32"/>
    <x v="0"/>
  </r>
  <r>
    <x v="1"/>
    <x v="1"/>
    <x v="11"/>
    <x v="2"/>
    <x v="12"/>
    <x v="0"/>
    <x v="0"/>
    <x v="38"/>
    <x v="0"/>
  </r>
  <r>
    <x v="1"/>
    <x v="1"/>
    <x v="12"/>
    <x v="12"/>
    <x v="13"/>
    <x v="0"/>
    <x v="0"/>
    <x v="137"/>
    <x v="0"/>
  </r>
  <r>
    <x v="1"/>
    <x v="1"/>
    <x v="13"/>
    <x v="13"/>
    <x v="8"/>
    <x v="0"/>
    <x v="0"/>
    <x v="163"/>
    <x v="0"/>
  </r>
  <r>
    <x v="1"/>
    <x v="1"/>
    <x v="14"/>
    <x v="8"/>
    <x v="2"/>
    <x v="0"/>
    <x v="0"/>
    <x v="32"/>
    <x v="0"/>
  </r>
  <r>
    <x v="1"/>
    <x v="1"/>
    <x v="15"/>
    <x v="2"/>
    <x v="13"/>
    <x v="0"/>
    <x v="0"/>
    <x v="143"/>
    <x v="0"/>
  </r>
  <r>
    <x v="1"/>
    <x v="1"/>
    <x v="16"/>
    <x v="13"/>
    <x v="12"/>
    <x v="0"/>
    <x v="0"/>
    <x v="51"/>
    <x v="0"/>
  </r>
  <r>
    <x v="1"/>
    <x v="1"/>
    <x v="17"/>
    <x v="12"/>
    <x v="8"/>
    <x v="0"/>
    <x v="0"/>
    <x v="5"/>
    <x v="0"/>
  </r>
  <r>
    <x v="1"/>
    <x v="1"/>
    <x v="18"/>
    <x v="8"/>
    <x v="2"/>
    <x v="0"/>
    <x v="0"/>
    <x v="32"/>
    <x v="0"/>
  </r>
  <r>
    <x v="1"/>
    <x v="1"/>
    <x v="19"/>
    <x v="2"/>
    <x v="13"/>
    <x v="0"/>
    <x v="0"/>
    <x v="143"/>
    <x v="0"/>
  </r>
  <r>
    <x v="1"/>
    <x v="1"/>
    <x v="20"/>
    <x v="13"/>
    <x v="12"/>
    <x v="0"/>
    <x v="0"/>
    <x v="51"/>
    <x v="0"/>
  </r>
  <r>
    <x v="1"/>
    <x v="1"/>
    <x v="21"/>
    <x v="12"/>
    <x v="8"/>
    <x v="0"/>
    <x v="0"/>
    <x v="5"/>
    <x v="0"/>
  </r>
  <r>
    <x v="1"/>
    <x v="1"/>
    <x v="22"/>
    <x v="8"/>
    <x v="2"/>
    <x v="0"/>
    <x v="0"/>
    <x v="32"/>
    <x v="0"/>
  </r>
  <r>
    <x v="1"/>
    <x v="1"/>
    <x v="23"/>
    <x v="2"/>
    <x v="13"/>
    <x v="0"/>
    <x v="0"/>
    <x v="143"/>
    <x v="0"/>
  </r>
  <r>
    <x v="1"/>
    <x v="1"/>
    <x v="24"/>
    <x v="13"/>
    <x v="12"/>
    <x v="0"/>
    <x v="0"/>
    <x v="51"/>
    <x v="0"/>
  </r>
  <r>
    <x v="1"/>
    <x v="1"/>
    <x v="25"/>
    <x v="12"/>
    <x v="8"/>
    <x v="0"/>
    <x v="0"/>
    <x v="5"/>
    <x v="0"/>
  </r>
  <r>
    <x v="1"/>
    <x v="1"/>
    <x v="26"/>
    <x v="8"/>
    <x v="2"/>
    <x v="0"/>
    <x v="0"/>
    <x v="32"/>
    <x v="0"/>
  </r>
  <r>
    <x v="1"/>
    <x v="1"/>
    <x v="27"/>
    <x v="2"/>
    <x v="13"/>
    <x v="0"/>
    <x v="0"/>
    <x v="143"/>
    <x v="0"/>
  </r>
  <r>
    <x v="1"/>
    <x v="1"/>
    <x v="28"/>
    <x v="13"/>
    <x v="9"/>
    <x v="0"/>
    <x v="0"/>
    <x v="122"/>
    <x v="0"/>
  </r>
  <r>
    <x v="1"/>
    <x v="2"/>
    <x v="0"/>
    <x v="9"/>
    <x v="13"/>
    <x v="0"/>
    <x v="0"/>
    <x v="75"/>
    <x v="0"/>
  </r>
  <r>
    <x v="1"/>
    <x v="2"/>
    <x v="1"/>
    <x v="13"/>
    <x v="2"/>
    <x v="0"/>
    <x v="0"/>
    <x v="111"/>
    <x v="0"/>
  </r>
  <r>
    <x v="1"/>
    <x v="2"/>
    <x v="2"/>
    <x v="2"/>
    <x v="8"/>
    <x v="0"/>
    <x v="0"/>
    <x v="61"/>
    <x v="0"/>
  </r>
  <r>
    <x v="1"/>
    <x v="2"/>
    <x v="3"/>
    <x v="8"/>
    <x v="12"/>
    <x v="0"/>
    <x v="0"/>
    <x v="161"/>
    <x v="0"/>
  </r>
  <r>
    <x v="1"/>
    <x v="2"/>
    <x v="4"/>
    <x v="12"/>
    <x v="13"/>
    <x v="0"/>
    <x v="0"/>
    <x v="137"/>
    <x v="0"/>
  </r>
  <r>
    <x v="1"/>
    <x v="2"/>
    <x v="5"/>
    <x v="13"/>
    <x v="2"/>
    <x v="0"/>
    <x v="0"/>
    <x v="111"/>
    <x v="0"/>
  </r>
  <r>
    <x v="1"/>
    <x v="2"/>
    <x v="6"/>
    <x v="2"/>
    <x v="8"/>
    <x v="0"/>
    <x v="0"/>
    <x v="61"/>
    <x v="0"/>
  </r>
  <r>
    <x v="1"/>
    <x v="2"/>
    <x v="7"/>
    <x v="8"/>
    <x v="12"/>
    <x v="0"/>
    <x v="0"/>
    <x v="161"/>
    <x v="0"/>
  </r>
  <r>
    <x v="1"/>
    <x v="2"/>
    <x v="8"/>
    <x v="12"/>
    <x v="13"/>
    <x v="0"/>
    <x v="0"/>
    <x v="137"/>
    <x v="0"/>
  </r>
  <r>
    <x v="1"/>
    <x v="2"/>
    <x v="9"/>
    <x v="13"/>
    <x v="2"/>
    <x v="0"/>
    <x v="0"/>
    <x v="111"/>
    <x v="0"/>
  </r>
  <r>
    <x v="1"/>
    <x v="2"/>
    <x v="10"/>
    <x v="2"/>
    <x v="8"/>
    <x v="0"/>
    <x v="0"/>
    <x v="61"/>
    <x v="0"/>
  </r>
  <r>
    <x v="1"/>
    <x v="2"/>
    <x v="11"/>
    <x v="8"/>
    <x v="12"/>
    <x v="0"/>
    <x v="0"/>
    <x v="161"/>
    <x v="0"/>
  </r>
  <r>
    <x v="1"/>
    <x v="2"/>
    <x v="12"/>
    <x v="12"/>
    <x v="13"/>
    <x v="0"/>
    <x v="0"/>
    <x v="137"/>
    <x v="0"/>
  </r>
  <r>
    <x v="1"/>
    <x v="2"/>
    <x v="13"/>
    <x v="13"/>
    <x v="2"/>
    <x v="0"/>
    <x v="0"/>
    <x v="111"/>
    <x v="0"/>
  </r>
  <r>
    <x v="1"/>
    <x v="2"/>
    <x v="14"/>
    <x v="2"/>
    <x v="8"/>
    <x v="0"/>
    <x v="0"/>
    <x v="61"/>
    <x v="0"/>
  </r>
  <r>
    <x v="1"/>
    <x v="2"/>
    <x v="15"/>
    <x v="8"/>
    <x v="13"/>
    <x v="0"/>
    <x v="0"/>
    <x v="1"/>
    <x v="0"/>
  </r>
  <r>
    <x v="1"/>
    <x v="2"/>
    <x v="16"/>
    <x v="13"/>
    <x v="12"/>
    <x v="0"/>
    <x v="0"/>
    <x v="51"/>
    <x v="0"/>
  </r>
  <r>
    <x v="1"/>
    <x v="2"/>
    <x v="17"/>
    <x v="12"/>
    <x v="2"/>
    <x v="0"/>
    <x v="0"/>
    <x v="117"/>
    <x v="0"/>
  </r>
  <r>
    <x v="1"/>
    <x v="2"/>
    <x v="18"/>
    <x v="2"/>
    <x v="8"/>
    <x v="0"/>
    <x v="0"/>
    <x v="61"/>
    <x v="0"/>
  </r>
  <r>
    <x v="1"/>
    <x v="2"/>
    <x v="19"/>
    <x v="8"/>
    <x v="13"/>
    <x v="0"/>
    <x v="0"/>
    <x v="1"/>
    <x v="0"/>
  </r>
  <r>
    <x v="1"/>
    <x v="2"/>
    <x v="20"/>
    <x v="13"/>
    <x v="12"/>
    <x v="0"/>
    <x v="0"/>
    <x v="51"/>
    <x v="0"/>
  </r>
  <r>
    <x v="1"/>
    <x v="2"/>
    <x v="21"/>
    <x v="12"/>
    <x v="2"/>
    <x v="0"/>
    <x v="0"/>
    <x v="117"/>
    <x v="0"/>
  </r>
  <r>
    <x v="1"/>
    <x v="2"/>
    <x v="22"/>
    <x v="2"/>
    <x v="8"/>
    <x v="0"/>
    <x v="0"/>
    <x v="61"/>
    <x v="0"/>
  </r>
  <r>
    <x v="1"/>
    <x v="2"/>
    <x v="23"/>
    <x v="8"/>
    <x v="13"/>
    <x v="0"/>
    <x v="0"/>
    <x v="1"/>
    <x v="0"/>
  </r>
  <r>
    <x v="1"/>
    <x v="2"/>
    <x v="24"/>
    <x v="13"/>
    <x v="12"/>
    <x v="0"/>
    <x v="0"/>
    <x v="51"/>
    <x v="0"/>
  </r>
  <r>
    <x v="1"/>
    <x v="2"/>
    <x v="25"/>
    <x v="12"/>
    <x v="2"/>
    <x v="0"/>
    <x v="0"/>
    <x v="117"/>
    <x v="0"/>
  </r>
  <r>
    <x v="1"/>
    <x v="2"/>
    <x v="26"/>
    <x v="2"/>
    <x v="8"/>
    <x v="0"/>
    <x v="0"/>
    <x v="61"/>
    <x v="0"/>
  </r>
  <r>
    <x v="1"/>
    <x v="2"/>
    <x v="27"/>
    <x v="8"/>
    <x v="13"/>
    <x v="0"/>
    <x v="0"/>
    <x v="1"/>
    <x v="0"/>
  </r>
  <r>
    <x v="1"/>
    <x v="2"/>
    <x v="28"/>
    <x v="13"/>
    <x v="9"/>
    <x v="0"/>
    <x v="0"/>
    <x v="122"/>
    <x v="0"/>
  </r>
  <r>
    <x v="1"/>
    <x v="3"/>
    <x v="0"/>
    <x v="9"/>
    <x v="13"/>
    <x v="1"/>
    <x v="0"/>
    <x v="7"/>
    <x v="0"/>
  </r>
  <r>
    <x v="1"/>
    <x v="3"/>
    <x v="1"/>
    <x v="13"/>
    <x v="8"/>
    <x v="1"/>
    <x v="0"/>
    <x v="20"/>
    <x v="0"/>
  </r>
  <r>
    <x v="1"/>
    <x v="3"/>
    <x v="2"/>
    <x v="8"/>
    <x v="2"/>
    <x v="1"/>
    <x v="0"/>
    <x v="88"/>
    <x v="0"/>
  </r>
  <r>
    <x v="1"/>
    <x v="3"/>
    <x v="3"/>
    <x v="2"/>
    <x v="12"/>
    <x v="1"/>
    <x v="0"/>
    <x v="14"/>
    <x v="0"/>
  </r>
  <r>
    <x v="1"/>
    <x v="3"/>
    <x v="4"/>
    <x v="12"/>
    <x v="13"/>
    <x v="1"/>
    <x v="0"/>
    <x v="79"/>
    <x v="0"/>
  </r>
  <r>
    <x v="1"/>
    <x v="3"/>
    <x v="5"/>
    <x v="13"/>
    <x v="8"/>
    <x v="1"/>
    <x v="0"/>
    <x v="20"/>
    <x v="0"/>
  </r>
  <r>
    <x v="1"/>
    <x v="3"/>
    <x v="6"/>
    <x v="8"/>
    <x v="2"/>
    <x v="1"/>
    <x v="0"/>
    <x v="88"/>
    <x v="0"/>
  </r>
  <r>
    <x v="1"/>
    <x v="3"/>
    <x v="7"/>
    <x v="2"/>
    <x v="12"/>
    <x v="1"/>
    <x v="0"/>
    <x v="14"/>
    <x v="0"/>
  </r>
  <r>
    <x v="1"/>
    <x v="3"/>
    <x v="8"/>
    <x v="12"/>
    <x v="13"/>
    <x v="1"/>
    <x v="0"/>
    <x v="79"/>
    <x v="0"/>
  </r>
  <r>
    <x v="1"/>
    <x v="3"/>
    <x v="9"/>
    <x v="13"/>
    <x v="8"/>
    <x v="1"/>
    <x v="0"/>
    <x v="20"/>
    <x v="0"/>
  </r>
  <r>
    <x v="1"/>
    <x v="3"/>
    <x v="10"/>
    <x v="8"/>
    <x v="2"/>
    <x v="1"/>
    <x v="0"/>
    <x v="88"/>
    <x v="0"/>
  </r>
  <r>
    <x v="1"/>
    <x v="3"/>
    <x v="11"/>
    <x v="2"/>
    <x v="12"/>
    <x v="1"/>
    <x v="0"/>
    <x v="14"/>
    <x v="0"/>
  </r>
  <r>
    <x v="1"/>
    <x v="3"/>
    <x v="12"/>
    <x v="12"/>
    <x v="13"/>
    <x v="1"/>
    <x v="0"/>
    <x v="79"/>
    <x v="0"/>
  </r>
  <r>
    <x v="1"/>
    <x v="3"/>
    <x v="13"/>
    <x v="13"/>
    <x v="8"/>
    <x v="1"/>
    <x v="0"/>
    <x v="20"/>
    <x v="0"/>
  </r>
  <r>
    <x v="1"/>
    <x v="3"/>
    <x v="14"/>
    <x v="8"/>
    <x v="2"/>
    <x v="1"/>
    <x v="1"/>
    <x v="49"/>
    <x v="0"/>
  </r>
  <r>
    <x v="1"/>
    <x v="3"/>
    <x v="15"/>
    <x v="2"/>
    <x v="13"/>
    <x v="1"/>
    <x v="0"/>
    <x v="159"/>
    <x v="0"/>
  </r>
  <r>
    <x v="1"/>
    <x v="3"/>
    <x v="16"/>
    <x v="13"/>
    <x v="12"/>
    <x v="1"/>
    <x v="0"/>
    <x v="123"/>
    <x v="0"/>
  </r>
  <r>
    <x v="1"/>
    <x v="3"/>
    <x v="17"/>
    <x v="12"/>
    <x v="8"/>
    <x v="1"/>
    <x v="0"/>
    <x v="146"/>
    <x v="0"/>
  </r>
  <r>
    <x v="1"/>
    <x v="3"/>
    <x v="18"/>
    <x v="8"/>
    <x v="2"/>
    <x v="1"/>
    <x v="0"/>
    <x v="88"/>
    <x v="0"/>
  </r>
  <r>
    <x v="1"/>
    <x v="3"/>
    <x v="19"/>
    <x v="2"/>
    <x v="13"/>
    <x v="1"/>
    <x v="0"/>
    <x v="159"/>
    <x v="0"/>
  </r>
  <r>
    <x v="1"/>
    <x v="3"/>
    <x v="20"/>
    <x v="13"/>
    <x v="12"/>
    <x v="1"/>
    <x v="0"/>
    <x v="123"/>
    <x v="0"/>
  </r>
  <r>
    <x v="1"/>
    <x v="3"/>
    <x v="21"/>
    <x v="12"/>
    <x v="8"/>
    <x v="1"/>
    <x v="0"/>
    <x v="146"/>
    <x v="0"/>
  </r>
  <r>
    <x v="1"/>
    <x v="3"/>
    <x v="22"/>
    <x v="8"/>
    <x v="2"/>
    <x v="1"/>
    <x v="0"/>
    <x v="88"/>
    <x v="0"/>
  </r>
  <r>
    <x v="1"/>
    <x v="3"/>
    <x v="23"/>
    <x v="2"/>
    <x v="13"/>
    <x v="1"/>
    <x v="0"/>
    <x v="159"/>
    <x v="0"/>
  </r>
  <r>
    <x v="1"/>
    <x v="3"/>
    <x v="24"/>
    <x v="13"/>
    <x v="12"/>
    <x v="1"/>
    <x v="0"/>
    <x v="123"/>
    <x v="0"/>
  </r>
  <r>
    <x v="1"/>
    <x v="3"/>
    <x v="25"/>
    <x v="12"/>
    <x v="8"/>
    <x v="1"/>
    <x v="0"/>
    <x v="146"/>
    <x v="0"/>
  </r>
  <r>
    <x v="1"/>
    <x v="3"/>
    <x v="26"/>
    <x v="8"/>
    <x v="2"/>
    <x v="1"/>
    <x v="0"/>
    <x v="88"/>
    <x v="0"/>
  </r>
  <r>
    <x v="1"/>
    <x v="3"/>
    <x v="27"/>
    <x v="2"/>
    <x v="13"/>
    <x v="1"/>
    <x v="0"/>
    <x v="159"/>
    <x v="0"/>
  </r>
  <r>
    <x v="1"/>
    <x v="3"/>
    <x v="28"/>
    <x v="13"/>
    <x v="9"/>
    <x v="1"/>
    <x v="0"/>
    <x v="107"/>
    <x v="0"/>
  </r>
  <r>
    <x v="1"/>
    <x v="4"/>
    <x v="0"/>
    <x v="9"/>
    <x v="13"/>
    <x v="0"/>
    <x v="1"/>
    <x v="44"/>
    <x v="0"/>
  </r>
  <r>
    <x v="1"/>
    <x v="4"/>
    <x v="1"/>
    <x v="13"/>
    <x v="2"/>
    <x v="0"/>
    <x v="1"/>
    <x v="139"/>
    <x v="0"/>
  </r>
  <r>
    <x v="1"/>
    <x v="4"/>
    <x v="2"/>
    <x v="2"/>
    <x v="8"/>
    <x v="0"/>
    <x v="1"/>
    <x v="48"/>
    <x v="0"/>
  </r>
  <r>
    <x v="1"/>
    <x v="4"/>
    <x v="3"/>
    <x v="8"/>
    <x v="12"/>
    <x v="0"/>
    <x v="1"/>
    <x v="158"/>
    <x v="0"/>
  </r>
  <r>
    <x v="1"/>
    <x v="4"/>
    <x v="4"/>
    <x v="12"/>
    <x v="13"/>
    <x v="0"/>
    <x v="1"/>
    <x v="22"/>
    <x v="0"/>
  </r>
  <r>
    <x v="1"/>
    <x v="4"/>
    <x v="5"/>
    <x v="13"/>
    <x v="2"/>
    <x v="0"/>
    <x v="1"/>
    <x v="139"/>
    <x v="0"/>
  </r>
  <r>
    <x v="1"/>
    <x v="4"/>
    <x v="6"/>
    <x v="2"/>
    <x v="8"/>
    <x v="0"/>
    <x v="1"/>
    <x v="48"/>
    <x v="0"/>
  </r>
  <r>
    <x v="1"/>
    <x v="4"/>
    <x v="7"/>
    <x v="8"/>
    <x v="12"/>
    <x v="0"/>
    <x v="1"/>
    <x v="158"/>
    <x v="0"/>
  </r>
  <r>
    <x v="1"/>
    <x v="4"/>
    <x v="8"/>
    <x v="12"/>
    <x v="13"/>
    <x v="0"/>
    <x v="1"/>
    <x v="22"/>
    <x v="0"/>
  </r>
  <r>
    <x v="1"/>
    <x v="4"/>
    <x v="9"/>
    <x v="13"/>
    <x v="2"/>
    <x v="0"/>
    <x v="1"/>
    <x v="139"/>
    <x v="0"/>
  </r>
  <r>
    <x v="1"/>
    <x v="4"/>
    <x v="10"/>
    <x v="2"/>
    <x v="8"/>
    <x v="0"/>
    <x v="1"/>
    <x v="48"/>
    <x v="0"/>
  </r>
  <r>
    <x v="1"/>
    <x v="4"/>
    <x v="11"/>
    <x v="8"/>
    <x v="12"/>
    <x v="0"/>
    <x v="1"/>
    <x v="158"/>
    <x v="0"/>
  </r>
  <r>
    <x v="1"/>
    <x v="4"/>
    <x v="12"/>
    <x v="12"/>
    <x v="13"/>
    <x v="0"/>
    <x v="1"/>
    <x v="22"/>
    <x v="0"/>
  </r>
  <r>
    <x v="1"/>
    <x v="4"/>
    <x v="13"/>
    <x v="13"/>
    <x v="2"/>
    <x v="0"/>
    <x v="2"/>
    <x v="2"/>
    <x v="0"/>
  </r>
  <r>
    <x v="1"/>
    <x v="4"/>
    <x v="14"/>
    <x v="2"/>
    <x v="8"/>
    <x v="0"/>
    <x v="2"/>
    <x v="69"/>
    <x v="0"/>
  </r>
  <r>
    <x v="1"/>
    <x v="4"/>
    <x v="15"/>
    <x v="8"/>
    <x v="13"/>
    <x v="0"/>
    <x v="1"/>
    <x v="152"/>
    <x v="0"/>
  </r>
  <r>
    <x v="1"/>
    <x v="4"/>
    <x v="16"/>
    <x v="13"/>
    <x v="12"/>
    <x v="0"/>
    <x v="1"/>
    <x v="18"/>
    <x v="0"/>
  </r>
  <r>
    <x v="1"/>
    <x v="4"/>
    <x v="17"/>
    <x v="12"/>
    <x v="2"/>
    <x v="0"/>
    <x v="1"/>
    <x v="70"/>
    <x v="0"/>
  </r>
  <r>
    <x v="1"/>
    <x v="4"/>
    <x v="18"/>
    <x v="2"/>
    <x v="8"/>
    <x v="0"/>
    <x v="1"/>
    <x v="48"/>
    <x v="0"/>
  </r>
  <r>
    <x v="1"/>
    <x v="4"/>
    <x v="19"/>
    <x v="8"/>
    <x v="13"/>
    <x v="0"/>
    <x v="1"/>
    <x v="152"/>
    <x v="0"/>
  </r>
  <r>
    <x v="1"/>
    <x v="4"/>
    <x v="20"/>
    <x v="13"/>
    <x v="12"/>
    <x v="0"/>
    <x v="1"/>
    <x v="18"/>
    <x v="0"/>
  </r>
  <r>
    <x v="1"/>
    <x v="4"/>
    <x v="21"/>
    <x v="12"/>
    <x v="2"/>
    <x v="0"/>
    <x v="1"/>
    <x v="70"/>
    <x v="0"/>
  </r>
  <r>
    <x v="1"/>
    <x v="4"/>
    <x v="22"/>
    <x v="2"/>
    <x v="8"/>
    <x v="0"/>
    <x v="1"/>
    <x v="48"/>
    <x v="0"/>
  </r>
  <r>
    <x v="1"/>
    <x v="4"/>
    <x v="23"/>
    <x v="8"/>
    <x v="13"/>
    <x v="0"/>
    <x v="1"/>
    <x v="152"/>
    <x v="0"/>
  </r>
  <r>
    <x v="1"/>
    <x v="4"/>
    <x v="24"/>
    <x v="13"/>
    <x v="12"/>
    <x v="0"/>
    <x v="1"/>
    <x v="18"/>
    <x v="0"/>
  </r>
  <r>
    <x v="1"/>
    <x v="4"/>
    <x v="25"/>
    <x v="12"/>
    <x v="2"/>
    <x v="0"/>
    <x v="1"/>
    <x v="70"/>
    <x v="0"/>
  </r>
  <r>
    <x v="1"/>
    <x v="4"/>
    <x v="26"/>
    <x v="2"/>
    <x v="8"/>
    <x v="0"/>
    <x v="1"/>
    <x v="48"/>
    <x v="0"/>
  </r>
  <r>
    <x v="1"/>
    <x v="4"/>
    <x v="27"/>
    <x v="8"/>
    <x v="13"/>
    <x v="0"/>
    <x v="1"/>
    <x v="152"/>
    <x v="0"/>
  </r>
  <r>
    <x v="1"/>
    <x v="4"/>
    <x v="28"/>
    <x v="13"/>
    <x v="9"/>
    <x v="0"/>
    <x v="1"/>
    <x v="98"/>
    <x v="0"/>
  </r>
  <r>
    <x v="1"/>
    <x v="9"/>
    <x v="0"/>
    <x v="9"/>
    <x v="14"/>
    <x v="4"/>
    <x v="0"/>
    <x v="37"/>
    <x v="0"/>
  </r>
  <r>
    <x v="1"/>
    <x v="9"/>
    <x v="1"/>
    <x v="14"/>
    <x v="8"/>
    <x v="4"/>
    <x v="0"/>
    <x v="145"/>
    <x v="0"/>
  </r>
  <r>
    <x v="1"/>
    <x v="9"/>
    <x v="2"/>
    <x v="8"/>
    <x v="2"/>
    <x v="4"/>
    <x v="0"/>
    <x v="91"/>
    <x v="0"/>
  </r>
  <r>
    <x v="1"/>
    <x v="9"/>
    <x v="3"/>
    <x v="2"/>
    <x v="12"/>
    <x v="4"/>
    <x v="0"/>
    <x v="81"/>
    <x v="0"/>
  </r>
  <r>
    <x v="1"/>
    <x v="9"/>
    <x v="4"/>
    <x v="12"/>
    <x v="14"/>
    <x v="4"/>
    <x v="0"/>
    <x v="113"/>
    <x v="0"/>
  </r>
  <r>
    <x v="1"/>
    <x v="9"/>
    <x v="5"/>
    <x v="14"/>
    <x v="8"/>
    <x v="4"/>
    <x v="0"/>
    <x v="145"/>
    <x v="0"/>
  </r>
  <r>
    <x v="1"/>
    <x v="9"/>
    <x v="6"/>
    <x v="8"/>
    <x v="2"/>
    <x v="4"/>
    <x v="0"/>
    <x v="91"/>
    <x v="0"/>
  </r>
  <r>
    <x v="1"/>
    <x v="9"/>
    <x v="7"/>
    <x v="2"/>
    <x v="12"/>
    <x v="4"/>
    <x v="0"/>
    <x v="81"/>
    <x v="0"/>
  </r>
  <r>
    <x v="1"/>
    <x v="9"/>
    <x v="8"/>
    <x v="12"/>
    <x v="14"/>
    <x v="4"/>
    <x v="0"/>
    <x v="113"/>
    <x v="0"/>
  </r>
  <r>
    <x v="1"/>
    <x v="9"/>
    <x v="9"/>
    <x v="14"/>
    <x v="8"/>
    <x v="4"/>
    <x v="0"/>
    <x v="145"/>
    <x v="0"/>
  </r>
  <r>
    <x v="1"/>
    <x v="9"/>
    <x v="10"/>
    <x v="8"/>
    <x v="2"/>
    <x v="4"/>
    <x v="0"/>
    <x v="91"/>
    <x v="0"/>
  </r>
  <r>
    <x v="1"/>
    <x v="9"/>
    <x v="11"/>
    <x v="2"/>
    <x v="12"/>
    <x v="4"/>
    <x v="0"/>
    <x v="81"/>
    <x v="0"/>
  </r>
  <r>
    <x v="1"/>
    <x v="9"/>
    <x v="12"/>
    <x v="12"/>
    <x v="14"/>
    <x v="4"/>
    <x v="0"/>
    <x v="113"/>
    <x v="0"/>
  </r>
  <r>
    <x v="1"/>
    <x v="9"/>
    <x v="13"/>
    <x v="14"/>
    <x v="8"/>
    <x v="4"/>
    <x v="0"/>
    <x v="145"/>
    <x v="0"/>
  </r>
  <r>
    <x v="1"/>
    <x v="9"/>
    <x v="14"/>
    <x v="8"/>
    <x v="2"/>
    <x v="4"/>
    <x v="1"/>
    <x v="167"/>
    <x v="0"/>
  </r>
  <r>
    <x v="1"/>
    <x v="9"/>
    <x v="15"/>
    <x v="2"/>
    <x v="14"/>
    <x v="4"/>
    <x v="0"/>
    <x v="126"/>
    <x v="0"/>
  </r>
  <r>
    <x v="1"/>
    <x v="9"/>
    <x v="16"/>
    <x v="14"/>
    <x v="12"/>
    <x v="4"/>
    <x v="0"/>
    <x v="101"/>
    <x v="0"/>
  </r>
  <r>
    <x v="1"/>
    <x v="9"/>
    <x v="17"/>
    <x v="12"/>
    <x v="8"/>
    <x v="4"/>
    <x v="1"/>
    <x v="19"/>
    <x v="0"/>
  </r>
  <r>
    <x v="1"/>
    <x v="9"/>
    <x v="18"/>
    <x v="8"/>
    <x v="2"/>
    <x v="4"/>
    <x v="0"/>
    <x v="91"/>
    <x v="0"/>
  </r>
  <r>
    <x v="1"/>
    <x v="9"/>
    <x v="19"/>
    <x v="2"/>
    <x v="14"/>
    <x v="4"/>
    <x v="0"/>
    <x v="126"/>
    <x v="0"/>
  </r>
  <r>
    <x v="1"/>
    <x v="9"/>
    <x v="20"/>
    <x v="14"/>
    <x v="12"/>
    <x v="4"/>
    <x v="0"/>
    <x v="101"/>
    <x v="0"/>
  </r>
  <r>
    <x v="1"/>
    <x v="9"/>
    <x v="21"/>
    <x v="12"/>
    <x v="8"/>
    <x v="4"/>
    <x v="1"/>
    <x v="19"/>
    <x v="0"/>
  </r>
  <r>
    <x v="1"/>
    <x v="9"/>
    <x v="22"/>
    <x v="8"/>
    <x v="2"/>
    <x v="4"/>
    <x v="0"/>
    <x v="91"/>
    <x v="0"/>
  </r>
  <r>
    <x v="1"/>
    <x v="9"/>
    <x v="23"/>
    <x v="2"/>
    <x v="14"/>
    <x v="4"/>
    <x v="0"/>
    <x v="126"/>
    <x v="0"/>
  </r>
  <r>
    <x v="1"/>
    <x v="9"/>
    <x v="24"/>
    <x v="14"/>
    <x v="12"/>
    <x v="4"/>
    <x v="0"/>
    <x v="101"/>
    <x v="0"/>
  </r>
  <r>
    <x v="1"/>
    <x v="9"/>
    <x v="25"/>
    <x v="12"/>
    <x v="8"/>
    <x v="4"/>
    <x v="1"/>
    <x v="19"/>
    <x v="0"/>
  </r>
  <r>
    <x v="1"/>
    <x v="9"/>
    <x v="26"/>
    <x v="8"/>
    <x v="2"/>
    <x v="4"/>
    <x v="0"/>
    <x v="91"/>
    <x v="0"/>
  </r>
  <r>
    <x v="1"/>
    <x v="9"/>
    <x v="27"/>
    <x v="2"/>
    <x v="14"/>
    <x v="4"/>
    <x v="0"/>
    <x v="126"/>
    <x v="0"/>
  </r>
  <r>
    <x v="1"/>
    <x v="9"/>
    <x v="28"/>
    <x v="14"/>
    <x v="9"/>
    <x v="4"/>
    <x v="0"/>
    <x v="63"/>
    <x v="0"/>
  </r>
  <r>
    <x v="2"/>
    <x v="0"/>
    <x v="0"/>
    <x v="15"/>
    <x v="15"/>
    <x v="0"/>
    <x v="0"/>
    <x v="76"/>
    <x v="0"/>
  </r>
  <r>
    <x v="2"/>
    <x v="0"/>
    <x v="1"/>
    <x v="4"/>
    <x v="10"/>
    <x v="0"/>
    <x v="0"/>
    <x v="95"/>
    <x v="0"/>
  </r>
  <r>
    <x v="2"/>
    <x v="0"/>
    <x v="2"/>
    <x v="10"/>
    <x v="13"/>
    <x v="0"/>
    <x v="0"/>
    <x v="100"/>
    <x v="0"/>
  </r>
  <r>
    <x v="2"/>
    <x v="0"/>
    <x v="3"/>
    <x v="13"/>
    <x v="2"/>
    <x v="0"/>
    <x v="3"/>
    <x v="94"/>
    <x v="0"/>
  </r>
  <r>
    <x v="2"/>
    <x v="0"/>
    <x v="4"/>
    <x v="2"/>
    <x v="10"/>
    <x v="0"/>
    <x v="0"/>
    <x v="45"/>
    <x v="0"/>
  </r>
  <r>
    <x v="2"/>
    <x v="0"/>
    <x v="5"/>
    <x v="10"/>
    <x v="13"/>
    <x v="0"/>
    <x v="0"/>
    <x v="100"/>
    <x v="0"/>
  </r>
  <r>
    <x v="2"/>
    <x v="0"/>
    <x v="6"/>
    <x v="13"/>
    <x v="4"/>
    <x v="0"/>
    <x v="2"/>
    <x v="131"/>
    <x v="0"/>
  </r>
  <r>
    <x v="2"/>
    <x v="0"/>
    <x v="7"/>
    <x v="4"/>
    <x v="10"/>
    <x v="0"/>
    <x v="1"/>
    <x v="128"/>
    <x v="0"/>
  </r>
  <r>
    <x v="2"/>
    <x v="0"/>
    <x v="8"/>
    <x v="10"/>
    <x v="13"/>
    <x v="0"/>
    <x v="0"/>
    <x v="100"/>
    <x v="0"/>
  </r>
  <r>
    <x v="2"/>
    <x v="0"/>
    <x v="9"/>
    <x v="13"/>
    <x v="4"/>
    <x v="0"/>
    <x v="2"/>
    <x v="131"/>
    <x v="0"/>
  </r>
  <r>
    <x v="2"/>
    <x v="0"/>
    <x v="10"/>
    <x v="4"/>
    <x v="10"/>
    <x v="0"/>
    <x v="1"/>
    <x v="128"/>
    <x v="0"/>
  </r>
  <r>
    <x v="2"/>
    <x v="0"/>
    <x v="11"/>
    <x v="10"/>
    <x v="13"/>
    <x v="0"/>
    <x v="0"/>
    <x v="100"/>
    <x v="0"/>
  </r>
  <r>
    <x v="2"/>
    <x v="0"/>
    <x v="12"/>
    <x v="13"/>
    <x v="2"/>
    <x v="0"/>
    <x v="3"/>
    <x v="94"/>
    <x v="0"/>
  </r>
  <r>
    <x v="2"/>
    <x v="0"/>
    <x v="13"/>
    <x v="2"/>
    <x v="10"/>
    <x v="0"/>
    <x v="0"/>
    <x v="45"/>
    <x v="0"/>
  </r>
  <r>
    <x v="2"/>
    <x v="0"/>
    <x v="14"/>
    <x v="10"/>
    <x v="13"/>
    <x v="0"/>
    <x v="0"/>
    <x v="100"/>
    <x v="0"/>
  </r>
  <r>
    <x v="2"/>
    <x v="0"/>
    <x v="15"/>
    <x v="13"/>
    <x v="2"/>
    <x v="0"/>
    <x v="3"/>
    <x v="94"/>
    <x v="0"/>
  </r>
  <r>
    <x v="2"/>
    <x v="0"/>
    <x v="16"/>
    <x v="2"/>
    <x v="10"/>
    <x v="0"/>
    <x v="0"/>
    <x v="45"/>
    <x v="0"/>
  </r>
  <r>
    <x v="2"/>
    <x v="0"/>
    <x v="17"/>
    <x v="10"/>
    <x v="13"/>
    <x v="0"/>
    <x v="0"/>
    <x v="100"/>
    <x v="0"/>
  </r>
  <r>
    <x v="2"/>
    <x v="0"/>
    <x v="18"/>
    <x v="13"/>
    <x v="6"/>
    <x v="0"/>
    <x v="0"/>
    <x v="26"/>
    <x v="0"/>
  </r>
  <r>
    <x v="2"/>
    <x v="0"/>
    <x v="19"/>
    <x v="6"/>
    <x v="10"/>
    <x v="0"/>
    <x v="0"/>
    <x v="133"/>
    <x v="0"/>
  </r>
  <r>
    <x v="2"/>
    <x v="0"/>
    <x v="20"/>
    <x v="10"/>
    <x v="13"/>
    <x v="0"/>
    <x v="0"/>
    <x v="100"/>
    <x v="0"/>
  </r>
  <r>
    <x v="2"/>
    <x v="0"/>
    <x v="21"/>
    <x v="13"/>
    <x v="4"/>
    <x v="0"/>
    <x v="2"/>
    <x v="131"/>
    <x v="0"/>
  </r>
  <r>
    <x v="2"/>
    <x v="0"/>
    <x v="22"/>
    <x v="4"/>
    <x v="13"/>
    <x v="0"/>
    <x v="1"/>
    <x v="105"/>
    <x v="0"/>
  </r>
  <r>
    <x v="2"/>
    <x v="0"/>
    <x v="23"/>
    <x v="13"/>
    <x v="6"/>
    <x v="0"/>
    <x v="0"/>
    <x v="26"/>
    <x v="0"/>
  </r>
  <r>
    <x v="2"/>
    <x v="0"/>
    <x v="24"/>
    <x v="6"/>
    <x v="10"/>
    <x v="0"/>
    <x v="0"/>
    <x v="133"/>
    <x v="0"/>
  </r>
  <r>
    <x v="2"/>
    <x v="0"/>
    <x v="25"/>
    <x v="10"/>
    <x v="13"/>
    <x v="0"/>
    <x v="0"/>
    <x v="100"/>
    <x v="0"/>
  </r>
  <r>
    <x v="2"/>
    <x v="0"/>
    <x v="26"/>
    <x v="13"/>
    <x v="2"/>
    <x v="0"/>
    <x v="3"/>
    <x v="94"/>
    <x v="0"/>
  </r>
  <r>
    <x v="2"/>
    <x v="0"/>
    <x v="27"/>
    <x v="2"/>
    <x v="10"/>
    <x v="0"/>
    <x v="0"/>
    <x v="45"/>
    <x v="0"/>
  </r>
  <r>
    <x v="2"/>
    <x v="0"/>
    <x v="28"/>
    <x v="10"/>
    <x v="13"/>
    <x v="0"/>
    <x v="0"/>
    <x v="100"/>
    <x v="0"/>
  </r>
  <r>
    <x v="2"/>
    <x v="0"/>
    <x v="29"/>
    <x v="13"/>
    <x v="2"/>
    <x v="0"/>
    <x v="3"/>
    <x v="94"/>
    <x v="0"/>
  </r>
  <r>
    <x v="2"/>
    <x v="0"/>
    <x v="30"/>
    <x v="2"/>
    <x v="10"/>
    <x v="0"/>
    <x v="0"/>
    <x v="45"/>
    <x v="0"/>
  </r>
  <r>
    <x v="2"/>
    <x v="0"/>
    <x v="31"/>
    <x v="10"/>
    <x v="13"/>
    <x v="0"/>
    <x v="0"/>
    <x v="100"/>
    <x v="0"/>
  </r>
  <r>
    <x v="2"/>
    <x v="0"/>
    <x v="32"/>
    <x v="13"/>
    <x v="10"/>
    <x v="0"/>
    <x v="0"/>
    <x v="170"/>
    <x v="0"/>
  </r>
  <r>
    <x v="2"/>
    <x v="0"/>
    <x v="33"/>
    <x v="10"/>
    <x v="2"/>
    <x v="0"/>
    <x v="0"/>
    <x v="54"/>
    <x v="0"/>
  </r>
  <r>
    <x v="2"/>
    <x v="0"/>
    <x v="34"/>
    <x v="15"/>
    <x v="15"/>
    <x v="0"/>
    <x v="0"/>
    <x v="76"/>
    <x v="0"/>
  </r>
  <r>
    <x v="2"/>
    <x v="1"/>
    <x v="0"/>
    <x v="15"/>
    <x v="15"/>
    <x v="0"/>
    <x v="0"/>
    <x v="76"/>
    <x v="0"/>
  </r>
  <r>
    <x v="2"/>
    <x v="1"/>
    <x v="1"/>
    <x v="4"/>
    <x v="10"/>
    <x v="0"/>
    <x v="0"/>
    <x v="95"/>
    <x v="0"/>
  </r>
  <r>
    <x v="2"/>
    <x v="1"/>
    <x v="2"/>
    <x v="10"/>
    <x v="13"/>
    <x v="0"/>
    <x v="0"/>
    <x v="100"/>
    <x v="0"/>
  </r>
  <r>
    <x v="2"/>
    <x v="1"/>
    <x v="3"/>
    <x v="13"/>
    <x v="10"/>
    <x v="0"/>
    <x v="0"/>
    <x v="170"/>
    <x v="0"/>
  </r>
  <r>
    <x v="2"/>
    <x v="1"/>
    <x v="4"/>
    <x v="10"/>
    <x v="2"/>
    <x v="0"/>
    <x v="1"/>
    <x v="50"/>
    <x v="0"/>
  </r>
  <r>
    <x v="2"/>
    <x v="1"/>
    <x v="5"/>
    <x v="2"/>
    <x v="13"/>
    <x v="0"/>
    <x v="1"/>
    <x v="24"/>
    <x v="0"/>
  </r>
  <r>
    <x v="2"/>
    <x v="1"/>
    <x v="6"/>
    <x v="13"/>
    <x v="10"/>
    <x v="0"/>
    <x v="0"/>
    <x v="170"/>
    <x v="0"/>
  </r>
  <r>
    <x v="2"/>
    <x v="1"/>
    <x v="7"/>
    <x v="10"/>
    <x v="4"/>
    <x v="0"/>
    <x v="0"/>
    <x v="68"/>
    <x v="0"/>
  </r>
  <r>
    <x v="2"/>
    <x v="1"/>
    <x v="8"/>
    <x v="4"/>
    <x v="13"/>
    <x v="0"/>
    <x v="1"/>
    <x v="105"/>
    <x v="0"/>
  </r>
  <r>
    <x v="2"/>
    <x v="1"/>
    <x v="9"/>
    <x v="13"/>
    <x v="10"/>
    <x v="0"/>
    <x v="0"/>
    <x v="170"/>
    <x v="0"/>
  </r>
  <r>
    <x v="2"/>
    <x v="1"/>
    <x v="10"/>
    <x v="10"/>
    <x v="4"/>
    <x v="0"/>
    <x v="0"/>
    <x v="68"/>
    <x v="0"/>
  </r>
  <r>
    <x v="2"/>
    <x v="1"/>
    <x v="11"/>
    <x v="4"/>
    <x v="13"/>
    <x v="0"/>
    <x v="1"/>
    <x v="105"/>
    <x v="0"/>
  </r>
  <r>
    <x v="2"/>
    <x v="1"/>
    <x v="12"/>
    <x v="13"/>
    <x v="10"/>
    <x v="0"/>
    <x v="0"/>
    <x v="170"/>
    <x v="0"/>
  </r>
  <r>
    <x v="2"/>
    <x v="1"/>
    <x v="13"/>
    <x v="10"/>
    <x v="2"/>
    <x v="0"/>
    <x v="1"/>
    <x v="50"/>
    <x v="0"/>
  </r>
  <r>
    <x v="2"/>
    <x v="1"/>
    <x v="14"/>
    <x v="2"/>
    <x v="13"/>
    <x v="0"/>
    <x v="1"/>
    <x v="24"/>
    <x v="0"/>
  </r>
  <r>
    <x v="2"/>
    <x v="1"/>
    <x v="15"/>
    <x v="13"/>
    <x v="10"/>
    <x v="0"/>
    <x v="0"/>
    <x v="170"/>
    <x v="0"/>
  </r>
  <r>
    <x v="2"/>
    <x v="1"/>
    <x v="16"/>
    <x v="10"/>
    <x v="2"/>
    <x v="0"/>
    <x v="1"/>
    <x v="50"/>
    <x v="0"/>
  </r>
  <r>
    <x v="2"/>
    <x v="1"/>
    <x v="17"/>
    <x v="2"/>
    <x v="13"/>
    <x v="0"/>
    <x v="1"/>
    <x v="24"/>
    <x v="0"/>
  </r>
  <r>
    <x v="2"/>
    <x v="1"/>
    <x v="18"/>
    <x v="13"/>
    <x v="10"/>
    <x v="0"/>
    <x v="0"/>
    <x v="170"/>
    <x v="0"/>
  </r>
  <r>
    <x v="2"/>
    <x v="1"/>
    <x v="19"/>
    <x v="10"/>
    <x v="6"/>
    <x v="0"/>
    <x v="0"/>
    <x v="140"/>
    <x v="0"/>
  </r>
  <r>
    <x v="2"/>
    <x v="1"/>
    <x v="20"/>
    <x v="6"/>
    <x v="13"/>
    <x v="0"/>
    <x v="0"/>
    <x v="34"/>
    <x v="0"/>
  </r>
  <r>
    <x v="2"/>
    <x v="1"/>
    <x v="21"/>
    <x v="13"/>
    <x v="4"/>
    <x v="0"/>
    <x v="2"/>
    <x v="131"/>
    <x v="0"/>
  </r>
  <r>
    <x v="2"/>
    <x v="1"/>
    <x v="22"/>
    <x v="4"/>
    <x v="13"/>
    <x v="0"/>
    <x v="1"/>
    <x v="105"/>
    <x v="0"/>
  </r>
  <r>
    <x v="2"/>
    <x v="1"/>
    <x v="23"/>
    <x v="13"/>
    <x v="10"/>
    <x v="0"/>
    <x v="0"/>
    <x v="170"/>
    <x v="0"/>
  </r>
  <r>
    <x v="2"/>
    <x v="1"/>
    <x v="24"/>
    <x v="10"/>
    <x v="6"/>
    <x v="0"/>
    <x v="0"/>
    <x v="140"/>
    <x v="0"/>
  </r>
  <r>
    <x v="2"/>
    <x v="1"/>
    <x v="25"/>
    <x v="6"/>
    <x v="13"/>
    <x v="0"/>
    <x v="0"/>
    <x v="34"/>
    <x v="0"/>
  </r>
  <r>
    <x v="2"/>
    <x v="1"/>
    <x v="26"/>
    <x v="13"/>
    <x v="10"/>
    <x v="0"/>
    <x v="0"/>
    <x v="170"/>
    <x v="0"/>
  </r>
  <r>
    <x v="2"/>
    <x v="1"/>
    <x v="27"/>
    <x v="10"/>
    <x v="2"/>
    <x v="0"/>
    <x v="1"/>
    <x v="50"/>
    <x v="0"/>
  </r>
  <r>
    <x v="2"/>
    <x v="1"/>
    <x v="28"/>
    <x v="2"/>
    <x v="13"/>
    <x v="0"/>
    <x v="1"/>
    <x v="24"/>
    <x v="0"/>
  </r>
  <r>
    <x v="2"/>
    <x v="1"/>
    <x v="29"/>
    <x v="13"/>
    <x v="10"/>
    <x v="0"/>
    <x v="0"/>
    <x v="170"/>
    <x v="0"/>
  </r>
  <r>
    <x v="2"/>
    <x v="1"/>
    <x v="30"/>
    <x v="10"/>
    <x v="2"/>
    <x v="0"/>
    <x v="1"/>
    <x v="50"/>
    <x v="0"/>
  </r>
  <r>
    <x v="2"/>
    <x v="1"/>
    <x v="31"/>
    <x v="2"/>
    <x v="13"/>
    <x v="0"/>
    <x v="1"/>
    <x v="24"/>
    <x v="0"/>
  </r>
  <r>
    <x v="2"/>
    <x v="1"/>
    <x v="32"/>
    <x v="13"/>
    <x v="10"/>
    <x v="0"/>
    <x v="0"/>
    <x v="170"/>
    <x v="0"/>
  </r>
  <r>
    <x v="2"/>
    <x v="1"/>
    <x v="33"/>
    <x v="10"/>
    <x v="2"/>
    <x v="0"/>
    <x v="0"/>
    <x v="54"/>
    <x v="0"/>
  </r>
  <r>
    <x v="2"/>
    <x v="1"/>
    <x v="34"/>
    <x v="15"/>
    <x v="15"/>
    <x v="0"/>
    <x v="0"/>
    <x v="76"/>
    <x v="0"/>
  </r>
  <r>
    <x v="2"/>
    <x v="3"/>
    <x v="0"/>
    <x v="15"/>
    <x v="15"/>
    <x v="1"/>
    <x v="0"/>
    <x v="102"/>
    <x v="0"/>
  </r>
  <r>
    <x v="2"/>
    <x v="3"/>
    <x v="1"/>
    <x v="4"/>
    <x v="10"/>
    <x v="1"/>
    <x v="0"/>
    <x v="52"/>
    <x v="0"/>
  </r>
  <r>
    <x v="2"/>
    <x v="3"/>
    <x v="2"/>
    <x v="10"/>
    <x v="13"/>
    <x v="1"/>
    <x v="0"/>
    <x v="28"/>
    <x v="0"/>
  </r>
  <r>
    <x v="2"/>
    <x v="3"/>
    <x v="3"/>
    <x v="13"/>
    <x v="10"/>
    <x v="1"/>
    <x v="0"/>
    <x v="80"/>
    <x v="0"/>
  </r>
  <r>
    <x v="2"/>
    <x v="3"/>
    <x v="4"/>
    <x v="10"/>
    <x v="2"/>
    <x v="1"/>
    <x v="0"/>
    <x v="99"/>
    <x v="0"/>
  </r>
  <r>
    <x v="2"/>
    <x v="3"/>
    <x v="5"/>
    <x v="2"/>
    <x v="13"/>
    <x v="1"/>
    <x v="1"/>
    <x v="65"/>
    <x v="0"/>
  </r>
  <r>
    <x v="2"/>
    <x v="3"/>
    <x v="6"/>
    <x v="13"/>
    <x v="10"/>
    <x v="1"/>
    <x v="0"/>
    <x v="80"/>
    <x v="0"/>
  </r>
  <r>
    <x v="2"/>
    <x v="3"/>
    <x v="7"/>
    <x v="10"/>
    <x v="4"/>
    <x v="1"/>
    <x v="0"/>
    <x v="155"/>
    <x v="0"/>
  </r>
  <r>
    <x v="2"/>
    <x v="3"/>
    <x v="8"/>
    <x v="4"/>
    <x v="13"/>
    <x v="1"/>
    <x v="1"/>
    <x v="135"/>
    <x v="0"/>
  </r>
  <r>
    <x v="2"/>
    <x v="3"/>
    <x v="9"/>
    <x v="13"/>
    <x v="10"/>
    <x v="1"/>
    <x v="0"/>
    <x v="80"/>
    <x v="0"/>
  </r>
  <r>
    <x v="2"/>
    <x v="3"/>
    <x v="10"/>
    <x v="10"/>
    <x v="4"/>
    <x v="1"/>
    <x v="0"/>
    <x v="155"/>
    <x v="0"/>
  </r>
  <r>
    <x v="2"/>
    <x v="3"/>
    <x v="11"/>
    <x v="4"/>
    <x v="13"/>
    <x v="1"/>
    <x v="1"/>
    <x v="135"/>
    <x v="0"/>
  </r>
  <r>
    <x v="2"/>
    <x v="3"/>
    <x v="12"/>
    <x v="13"/>
    <x v="10"/>
    <x v="1"/>
    <x v="0"/>
    <x v="80"/>
    <x v="0"/>
  </r>
  <r>
    <x v="2"/>
    <x v="3"/>
    <x v="13"/>
    <x v="10"/>
    <x v="2"/>
    <x v="1"/>
    <x v="0"/>
    <x v="99"/>
    <x v="0"/>
  </r>
  <r>
    <x v="2"/>
    <x v="3"/>
    <x v="14"/>
    <x v="2"/>
    <x v="13"/>
    <x v="1"/>
    <x v="1"/>
    <x v="65"/>
    <x v="0"/>
  </r>
  <r>
    <x v="2"/>
    <x v="3"/>
    <x v="15"/>
    <x v="13"/>
    <x v="10"/>
    <x v="1"/>
    <x v="0"/>
    <x v="80"/>
    <x v="0"/>
  </r>
  <r>
    <x v="2"/>
    <x v="3"/>
    <x v="16"/>
    <x v="10"/>
    <x v="2"/>
    <x v="1"/>
    <x v="0"/>
    <x v="99"/>
    <x v="0"/>
  </r>
  <r>
    <x v="2"/>
    <x v="3"/>
    <x v="17"/>
    <x v="2"/>
    <x v="13"/>
    <x v="1"/>
    <x v="1"/>
    <x v="65"/>
    <x v="0"/>
  </r>
  <r>
    <x v="2"/>
    <x v="3"/>
    <x v="18"/>
    <x v="13"/>
    <x v="10"/>
    <x v="1"/>
    <x v="0"/>
    <x v="80"/>
    <x v="0"/>
  </r>
  <r>
    <x v="2"/>
    <x v="3"/>
    <x v="19"/>
    <x v="10"/>
    <x v="6"/>
    <x v="1"/>
    <x v="0"/>
    <x v="56"/>
    <x v="0"/>
  </r>
  <r>
    <x v="2"/>
    <x v="3"/>
    <x v="20"/>
    <x v="6"/>
    <x v="13"/>
    <x v="1"/>
    <x v="0"/>
    <x v="30"/>
    <x v="0"/>
  </r>
  <r>
    <x v="2"/>
    <x v="3"/>
    <x v="21"/>
    <x v="13"/>
    <x v="4"/>
    <x v="1"/>
    <x v="0"/>
    <x v="104"/>
    <x v="0"/>
  </r>
  <r>
    <x v="2"/>
    <x v="3"/>
    <x v="22"/>
    <x v="4"/>
    <x v="13"/>
    <x v="1"/>
    <x v="1"/>
    <x v="135"/>
    <x v="0"/>
  </r>
  <r>
    <x v="2"/>
    <x v="3"/>
    <x v="23"/>
    <x v="13"/>
    <x v="10"/>
    <x v="1"/>
    <x v="0"/>
    <x v="80"/>
    <x v="0"/>
  </r>
  <r>
    <x v="2"/>
    <x v="3"/>
    <x v="24"/>
    <x v="10"/>
    <x v="6"/>
    <x v="1"/>
    <x v="0"/>
    <x v="56"/>
    <x v="0"/>
  </r>
  <r>
    <x v="2"/>
    <x v="3"/>
    <x v="25"/>
    <x v="6"/>
    <x v="13"/>
    <x v="1"/>
    <x v="0"/>
    <x v="30"/>
    <x v="0"/>
  </r>
  <r>
    <x v="2"/>
    <x v="3"/>
    <x v="26"/>
    <x v="13"/>
    <x v="10"/>
    <x v="1"/>
    <x v="0"/>
    <x v="80"/>
    <x v="0"/>
  </r>
  <r>
    <x v="2"/>
    <x v="3"/>
    <x v="27"/>
    <x v="10"/>
    <x v="2"/>
    <x v="1"/>
    <x v="0"/>
    <x v="99"/>
    <x v="0"/>
  </r>
  <r>
    <x v="2"/>
    <x v="3"/>
    <x v="28"/>
    <x v="2"/>
    <x v="13"/>
    <x v="1"/>
    <x v="1"/>
    <x v="65"/>
    <x v="0"/>
  </r>
  <r>
    <x v="2"/>
    <x v="3"/>
    <x v="29"/>
    <x v="13"/>
    <x v="10"/>
    <x v="1"/>
    <x v="0"/>
    <x v="80"/>
    <x v="0"/>
  </r>
  <r>
    <x v="2"/>
    <x v="3"/>
    <x v="30"/>
    <x v="10"/>
    <x v="2"/>
    <x v="1"/>
    <x v="0"/>
    <x v="99"/>
    <x v="0"/>
  </r>
  <r>
    <x v="2"/>
    <x v="3"/>
    <x v="31"/>
    <x v="2"/>
    <x v="13"/>
    <x v="1"/>
    <x v="1"/>
    <x v="65"/>
    <x v="0"/>
  </r>
  <r>
    <x v="2"/>
    <x v="3"/>
    <x v="32"/>
    <x v="13"/>
    <x v="10"/>
    <x v="1"/>
    <x v="0"/>
    <x v="80"/>
    <x v="0"/>
  </r>
  <r>
    <x v="2"/>
    <x v="3"/>
    <x v="33"/>
    <x v="10"/>
    <x v="2"/>
    <x v="1"/>
    <x v="1"/>
    <x v="12"/>
    <x v="0"/>
  </r>
  <r>
    <x v="2"/>
    <x v="3"/>
    <x v="34"/>
    <x v="15"/>
    <x v="15"/>
    <x v="1"/>
    <x v="0"/>
    <x v="102"/>
    <x v="0"/>
  </r>
  <r>
    <x v="2"/>
    <x v="5"/>
    <x v="0"/>
    <x v="15"/>
    <x v="15"/>
    <x v="0"/>
    <x v="0"/>
    <x v="76"/>
    <x v="0"/>
  </r>
  <r>
    <x v="2"/>
    <x v="5"/>
    <x v="1"/>
    <x v="5"/>
    <x v="11"/>
    <x v="0"/>
    <x v="0"/>
    <x v="62"/>
    <x v="0"/>
  </r>
  <r>
    <x v="2"/>
    <x v="5"/>
    <x v="2"/>
    <x v="11"/>
    <x v="13"/>
    <x v="0"/>
    <x v="0"/>
    <x v="132"/>
    <x v="0"/>
  </r>
  <r>
    <x v="2"/>
    <x v="5"/>
    <x v="3"/>
    <x v="13"/>
    <x v="11"/>
    <x v="0"/>
    <x v="0"/>
    <x v="149"/>
    <x v="0"/>
  </r>
  <r>
    <x v="2"/>
    <x v="5"/>
    <x v="4"/>
    <x v="11"/>
    <x v="3"/>
    <x v="0"/>
    <x v="0"/>
    <x v="35"/>
    <x v="0"/>
  </r>
  <r>
    <x v="2"/>
    <x v="5"/>
    <x v="5"/>
    <x v="3"/>
    <x v="13"/>
    <x v="0"/>
    <x v="0"/>
    <x v="67"/>
    <x v="0"/>
  </r>
  <r>
    <x v="2"/>
    <x v="5"/>
    <x v="6"/>
    <x v="13"/>
    <x v="11"/>
    <x v="0"/>
    <x v="0"/>
    <x v="149"/>
    <x v="0"/>
  </r>
  <r>
    <x v="2"/>
    <x v="5"/>
    <x v="7"/>
    <x v="11"/>
    <x v="5"/>
    <x v="0"/>
    <x v="0"/>
    <x v="134"/>
    <x v="0"/>
  </r>
  <r>
    <x v="2"/>
    <x v="5"/>
    <x v="8"/>
    <x v="5"/>
    <x v="13"/>
    <x v="0"/>
    <x v="0"/>
    <x v="142"/>
    <x v="0"/>
  </r>
  <r>
    <x v="2"/>
    <x v="5"/>
    <x v="9"/>
    <x v="13"/>
    <x v="11"/>
    <x v="0"/>
    <x v="0"/>
    <x v="149"/>
    <x v="0"/>
  </r>
  <r>
    <x v="2"/>
    <x v="5"/>
    <x v="10"/>
    <x v="11"/>
    <x v="5"/>
    <x v="0"/>
    <x v="0"/>
    <x v="134"/>
    <x v="0"/>
  </r>
  <r>
    <x v="2"/>
    <x v="5"/>
    <x v="11"/>
    <x v="5"/>
    <x v="13"/>
    <x v="0"/>
    <x v="0"/>
    <x v="142"/>
    <x v="0"/>
  </r>
  <r>
    <x v="2"/>
    <x v="5"/>
    <x v="12"/>
    <x v="13"/>
    <x v="11"/>
    <x v="0"/>
    <x v="0"/>
    <x v="149"/>
    <x v="0"/>
  </r>
  <r>
    <x v="2"/>
    <x v="5"/>
    <x v="13"/>
    <x v="11"/>
    <x v="3"/>
    <x v="0"/>
    <x v="1"/>
    <x v="115"/>
    <x v="0"/>
  </r>
  <r>
    <x v="2"/>
    <x v="5"/>
    <x v="14"/>
    <x v="3"/>
    <x v="13"/>
    <x v="0"/>
    <x v="1"/>
    <x v="4"/>
    <x v="0"/>
  </r>
  <r>
    <x v="2"/>
    <x v="5"/>
    <x v="15"/>
    <x v="13"/>
    <x v="11"/>
    <x v="0"/>
    <x v="0"/>
    <x v="149"/>
    <x v="0"/>
  </r>
  <r>
    <x v="2"/>
    <x v="5"/>
    <x v="16"/>
    <x v="11"/>
    <x v="3"/>
    <x v="0"/>
    <x v="0"/>
    <x v="35"/>
    <x v="0"/>
  </r>
  <r>
    <x v="2"/>
    <x v="5"/>
    <x v="17"/>
    <x v="3"/>
    <x v="13"/>
    <x v="0"/>
    <x v="0"/>
    <x v="67"/>
    <x v="0"/>
  </r>
  <r>
    <x v="2"/>
    <x v="5"/>
    <x v="18"/>
    <x v="13"/>
    <x v="11"/>
    <x v="0"/>
    <x v="0"/>
    <x v="149"/>
    <x v="0"/>
  </r>
  <r>
    <x v="2"/>
    <x v="5"/>
    <x v="19"/>
    <x v="11"/>
    <x v="7"/>
    <x v="0"/>
    <x v="0"/>
    <x v="164"/>
    <x v="0"/>
  </r>
  <r>
    <x v="2"/>
    <x v="5"/>
    <x v="20"/>
    <x v="7"/>
    <x v="13"/>
    <x v="0"/>
    <x v="0"/>
    <x v="119"/>
    <x v="0"/>
  </r>
  <r>
    <x v="2"/>
    <x v="5"/>
    <x v="21"/>
    <x v="13"/>
    <x v="5"/>
    <x v="0"/>
    <x v="0"/>
    <x v="97"/>
    <x v="0"/>
  </r>
  <r>
    <x v="2"/>
    <x v="5"/>
    <x v="22"/>
    <x v="5"/>
    <x v="13"/>
    <x v="0"/>
    <x v="0"/>
    <x v="142"/>
    <x v="0"/>
  </r>
  <r>
    <x v="2"/>
    <x v="5"/>
    <x v="23"/>
    <x v="13"/>
    <x v="11"/>
    <x v="0"/>
    <x v="0"/>
    <x v="149"/>
    <x v="0"/>
  </r>
  <r>
    <x v="2"/>
    <x v="5"/>
    <x v="24"/>
    <x v="11"/>
    <x v="7"/>
    <x v="0"/>
    <x v="0"/>
    <x v="164"/>
    <x v="0"/>
  </r>
  <r>
    <x v="2"/>
    <x v="5"/>
    <x v="25"/>
    <x v="7"/>
    <x v="13"/>
    <x v="0"/>
    <x v="0"/>
    <x v="119"/>
    <x v="0"/>
  </r>
  <r>
    <x v="2"/>
    <x v="5"/>
    <x v="26"/>
    <x v="13"/>
    <x v="11"/>
    <x v="0"/>
    <x v="0"/>
    <x v="149"/>
    <x v="0"/>
  </r>
  <r>
    <x v="2"/>
    <x v="5"/>
    <x v="27"/>
    <x v="11"/>
    <x v="3"/>
    <x v="0"/>
    <x v="1"/>
    <x v="115"/>
    <x v="0"/>
  </r>
  <r>
    <x v="2"/>
    <x v="5"/>
    <x v="28"/>
    <x v="3"/>
    <x v="13"/>
    <x v="0"/>
    <x v="1"/>
    <x v="4"/>
    <x v="0"/>
  </r>
  <r>
    <x v="2"/>
    <x v="5"/>
    <x v="29"/>
    <x v="13"/>
    <x v="11"/>
    <x v="0"/>
    <x v="0"/>
    <x v="149"/>
    <x v="0"/>
  </r>
  <r>
    <x v="2"/>
    <x v="5"/>
    <x v="30"/>
    <x v="11"/>
    <x v="3"/>
    <x v="0"/>
    <x v="0"/>
    <x v="35"/>
    <x v="0"/>
  </r>
  <r>
    <x v="2"/>
    <x v="5"/>
    <x v="31"/>
    <x v="3"/>
    <x v="13"/>
    <x v="0"/>
    <x v="0"/>
    <x v="67"/>
    <x v="0"/>
  </r>
  <r>
    <x v="2"/>
    <x v="5"/>
    <x v="32"/>
    <x v="13"/>
    <x v="11"/>
    <x v="0"/>
    <x v="0"/>
    <x v="149"/>
    <x v="0"/>
  </r>
  <r>
    <x v="2"/>
    <x v="5"/>
    <x v="33"/>
    <x v="11"/>
    <x v="3"/>
    <x v="0"/>
    <x v="2"/>
    <x v="23"/>
    <x v="0"/>
  </r>
  <r>
    <x v="2"/>
    <x v="5"/>
    <x v="34"/>
    <x v="15"/>
    <x v="15"/>
    <x v="0"/>
    <x v="0"/>
    <x v="76"/>
    <x v="0"/>
  </r>
  <r>
    <x v="2"/>
    <x v="6"/>
    <x v="0"/>
    <x v="15"/>
    <x v="15"/>
    <x v="0"/>
    <x v="0"/>
    <x v="76"/>
    <x v="0"/>
  </r>
  <r>
    <x v="2"/>
    <x v="6"/>
    <x v="1"/>
    <x v="5"/>
    <x v="11"/>
    <x v="0"/>
    <x v="0"/>
    <x v="62"/>
    <x v="0"/>
  </r>
  <r>
    <x v="2"/>
    <x v="6"/>
    <x v="2"/>
    <x v="11"/>
    <x v="13"/>
    <x v="0"/>
    <x v="0"/>
    <x v="132"/>
    <x v="0"/>
  </r>
  <r>
    <x v="2"/>
    <x v="6"/>
    <x v="3"/>
    <x v="13"/>
    <x v="3"/>
    <x v="0"/>
    <x v="0"/>
    <x v="0"/>
    <x v="0"/>
  </r>
  <r>
    <x v="2"/>
    <x v="6"/>
    <x v="4"/>
    <x v="3"/>
    <x v="11"/>
    <x v="0"/>
    <x v="0"/>
    <x v="129"/>
    <x v="0"/>
  </r>
  <r>
    <x v="2"/>
    <x v="6"/>
    <x v="5"/>
    <x v="11"/>
    <x v="13"/>
    <x v="0"/>
    <x v="0"/>
    <x v="132"/>
    <x v="0"/>
  </r>
  <r>
    <x v="2"/>
    <x v="6"/>
    <x v="6"/>
    <x v="13"/>
    <x v="5"/>
    <x v="0"/>
    <x v="0"/>
    <x v="97"/>
    <x v="0"/>
  </r>
  <r>
    <x v="2"/>
    <x v="6"/>
    <x v="7"/>
    <x v="5"/>
    <x v="11"/>
    <x v="0"/>
    <x v="1"/>
    <x v="9"/>
    <x v="0"/>
  </r>
  <r>
    <x v="2"/>
    <x v="6"/>
    <x v="8"/>
    <x v="11"/>
    <x v="13"/>
    <x v="0"/>
    <x v="0"/>
    <x v="132"/>
    <x v="0"/>
  </r>
  <r>
    <x v="2"/>
    <x v="6"/>
    <x v="9"/>
    <x v="13"/>
    <x v="5"/>
    <x v="0"/>
    <x v="0"/>
    <x v="97"/>
    <x v="0"/>
  </r>
  <r>
    <x v="2"/>
    <x v="6"/>
    <x v="10"/>
    <x v="5"/>
    <x v="11"/>
    <x v="0"/>
    <x v="1"/>
    <x v="9"/>
    <x v="0"/>
  </r>
  <r>
    <x v="2"/>
    <x v="6"/>
    <x v="11"/>
    <x v="11"/>
    <x v="13"/>
    <x v="0"/>
    <x v="0"/>
    <x v="132"/>
    <x v="0"/>
  </r>
  <r>
    <x v="2"/>
    <x v="6"/>
    <x v="12"/>
    <x v="13"/>
    <x v="3"/>
    <x v="0"/>
    <x v="1"/>
    <x v="103"/>
    <x v="0"/>
  </r>
  <r>
    <x v="2"/>
    <x v="6"/>
    <x v="13"/>
    <x v="3"/>
    <x v="11"/>
    <x v="0"/>
    <x v="1"/>
    <x v="108"/>
    <x v="0"/>
  </r>
  <r>
    <x v="2"/>
    <x v="6"/>
    <x v="14"/>
    <x v="11"/>
    <x v="13"/>
    <x v="0"/>
    <x v="0"/>
    <x v="132"/>
    <x v="0"/>
  </r>
  <r>
    <x v="2"/>
    <x v="6"/>
    <x v="15"/>
    <x v="13"/>
    <x v="3"/>
    <x v="0"/>
    <x v="0"/>
    <x v="0"/>
    <x v="0"/>
  </r>
  <r>
    <x v="2"/>
    <x v="6"/>
    <x v="16"/>
    <x v="3"/>
    <x v="11"/>
    <x v="0"/>
    <x v="0"/>
    <x v="129"/>
    <x v="0"/>
  </r>
  <r>
    <x v="2"/>
    <x v="6"/>
    <x v="17"/>
    <x v="11"/>
    <x v="13"/>
    <x v="0"/>
    <x v="0"/>
    <x v="132"/>
    <x v="0"/>
  </r>
  <r>
    <x v="2"/>
    <x v="6"/>
    <x v="18"/>
    <x v="13"/>
    <x v="7"/>
    <x v="0"/>
    <x v="0"/>
    <x v="150"/>
    <x v="0"/>
  </r>
  <r>
    <x v="2"/>
    <x v="6"/>
    <x v="19"/>
    <x v="7"/>
    <x v="11"/>
    <x v="0"/>
    <x v="0"/>
    <x v="130"/>
    <x v="0"/>
  </r>
  <r>
    <x v="2"/>
    <x v="6"/>
    <x v="20"/>
    <x v="11"/>
    <x v="13"/>
    <x v="0"/>
    <x v="0"/>
    <x v="132"/>
    <x v="0"/>
  </r>
  <r>
    <x v="2"/>
    <x v="6"/>
    <x v="21"/>
    <x v="13"/>
    <x v="5"/>
    <x v="0"/>
    <x v="0"/>
    <x v="97"/>
    <x v="0"/>
  </r>
  <r>
    <x v="2"/>
    <x v="6"/>
    <x v="22"/>
    <x v="5"/>
    <x v="13"/>
    <x v="0"/>
    <x v="0"/>
    <x v="142"/>
    <x v="0"/>
  </r>
  <r>
    <x v="2"/>
    <x v="6"/>
    <x v="23"/>
    <x v="13"/>
    <x v="7"/>
    <x v="0"/>
    <x v="0"/>
    <x v="150"/>
    <x v="0"/>
  </r>
  <r>
    <x v="2"/>
    <x v="6"/>
    <x v="24"/>
    <x v="7"/>
    <x v="11"/>
    <x v="0"/>
    <x v="0"/>
    <x v="130"/>
    <x v="0"/>
  </r>
  <r>
    <x v="2"/>
    <x v="6"/>
    <x v="25"/>
    <x v="11"/>
    <x v="13"/>
    <x v="0"/>
    <x v="0"/>
    <x v="132"/>
    <x v="0"/>
  </r>
  <r>
    <x v="2"/>
    <x v="6"/>
    <x v="26"/>
    <x v="13"/>
    <x v="3"/>
    <x v="0"/>
    <x v="1"/>
    <x v="103"/>
    <x v="0"/>
  </r>
  <r>
    <x v="2"/>
    <x v="6"/>
    <x v="27"/>
    <x v="3"/>
    <x v="11"/>
    <x v="0"/>
    <x v="1"/>
    <x v="108"/>
    <x v="0"/>
  </r>
  <r>
    <x v="2"/>
    <x v="6"/>
    <x v="28"/>
    <x v="11"/>
    <x v="13"/>
    <x v="0"/>
    <x v="0"/>
    <x v="132"/>
    <x v="0"/>
  </r>
  <r>
    <x v="2"/>
    <x v="6"/>
    <x v="29"/>
    <x v="13"/>
    <x v="3"/>
    <x v="0"/>
    <x v="0"/>
    <x v="0"/>
    <x v="0"/>
  </r>
  <r>
    <x v="2"/>
    <x v="6"/>
    <x v="30"/>
    <x v="3"/>
    <x v="11"/>
    <x v="0"/>
    <x v="0"/>
    <x v="129"/>
    <x v="0"/>
  </r>
  <r>
    <x v="2"/>
    <x v="6"/>
    <x v="31"/>
    <x v="11"/>
    <x v="13"/>
    <x v="0"/>
    <x v="0"/>
    <x v="132"/>
    <x v="0"/>
  </r>
  <r>
    <x v="2"/>
    <x v="6"/>
    <x v="32"/>
    <x v="13"/>
    <x v="11"/>
    <x v="0"/>
    <x v="0"/>
    <x v="149"/>
    <x v="0"/>
  </r>
  <r>
    <x v="2"/>
    <x v="6"/>
    <x v="33"/>
    <x v="11"/>
    <x v="3"/>
    <x v="0"/>
    <x v="2"/>
    <x v="23"/>
    <x v="0"/>
  </r>
  <r>
    <x v="2"/>
    <x v="6"/>
    <x v="34"/>
    <x v="15"/>
    <x v="15"/>
    <x v="0"/>
    <x v="0"/>
    <x v="76"/>
    <x v="0"/>
  </r>
  <r>
    <x v="2"/>
    <x v="7"/>
    <x v="0"/>
    <x v="15"/>
    <x v="15"/>
    <x v="1"/>
    <x v="0"/>
    <x v="102"/>
    <x v="0"/>
  </r>
  <r>
    <x v="2"/>
    <x v="7"/>
    <x v="1"/>
    <x v="5"/>
    <x v="11"/>
    <x v="1"/>
    <x v="0"/>
    <x v="92"/>
    <x v="0"/>
  </r>
  <r>
    <x v="2"/>
    <x v="7"/>
    <x v="2"/>
    <x v="11"/>
    <x v="13"/>
    <x v="1"/>
    <x v="0"/>
    <x v="166"/>
    <x v="0"/>
  </r>
  <r>
    <x v="2"/>
    <x v="7"/>
    <x v="3"/>
    <x v="13"/>
    <x v="11"/>
    <x v="1"/>
    <x v="0"/>
    <x v="6"/>
    <x v="0"/>
  </r>
  <r>
    <x v="2"/>
    <x v="7"/>
    <x v="4"/>
    <x v="11"/>
    <x v="3"/>
    <x v="1"/>
    <x v="0"/>
    <x v="90"/>
    <x v="0"/>
  </r>
  <r>
    <x v="2"/>
    <x v="7"/>
    <x v="5"/>
    <x v="3"/>
    <x v="13"/>
    <x v="1"/>
    <x v="0"/>
    <x v="15"/>
    <x v="0"/>
  </r>
  <r>
    <x v="2"/>
    <x v="7"/>
    <x v="6"/>
    <x v="13"/>
    <x v="11"/>
    <x v="1"/>
    <x v="0"/>
    <x v="6"/>
    <x v="0"/>
  </r>
  <r>
    <x v="2"/>
    <x v="7"/>
    <x v="7"/>
    <x v="11"/>
    <x v="5"/>
    <x v="1"/>
    <x v="0"/>
    <x v="21"/>
    <x v="0"/>
  </r>
  <r>
    <x v="2"/>
    <x v="7"/>
    <x v="8"/>
    <x v="5"/>
    <x v="13"/>
    <x v="1"/>
    <x v="0"/>
    <x v="116"/>
    <x v="0"/>
  </r>
  <r>
    <x v="2"/>
    <x v="7"/>
    <x v="9"/>
    <x v="13"/>
    <x v="11"/>
    <x v="1"/>
    <x v="0"/>
    <x v="6"/>
    <x v="0"/>
  </r>
  <r>
    <x v="2"/>
    <x v="7"/>
    <x v="10"/>
    <x v="11"/>
    <x v="5"/>
    <x v="1"/>
    <x v="0"/>
    <x v="21"/>
    <x v="0"/>
  </r>
  <r>
    <x v="2"/>
    <x v="7"/>
    <x v="11"/>
    <x v="5"/>
    <x v="13"/>
    <x v="1"/>
    <x v="0"/>
    <x v="116"/>
    <x v="0"/>
  </r>
  <r>
    <x v="2"/>
    <x v="7"/>
    <x v="12"/>
    <x v="13"/>
    <x v="11"/>
    <x v="1"/>
    <x v="0"/>
    <x v="6"/>
    <x v="0"/>
  </r>
  <r>
    <x v="2"/>
    <x v="7"/>
    <x v="13"/>
    <x v="11"/>
    <x v="3"/>
    <x v="1"/>
    <x v="1"/>
    <x v="165"/>
    <x v="0"/>
  </r>
  <r>
    <x v="2"/>
    <x v="7"/>
    <x v="14"/>
    <x v="3"/>
    <x v="13"/>
    <x v="1"/>
    <x v="1"/>
    <x v="147"/>
    <x v="0"/>
  </r>
  <r>
    <x v="2"/>
    <x v="7"/>
    <x v="15"/>
    <x v="13"/>
    <x v="11"/>
    <x v="1"/>
    <x v="0"/>
    <x v="6"/>
    <x v="0"/>
  </r>
  <r>
    <x v="2"/>
    <x v="7"/>
    <x v="16"/>
    <x v="11"/>
    <x v="3"/>
    <x v="1"/>
    <x v="0"/>
    <x v="90"/>
    <x v="0"/>
  </r>
  <r>
    <x v="2"/>
    <x v="7"/>
    <x v="17"/>
    <x v="3"/>
    <x v="13"/>
    <x v="1"/>
    <x v="0"/>
    <x v="15"/>
    <x v="0"/>
  </r>
  <r>
    <x v="2"/>
    <x v="7"/>
    <x v="18"/>
    <x v="13"/>
    <x v="11"/>
    <x v="1"/>
    <x v="0"/>
    <x v="6"/>
    <x v="0"/>
  </r>
  <r>
    <x v="2"/>
    <x v="7"/>
    <x v="19"/>
    <x v="11"/>
    <x v="7"/>
    <x v="1"/>
    <x v="0"/>
    <x v="125"/>
    <x v="0"/>
  </r>
  <r>
    <x v="2"/>
    <x v="7"/>
    <x v="20"/>
    <x v="7"/>
    <x v="13"/>
    <x v="1"/>
    <x v="0"/>
    <x v="13"/>
    <x v="0"/>
  </r>
  <r>
    <x v="2"/>
    <x v="7"/>
    <x v="21"/>
    <x v="13"/>
    <x v="5"/>
    <x v="1"/>
    <x v="0"/>
    <x v="141"/>
    <x v="0"/>
  </r>
  <r>
    <x v="2"/>
    <x v="7"/>
    <x v="22"/>
    <x v="5"/>
    <x v="13"/>
    <x v="1"/>
    <x v="0"/>
    <x v="116"/>
    <x v="0"/>
  </r>
  <r>
    <x v="2"/>
    <x v="7"/>
    <x v="23"/>
    <x v="13"/>
    <x v="11"/>
    <x v="1"/>
    <x v="0"/>
    <x v="6"/>
    <x v="0"/>
  </r>
  <r>
    <x v="2"/>
    <x v="7"/>
    <x v="24"/>
    <x v="11"/>
    <x v="7"/>
    <x v="1"/>
    <x v="0"/>
    <x v="125"/>
    <x v="0"/>
  </r>
  <r>
    <x v="2"/>
    <x v="7"/>
    <x v="25"/>
    <x v="7"/>
    <x v="13"/>
    <x v="1"/>
    <x v="0"/>
    <x v="13"/>
    <x v="0"/>
  </r>
  <r>
    <x v="2"/>
    <x v="7"/>
    <x v="26"/>
    <x v="13"/>
    <x v="11"/>
    <x v="1"/>
    <x v="0"/>
    <x v="6"/>
    <x v="0"/>
  </r>
  <r>
    <x v="2"/>
    <x v="7"/>
    <x v="27"/>
    <x v="11"/>
    <x v="3"/>
    <x v="1"/>
    <x v="1"/>
    <x v="165"/>
    <x v="0"/>
  </r>
  <r>
    <x v="2"/>
    <x v="7"/>
    <x v="28"/>
    <x v="3"/>
    <x v="13"/>
    <x v="1"/>
    <x v="1"/>
    <x v="147"/>
    <x v="0"/>
  </r>
  <r>
    <x v="2"/>
    <x v="7"/>
    <x v="29"/>
    <x v="13"/>
    <x v="11"/>
    <x v="1"/>
    <x v="0"/>
    <x v="6"/>
    <x v="0"/>
  </r>
  <r>
    <x v="2"/>
    <x v="7"/>
    <x v="30"/>
    <x v="11"/>
    <x v="3"/>
    <x v="1"/>
    <x v="0"/>
    <x v="90"/>
    <x v="0"/>
  </r>
  <r>
    <x v="2"/>
    <x v="7"/>
    <x v="31"/>
    <x v="3"/>
    <x v="13"/>
    <x v="1"/>
    <x v="0"/>
    <x v="15"/>
    <x v="0"/>
  </r>
  <r>
    <x v="2"/>
    <x v="7"/>
    <x v="32"/>
    <x v="13"/>
    <x v="11"/>
    <x v="1"/>
    <x v="0"/>
    <x v="6"/>
    <x v="0"/>
  </r>
  <r>
    <x v="2"/>
    <x v="7"/>
    <x v="33"/>
    <x v="11"/>
    <x v="3"/>
    <x v="1"/>
    <x v="2"/>
    <x v="114"/>
    <x v="0"/>
  </r>
  <r>
    <x v="2"/>
    <x v="7"/>
    <x v="34"/>
    <x v="15"/>
    <x v="15"/>
    <x v="1"/>
    <x v="0"/>
    <x v="102"/>
    <x v="0"/>
  </r>
  <r>
    <x v="2"/>
    <x v="9"/>
    <x v="0"/>
    <x v="15"/>
    <x v="15"/>
    <x v="3"/>
    <x v="0"/>
    <x v="59"/>
    <x v="0"/>
  </r>
  <r>
    <x v="2"/>
    <x v="9"/>
    <x v="1"/>
    <x v="5"/>
    <x v="11"/>
    <x v="3"/>
    <x v="0"/>
    <x v="78"/>
    <x v="0"/>
  </r>
  <r>
    <x v="2"/>
    <x v="9"/>
    <x v="2"/>
    <x v="11"/>
    <x v="13"/>
    <x v="3"/>
    <x v="0"/>
    <x v="124"/>
    <x v="0"/>
  </r>
  <r>
    <x v="2"/>
    <x v="9"/>
    <x v="3"/>
    <x v="13"/>
    <x v="11"/>
    <x v="3"/>
    <x v="0"/>
    <x v="17"/>
    <x v="0"/>
  </r>
  <r>
    <x v="2"/>
    <x v="9"/>
    <x v="4"/>
    <x v="11"/>
    <x v="3"/>
    <x v="3"/>
    <x v="0"/>
    <x v="127"/>
    <x v="0"/>
  </r>
  <r>
    <x v="2"/>
    <x v="9"/>
    <x v="5"/>
    <x v="3"/>
    <x v="13"/>
    <x v="3"/>
    <x v="0"/>
    <x v="64"/>
    <x v="0"/>
  </r>
  <r>
    <x v="2"/>
    <x v="9"/>
    <x v="6"/>
    <x v="13"/>
    <x v="11"/>
    <x v="3"/>
    <x v="0"/>
    <x v="17"/>
    <x v="0"/>
  </r>
  <r>
    <x v="2"/>
    <x v="9"/>
    <x v="7"/>
    <x v="11"/>
    <x v="5"/>
    <x v="3"/>
    <x v="0"/>
    <x v="118"/>
    <x v="0"/>
  </r>
  <r>
    <x v="2"/>
    <x v="9"/>
    <x v="8"/>
    <x v="5"/>
    <x v="13"/>
    <x v="3"/>
    <x v="0"/>
    <x v="72"/>
    <x v="0"/>
  </r>
  <r>
    <x v="2"/>
    <x v="9"/>
    <x v="9"/>
    <x v="13"/>
    <x v="11"/>
    <x v="3"/>
    <x v="0"/>
    <x v="17"/>
    <x v="0"/>
  </r>
  <r>
    <x v="2"/>
    <x v="9"/>
    <x v="10"/>
    <x v="11"/>
    <x v="5"/>
    <x v="3"/>
    <x v="0"/>
    <x v="118"/>
    <x v="0"/>
  </r>
  <r>
    <x v="2"/>
    <x v="9"/>
    <x v="11"/>
    <x v="5"/>
    <x v="13"/>
    <x v="3"/>
    <x v="0"/>
    <x v="72"/>
    <x v="0"/>
  </r>
  <r>
    <x v="2"/>
    <x v="9"/>
    <x v="12"/>
    <x v="13"/>
    <x v="11"/>
    <x v="3"/>
    <x v="1"/>
    <x v="160"/>
    <x v="0"/>
  </r>
  <r>
    <x v="2"/>
    <x v="9"/>
    <x v="13"/>
    <x v="11"/>
    <x v="1"/>
    <x v="3"/>
    <x v="0"/>
    <x v="41"/>
    <x v="0"/>
  </r>
  <r>
    <x v="2"/>
    <x v="9"/>
    <x v="14"/>
    <x v="1"/>
    <x v="13"/>
    <x v="3"/>
    <x v="0"/>
    <x v="25"/>
    <x v="0"/>
  </r>
  <r>
    <x v="2"/>
    <x v="9"/>
    <x v="15"/>
    <x v="13"/>
    <x v="11"/>
    <x v="3"/>
    <x v="0"/>
    <x v="17"/>
    <x v="0"/>
  </r>
  <r>
    <x v="2"/>
    <x v="9"/>
    <x v="16"/>
    <x v="11"/>
    <x v="3"/>
    <x v="3"/>
    <x v="0"/>
    <x v="127"/>
    <x v="0"/>
  </r>
  <r>
    <x v="2"/>
    <x v="9"/>
    <x v="17"/>
    <x v="3"/>
    <x v="13"/>
    <x v="3"/>
    <x v="1"/>
    <x v="168"/>
    <x v="0"/>
  </r>
  <r>
    <x v="2"/>
    <x v="9"/>
    <x v="18"/>
    <x v="13"/>
    <x v="11"/>
    <x v="3"/>
    <x v="0"/>
    <x v="17"/>
    <x v="0"/>
  </r>
  <r>
    <x v="2"/>
    <x v="9"/>
    <x v="19"/>
    <x v="11"/>
    <x v="7"/>
    <x v="3"/>
    <x v="0"/>
    <x v="96"/>
    <x v="0"/>
  </r>
  <r>
    <x v="2"/>
    <x v="9"/>
    <x v="20"/>
    <x v="7"/>
    <x v="13"/>
    <x v="3"/>
    <x v="0"/>
    <x v="27"/>
    <x v="0"/>
  </r>
  <r>
    <x v="2"/>
    <x v="9"/>
    <x v="21"/>
    <x v="13"/>
    <x v="5"/>
    <x v="3"/>
    <x v="0"/>
    <x v="74"/>
    <x v="0"/>
  </r>
  <r>
    <x v="2"/>
    <x v="9"/>
    <x v="22"/>
    <x v="5"/>
    <x v="13"/>
    <x v="3"/>
    <x v="0"/>
    <x v="72"/>
    <x v="0"/>
  </r>
  <r>
    <x v="2"/>
    <x v="9"/>
    <x v="23"/>
    <x v="13"/>
    <x v="11"/>
    <x v="3"/>
    <x v="0"/>
    <x v="17"/>
    <x v="0"/>
  </r>
  <r>
    <x v="2"/>
    <x v="9"/>
    <x v="24"/>
    <x v="11"/>
    <x v="7"/>
    <x v="3"/>
    <x v="0"/>
    <x v="96"/>
    <x v="0"/>
  </r>
  <r>
    <x v="2"/>
    <x v="9"/>
    <x v="25"/>
    <x v="7"/>
    <x v="13"/>
    <x v="3"/>
    <x v="0"/>
    <x v="27"/>
    <x v="0"/>
  </r>
  <r>
    <x v="2"/>
    <x v="9"/>
    <x v="26"/>
    <x v="13"/>
    <x v="11"/>
    <x v="3"/>
    <x v="1"/>
    <x v="160"/>
    <x v="0"/>
  </r>
  <r>
    <x v="2"/>
    <x v="9"/>
    <x v="27"/>
    <x v="11"/>
    <x v="1"/>
    <x v="3"/>
    <x v="0"/>
    <x v="41"/>
    <x v="0"/>
  </r>
  <r>
    <x v="2"/>
    <x v="9"/>
    <x v="28"/>
    <x v="1"/>
    <x v="13"/>
    <x v="3"/>
    <x v="0"/>
    <x v="25"/>
    <x v="0"/>
  </r>
  <r>
    <x v="2"/>
    <x v="9"/>
    <x v="29"/>
    <x v="13"/>
    <x v="11"/>
    <x v="3"/>
    <x v="0"/>
    <x v="17"/>
    <x v="0"/>
  </r>
  <r>
    <x v="2"/>
    <x v="9"/>
    <x v="30"/>
    <x v="11"/>
    <x v="3"/>
    <x v="3"/>
    <x v="0"/>
    <x v="127"/>
    <x v="0"/>
  </r>
  <r>
    <x v="2"/>
    <x v="9"/>
    <x v="31"/>
    <x v="3"/>
    <x v="13"/>
    <x v="3"/>
    <x v="0"/>
    <x v="64"/>
    <x v="0"/>
  </r>
  <r>
    <x v="2"/>
    <x v="9"/>
    <x v="32"/>
    <x v="13"/>
    <x v="11"/>
    <x v="3"/>
    <x v="0"/>
    <x v="17"/>
    <x v="0"/>
  </r>
  <r>
    <x v="2"/>
    <x v="9"/>
    <x v="33"/>
    <x v="11"/>
    <x v="3"/>
    <x v="3"/>
    <x v="1"/>
    <x v="83"/>
    <x v="0"/>
  </r>
  <r>
    <x v="2"/>
    <x v="9"/>
    <x v="34"/>
    <x v="15"/>
    <x v="15"/>
    <x v="3"/>
    <x v="0"/>
    <x v="59"/>
    <x v="0"/>
  </r>
  <r>
    <x v="3"/>
    <x v="0"/>
    <x v="0"/>
    <x v="15"/>
    <x v="15"/>
    <x v="0"/>
    <x v="0"/>
    <x v="76"/>
    <x v="0"/>
  </r>
  <r>
    <x v="3"/>
    <x v="0"/>
    <x v="1"/>
    <x v="4"/>
    <x v="10"/>
    <x v="0"/>
    <x v="0"/>
    <x v="95"/>
    <x v="0"/>
  </r>
  <r>
    <x v="3"/>
    <x v="0"/>
    <x v="2"/>
    <x v="10"/>
    <x v="13"/>
    <x v="0"/>
    <x v="0"/>
    <x v="100"/>
    <x v="0"/>
  </r>
  <r>
    <x v="3"/>
    <x v="0"/>
    <x v="3"/>
    <x v="13"/>
    <x v="4"/>
    <x v="0"/>
    <x v="2"/>
    <x v="131"/>
    <x v="0"/>
  </r>
  <r>
    <x v="3"/>
    <x v="0"/>
    <x v="4"/>
    <x v="4"/>
    <x v="10"/>
    <x v="0"/>
    <x v="1"/>
    <x v="128"/>
    <x v="0"/>
  </r>
  <r>
    <x v="3"/>
    <x v="0"/>
    <x v="5"/>
    <x v="10"/>
    <x v="13"/>
    <x v="0"/>
    <x v="0"/>
    <x v="100"/>
    <x v="0"/>
  </r>
  <r>
    <x v="3"/>
    <x v="0"/>
    <x v="6"/>
    <x v="13"/>
    <x v="4"/>
    <x v="0"/>
    <x v="2"/>
    <x v="131"/>
    <x v="0"/>
  </r>
  <r>
    <x v="3"/>
    <x v="0"/>
    <x v="7"/>
    <x v="4"/>
    <x v="10"/>
    <x v="0"/>
    <x v="1"/>
    <x v="128"/>
    <x v="0"/>
  </r>
  <r>
    <x v="3"/>
    <x v="0"/>
    <x v="8"/>
    <x v="10"/>
    <x v="13"/>
    <x v="0"/>
    <x v="0"/>
    <x v="100"/>
    <x v="0"/>
  </r>
  <r>
    <x v="3"/>
    <x v="0"/>
    <x v="9"/>
    <x v="13"/>
    <x v="4"/>
    <x v="0"/>
    <x v="2"/>
    <x v="131"/>
    <x v="0"/>
  </r>
  <r>
    <x v="3"/>
    <x v="0"/>
    <x v="10"/>
    <x v="4"/>
    <x v="10"/>
    <x v="0"/>
    <x v="1"/>
    <x v="128"/>
    <x v="0"/>
  </r>
  <r>
    <x v="3"/>
    <x v="0"/>
    <x v="11"/>
    <x v="10"/>
    <x v="13"/>
    <x v="0"/>
    <x v="0"/>
    <x v="100"/>
    <x v="0"/>
  </r>
  <r>
    <x v="3"/>
    <x v="0"/>
    <x v="12"/>
    <x v="13"/>
    <x v="4"/>
    <x v="0"/>
    <x v="2"/>
    <x v="131"/>
    <x v="0"/>
  </r>
  <r>
    <x v="3"/>
    <x v="0"/>
    <x v="13"/>
    <x v="4"/>
    <x v="10"/>
    <x v="0"/>
    <x v="1"/>
    <x v="128"/>
    <x v="0"/>
  </r>
  <r>
    <x v="3"/>
    <x v="0"/>
    <x v="14"/>
    <x v="10"/>
    <x v="13"/>
    <x v="0"/>
    <x v="0"/>
    <x v="100"/>
    <x v="0"/>
  </r>
  <r>
    <x v="3"/>
    <x v="0"/>
    <x v="15"/>
    <x v="13"/>
    <x v="4"/>
    <x v="0"/>
    <x v="2"/>
    <x v="131"/>
    <x v="0"/>
  </r>
  <r>
    <x v="3"/>
    <x v="0"/>
    <x v="16"/>
    <x v="4"/>
    <x v="10"/>
    <x v="0"/>
    <x v="1"/>
    <x v="128"/>
    <x v="0"/>
  </r>
  <r>
    <x v="3"/>
    <x v="0"/>
    <x v="17"/>
    <x v="10"/>
    <x v="13"/>
    <x v="0"/>
    <x v="0"/>
    <x v="100"/>
    <x v="0"/>
  </r>
  <r>
    <x v="3"/>
    <x v="0"/>
    <x v="18"/>
    <x v="13"/>
    <x v="2"/>
    <x v="0"/>
    <x v="3"/>
    <x v="94"/>
    <x v="0"/>
  </r>
  <r>
    <x v="3"/>
    <x v="0"/>
    <x v="19"/>
    <x v="2"/>
    <x v="10"/>
    <x v="0"/>
    <x v="0"/>
    <x v="45"/>
    <x v="0"/>
  </r>
  <r>
    <x v="3"/>
    <x v="0"/>
    <x v="20"/>
    <x v="10"/>
    <x v="13"/>
    <x v="0"/>
    <x v="0"/>
    <x v="100"/>
    <x v="0"/>
  </r>
  <r>
    <x v="3"/>
    <x v="0"/>
    <x v="21"/>
    <x v="13"/>
    <x v="4"/>
    <x v="0"/>
    <x v="2"/>
    <x v="131"/>
    <x v="0"/>
  </r>
  <r>
    <x v="3"/>
    <x v="0"/>
    <x v="22"/>
    <x v="4"/>
    <x v="10"/>
    <x v="0"/>
    <x v="1"/>
    <x v="128"/>
    <x v="0"/>
  </r>
  <r>
    <x v="3"/>
    <x v="0"/>
    <x v="23"/>
    <x v="10"/>
    <x v="13"/>
    <x v="0"/>
    <x v="0"/>
    <x v="100"/>
    <x v="0"/>
  </r>
  <r>
    <x v="3"/>
    <x v="0"/>
    <x v="24"/>
    <x v="13"/>
    <x v="4"/>
    <x v="0"/>
    <x v="2"/>
    <x v="131"/>
    <x v="0"/>
  </r>
  <r>
    <x v="3"/>
    <x v="0"/>
    <x v="25"/>
    <x v="4"/>
    <x v="10"/>
    <x v="0"/>
    <x v="1"/>
    <x v="128"/>
    <x v="0"/>
  </r>
  <r>
    <x v="3"/>
    <x v="0"/>
    <x v="26"/>
    <x v="10"/>
    <x v="13"/>
    <x v="0"/>
    <x v="0"/>
    <x v="100"/>
    <x v="0"/>
  </r>
  <r>
    <x v="3"/>
    <x v="0"/>
    <x v="27"/>
    <x v="13"/>
    <x v="4"/>
    <x v="0"/>
    <x v="2"/>
    <x v="131"/>
    <x v="0"/>
  </r>
  <r>
    <x v="3"/>
    <x v="0"/>
    <x v="28"/>
    <x v="4"/>
    <x v="10"/>
    <x v="0"/>
    <x v="1"/>
    <x v="128"/>
    <x v="0"/>
  </r>
  <r>
    <x v="3"/>
    <x v="0"/>
    <x v="29"/>
    <x v="10"/>
    <x v="13"/>
    <x v="0"/>
    <x v="0"/>
    <x v="100"/>
    <x v="0"/>
  </r>
  <r>
    <x v="3"/>
    <x v="0"/>
    <x v="30"/>
    <x v="13"/>
    <x v="2"/>
    <x v="0"/>
    <x v="3"/>
    <x v="94"/>
    <x v="0"/>
  </r>
  <r>
    <x v="3"/>
    <x v="0"/>
    <x v="31"/>
    <x v="2"/>
    <x v="10"/>
    <x v="0"/>
    <x v="0"/>
    <x v="45"/>
    <x v="0"/>
  </r>
  <r>
    <x v="3"/>
    <x v="0"/>
    <x v="32"/>
    <x v="10"/>
    <x v="13"/>
    <x v="0"/>
    <x v="0"/>
    <x v="100"/>
    <x v="0"/>
  </r>
  <r>
    <x v="3"/>
    <x v="0"/>
    <x v="33"/>
    <x v="13"/>
    <x v="10"/>
    <x v="0"/>
    <x v="0"/>
    <x v="170"/>
    <x v="0"/>
  </r>
  <r>
    <x v="3"/>
    <x v="0"/>
    <x v="34"/>
    <x v="10"/>
    <x v="4"/>
    <x v="0"/>
    <x v="1"/>
    <x v="86"/>
    <x v="0"/>
  </r>
  <r>
    <x v="3"/>
    <x v="0"/>
    <x v="35"/>
    <x v="15"/>
    <x v="15"/>
    <x v="0"/>
    <x v="0"/>
    <x v="76"/>
    <x v="0"/>
  </r>
  <r>
    <x v="3"/>
    <x v="1"/>
    <x v="0"/>
    <x v="15"/>
    <x v="15"/>
    <x v="0"/>
    <x v="0"/>
    <x v="76"/>
    <x v="0"/>
  </r>
  <r>
    <x v="3"/>
    <x v="1"/>
    <x v="1"/>
    <x v="4"/>
    <x v="10"/>
    <x v="0"/>
    <x v="0"/>
    <x v="95"/>
    <x v="0"/>
  </r>
  <r>
    <x v="3"/>
    <x v="1"/>
    <x v="2"/>
    <x v="10"/>
    <x v="13"/>
    <x v="0"/>
    <x v="0"/>
    <x v="100"/>
    <x v="0"/>
  </r>
  <r>
    <x v="3"/>
    <x v="1"/>
    <x v="3"/>
    <x v="13"/>
    <x v="10"/>
    <x v="0"/>
    <x v="0"/>
    <x v="170"/>
    <x v="0"/>
  </r>
  <r>
    <x v="3"/>
    <x v="1"/>
    <x v="4"/>
    <x v="10"/>
    <x v="4"/>
    <x v="0"/>
    <x v="0"/>
    <x v="68"/>
    <x v="0"/>
  </r>
  <r>
    <x v="3"/>
    <x v="1"/>
    <x v="5"/>
    <x v="4"/>
    <x v="13"/>
    <x v="0"/>
    <x v="1"/>
    <x v="105"/>
    <x v="0"/>
  </r>
  <r>
    <x v="3"/>
    <x v="1"/>
    <x v="6"/>
    <x v="13"/>
    <x v="10"/>
    <x v="0"/>
    <x v="0"/>
    <x v="170"/>
    <x v="0"/>
  </r>
  <r>
    <x v="3"/>
    <x v="1"/>
    <x v="7"/>
    <x v="10"/>
    <x v="4"/>
    <x v="0"/>
    <x v="0"/>
    <x v="68"/>
    <x v="0"/>
  </r>
  <r>
    <x v="3"/>
    <x v="1"/>
    <x v="8"/>
    <x v="4"/>
    <x v="13"/>
    <x v="0"/>
    <x v="1"/>
    <x v="105"/>
    <x v="0"/>
  </r>
  <r>
    <x v="3"/>
    <x v="1"/>
    <x v="9"/>
    <x v="13"/>
    <x v="10"/>
    <x v="0"/>
    <x v="0"/>
    <x v="170"/>
    <x v="0"/>
  </r>
  <r>
    <x v="3"/>
    <x v="1"/>
    <x v="10"/>
    <x v="10"/>
    <x v="4"/>
    <x v="0"/>
    <x v="0"/>
    <x v="68"/>
    <x v="0"/>
  </r>
  <r>
    <x v="3"/>
    <x v="1"/>
    <x v="11"/>
    <x v="4"/>
    <x v="13"/>
    <x v="0"/>
    <x v="1"/>
    <x v="105"/>
    <x v="0"/>
  </r>
  <r>
    <x v="3"/>
    <x v="1"/>
    <x v="12"/>
    <x v="13"/>
    <x v="10"/>
    <x v="0"/>
    <x v="0"/>
    <x v="170"/>
    <x v="0"/>
  </r>
  <r>
    <x v="3"/>
    <x v="1"/>
    <x v="13"/>
    <x v="10"/>
    <x v="4"/>
    <x v="0"/>
    <x v="0"/>
    <x v="68"/>
    <x v="0"/>
  </r>
  <r>
    <x v="3"/>
    <x v="1"/>
    <x v="14"/>
    <x v="4"/>
    <x v="13"/>
    <x v="0"/>
    <x v="1"/>
    <x v="105"/>
    <x v="0"/>
  </r>
  <r>
    <x v="3"/>
    <x v="1"/>
    <x v="15"/>
    <x v="13"/>
    <x v="10"/>
    <x v="0"/>
    <x v="0"/>
    <x v="170"/>
    <x v="0"/>
  </r>
  <r>
    <x v="3"/>
    <x v="1"/>
    <x v="16"/>
    <x v="10"/>
    <x v="4"/>
    <x v="0"/>
    <x v="0"/>
    <x v="68"/>
    <x v="0"/>
  </r>
  <r>
    <x v="3"/>
    <x v="1"/>
    <x v="17"/>
    <x v="4"/>
    <x v="13"/>
    <x v="0"/>
    <x v="1"/>
    <x v="105"/>
    <x v="0"/>
  </r>
  <r>
    <x v="3"/>
    <x v="1"/>
    <x v="18"/>
    <x v="13"/>
    <x v="10"/>
    <x v="0"/>
    <x v="0"/>
    <x v="170"/>
    <x v="0"/>
  </r>
  <r>
    <x v="3"/>
    <x v="1"/>
    <x v="19"/>
    <x v="10"/>
    <x v="2"/>
    <x v="0"/>
    <x v="1"/>
    <x v="50"/>
    <x v="0"/>
  </r>
  <r>
    <x v="3"/>
    <x v="1"/>
    <x v="20"/>
    <x v="2"/>
    <x v="13"/>
    <x v="0"/>
    <x v="1"/>
    <x v="24"/>
    <x v="0"/>
  </r>
  <r>
    <x v="3"/>
    <x v="1"/>
    <x v="21"/>
    <x v="13"/>
    <x v="10"/>
    <x v="0"/>
    <x v="0"/>
    <x v="170"/>
    <x v="0"/>
  </r>
  <r>
    <x v="3"/>
    <x v="1"/>
    <x v="22"/>
    <x v="10"/>
    <x v="4"/>
    <x v="0"/>
    <x v="0"/>
    <x v="68"/>
    <x v="0"/>
  </r>
  <r>
    <x v="3"/>
    <x v="1"/>
    <x v="23"/>
    <x v="4"/>
    <x v="13"/>
    <x v="0"/>
    <x v="1"/>
    <x v="105"/>
    <x v="0"/>
  </r>
  <r>
    <x v="3"/>
    <x v="1"/>
    <x v="24"/>
    <x v="13"/>
    <x v="10"/>
    <x v="0"/>
    <x v="0"/>
    <x v="170"/>
    <x v="0"/>
  </r>
  <r>
    <x v="3"/>
    <x v="1"/>
    <x v="25"/>
    <x v="10"/>
    <x v="4"/>
    <x v="0"/>
    <x v="0"/>
    <x v="68"/>
    <x v="0"/>
  </r>
  <r>
    <x v="3"/>
    <x v="1"/>
    <x v="26"/>
    <x v="4"/>
    <x v="13"/>
    <x v="0"/>
    <x v="1"/>
    <x v="105"/>
    <x v="0"/>
  </r>
  <r>
    <x v="3"/>
    <x v="1"/>
    <x v="27"/>
    <x v="13"/>
    <x v="10"/>
    <x v="0"/>
    <x v="0"/>
    <x v="170"/>
    <x v="0"/>
  </r>
  <r>
    <x v="3"/>
    <x v="1"/>
    <x v="28"/>
    <x v="10"/>
    <x v="4"/>
    <x v="0"/>
    <x v="0"/>
    <x v="68"/>
    <x v="0"/>
  </r>
  <r>
    <x v="3"/>
    <x v="1"/>
    <x v="29"/>
    <x v="4"/>
    <x v="13"/>
    <x v="0"/>
    <x v="1"/>
    <x v="105"/>
    <x v="0"/>
  </r>
  <r>
    <x v="3"/>
    <x v="1"/>
    <x v="30"/>
    <x v="13"/>
    <x v="10"/>
    <x v="0"/>
    <x v="0"/>
    <x v="170"/>
    <x v="0"/>
  </r>
  <r>
    <x v="3"/>
    <x v="1"/>
    <x v="31"/>
    <x v="10"/>
    <x v="2"/>
    <x v="0"/>
    <x v="1"/>
    <x v="50"/>
    <x v="0"/>
  </r>
  <r>
    <x v="3"/>
    <x v="1"/>
    <x v="32"/>
    <x v="2"/>
    <x v="13"/>
    <x v="0"/>
    <x v="1"/>
    <x v="24"/>
    <x v="0"/>
  </r>
  <r>
    <x v="3"/>
    <x v="1"/>
    <x v="33"/>
    <x v="13"/>
    <x v="10"/>
    <x v="0"/>
    <x v="0"/>
    <x v="170"/>
    <x v="0"/>
  </r>
  <r>
    <x v="3"/>
    <x v="1"/>
    <x v="34"/>
    <x v="10"/>
    <x v="4"/>
    <x v="0"/>
    <x v="1"/>
    <x v="86"/>
    <x v="0"/>
  </r>
  <r>
    <x v="3"/>
    <x v="1"/>
    <x v="35"/>
    <x v="15"/>
    <x v="15"/>
    <x v="0"/>
    <x v="0"/>
    <x v="76"/>
    <x v="0"/>
  </r>
  <r>
    <x v="3"/>
    <x v="3"/>
    <x v="0"/>
    <x v="15"/>
    <x v="15"/>
    <x v="1"/>
    <x v="0"/>
    <x v="102"/>
    <x v="0"/>
  </r>
  <r>
    <x v="3"/>
    <x v="3"/>
    <x v="1"/>
    <x v="4"/>
    <x v="10"/>
    <x v="1"/>
    <x v="0"/>
    <x v="52"/>
    <x v="0"/>
  </r>
  <r>
    <x v="3"/>
    <x v="3"/>
    <x v="2"/>
    <x v="10"/>
    <x v="13"/>
    <x v="1"/>
    <x v="0"/>
    <x v="28"/>
    <x v="0"/>
  </r>
  <r>
    <x v="3"/>
    <x v="3"/>
    <x v="3"/>
    <x v="13"/>
    <x v="10"/>
    <x v="1"/>
    <x v="0"/>
    <x v="80"/>
    <x v="0"/>
  </r>
  <r>
    <x v="3"/>
    <x v="3"/>
    <x v="4"/>
    <x v="10"/>
    <x v="4"/>
    <x v="1"/>
    <x v="0"/>
    <x v="155"/>
    <x v="0"/>
  </r>
  <r>
    <x v="3"/>
    <x v="3"/>
    <x v="5"/>
    <x v="4"/>
    <x v="13"/>
    <x v="1"/>
    <x v="1"/>
    <x v="135"/>
    <x v="0"/>
  </r>
  <r>
    <x v="3"/>
    <x v="3"/>
    <x v="6"/>
    <x v="13"/>
    <x v="10"/>
    <x v="1"/>
    <x v="0"/>
    <x v="80"/>
    <x v="0"/>
  </r>
  <r>
    <x v="3"/>
    <x v="3"/>
    <x v="7"/>
    <x v="10"/>
    <x v="4"/>
    <x v="1"/>
    <x v="0"/>
    <x v="155"/>
    <x v="0"/>
  </r>
  <r>
    <x v="3"/>
    <x v="3"/>
    <x v="8"/>
    <x v="4"/>
    <x v="13"/>
    <x v="1"/>
    <x v="1"/>
    <x v="135"/>
    <x v="0"/>
  </r>
  <r>
    <x v="3"/>
    <x v="3"/>
    <x v="9"/>
    <x v="13"/>
    <x v="10"/>
    <x v="1"/>
    <x v="0"/>
    <x v="80"/>
    <x v="0"/>
  </r>
  <r>
    <x v="3"/>
    <x v="3"/>
    <x v="10"/>
    <x v="10"/>
    <x v="4"/>
    <x v="1"/>
    <x v="0"/>
    <x v="155"/>
    <x v="0"/>
  </r>
  <r>
    <x v="3"/>
    <x v="3"/>
    <x v="11"/>
    <x v="4"/>
    <x v="13"/>
    <x v="1"/>
    <x v="1"/>
    <x v="135"/>
    <x v="0"/>
  </r>
  <r>
    <x v="3"/>
    <x v="3"/>
    <x v="12"/>
    <x v="13"/>
    <x v="10"/>
    <x v="1"/>
    <x v="0"/>
    <x v="80"/>
    <x v="0"/>
  </r>
  <r>
    <x v="3"/>
    <x v="3"/>
    <x v="13"/>
    <x v="10"/>
    <x v="4"/>
    <x v="1"/>
    <x v="0"/>
    <x v="155"/>
    <x v="0"/>
  </r>
  <r>
    <x v="3"/>
    <x v="3"/>
    <x v="14"/>
    <x v="4"/>
    <x v="13"/>
    <x v="1"/>
    <x v="1"/>
    <x v="135"/>
    <x v="0"/>
  </r>
  <r>
    <x v="3"/>
    <x v="3"/>
    <x v="15"/>
    <x v="13"/>
    <x v="10"/>
    <x v="1"/>
    <x v="0"/>
    <x v="80"/>
    <x v="0"/>
  </r>
  <r>
    <x v="3"/>
    <x v="3"/>
    <x v="16"/>
    <x v="10"/>
    <x v="4"/>
    <x v="1"/>
    <x v="0"/>
    <x v="155"/>
    <x v="0"/>
  </r>
  <r>
    <x v="3"/>
    <x v="3"/>
    <x v="17"/>
    <x v="4"/>
    <x v="13"/>
    <x v="1"/>
    <x v="1"/>
    <x v="135"/>
    <x v="0"/>
  </r>
  <r>
    <x v="3"/>
    <x v="3"/>
    <x v="18"/>
    <x v="13"/>
    <x v="10"/>
    <x v="1"/>
    <x v="0"/>
    <x v="80"/>
    <x v="0"/>
  </r>
  <r>
    <x v="3"/>
    <x v="3"/>
    <x v="19"/>
    <x v="10"/>
    <x v="2"/>
    <x v="1"/>
    <x v="0"/>
    <x v="99"/>
    <x v="0"/>
  </r>
  <r>
    <x v="3"/>
    <x v="3"/>
    <x v="20"/>
    <x v="2"/>
    <x v="13"/>
    <x v="1"/>
    <x v="1"/>
    <x v="65"/>
    <x v="0"/>
  </r>
  <r>
    <x v="3"/>
    <x v="3"/>
    <x v="21"/>
    <x v="13"/>
    <x v="10"/>
    <x v="1"/>
    <x v="0"/>
    <x v="80"/>
    <x v="0"/>
  </r>
  <r>
    <x v="3"/>
    <x v="3"/>
    <x v="22"/>
    <x v="10"/>
    <x v="4"/>
    <x v="1"/>
    <x v="0"/>
    <x v="155"/>
    <x v="0"/>
  </r>
  <r>
    <x v="3"/>
    <x v="3"/>
    <x v="23"/>
    <x v="4"/>
    <x v="13"/>
    <x v="1"/>
    <x v="1"/>
    <x v="135"/>
    <x v="0"/>
  </r>
  <r>
    <x v="3"/>
    <x v="3"/>
    <x v="24"/>
    <x v="13"/>
    <x v="10"/>
    <x v="1"/>
    <x v="0"/>
    <x v="80"/>
    <x v="0"/>
  </r>
  <r>
    <x v="3"/>
    <x v="3"/>
    <x v="25"/>
    <x v="10"/>
    <x v="4"/>
    <x v="1"/>
    <x v="0"/>
    <x v="155"/>
    <x v="0"/>
  </r>
  <r>
    <x v="3"/>
    <x v="3"/>
    <x v="26"/>
    <x v="4"/>
    <x v="13"/>
    <x v="1"/>
    <x v="1"/>
    <x v="135"/>
    <x v="0"/>
  </r>
  <r>
    <x v="3"/>
    <x v="3"/>
    <x v="27"/>
    <x v="13"/>
    <x v="10"/>
    <x v="1"/>
    <x v="0"/>
    <x v="80"/>
    <x v="0"/>
  </r>
  <r>
    <x v="3"/>
    <x v="3"/>
    <x v="28"/>
    <x v="10"/>
    <x v="4"/>
    <x v="1"/>
    <x v="0"/>
    <x v="155"/>
    <x v="0"/>
  </r>
  <r>
    <x v="3"/>
    <x v="3"/>
    <x v="29"/>
    <x v="4"/>
    <x v="13"/>
    <x v="1"/>
    <x v="1"/>
    <x v="135"/>
    <x v="0"/>
  </r>
  <r>
    <x v="3"/>
    <x v="3"/>
    <x v="30"/>
    <x v="13"/>
    <x v="10"/>
    <x v="1"/>
    <x v="0"/>
    <x v="80"/>
    <x v="0"/>
  </r>
  <r>
    <x v="3"/>
    <x v="3"/>
    <x v="31"/>
    <x v="10"/>
    <x v="2"/>
    <x v="1"/>
    <x v="0"/>
    <x v="99"/>
    <x v="0"/>
  </r>
  <r>
    <x v="3"/>
    <x v="3"/>
    <x v="32"/>
    <x v="2"/>
    <x v="13"/>
    <x v="1"/>
    <x v="1"/>
    <x v="65"/>
    <x v="0"/>
  </r>
  <r>
    <x v="3"/>
    <x v="3"/>
    <x v="33"/>
    <x v="13"/>
    <x v="10"/>
    <x v="1"/>
    <x v="0"/>
    <x v="80"/>
    <x v="0"/>
  </r>
  <r>
    <x v="3"/>
    <x v="3"/>
    <x v="34"/>
    <x v="10"/>
    <x v="4"/>
    <x v="1"/>
    <x v="1"/>
    <x v="85"/>
    <x v="0"/>
  </r>
  <r>
    <x v="3"/>
    <x v="3"/>
    <x v="35"/>
    <x v="15"/>
    <x v="15"/>
    <x v="1"/>
    <x v="0"/>
    <x v="102"/>
    <x v="0"/>
  </r>
  <r>
    <x v="3"/>
    <x v="5"/>
    <x v="0"/>
    <x v="15"/>
    <x v="15"/>
    <x v="0"/>
    <x v="0"/>
    <x v="76"/>
    <x v="0"/>
  </r>
  <r>
    <x v="3"/>
    <x v="5"/>
    <x v="1"/>
    <x v="5"/>
    <x v="11"/>
    <x v="0"/>
    <x v="0"/>
    <x v="62"/>
    <x v="0"/>
  </r>
  <r>
    <x v="3"/>
    <x v="5"/>
    <x v="2"/>
    <x v="11"/>
    <x v="13"/>
    <x v="0"/>
    <x v="0"/>
    <x v="132"/>
    <x v="0"/>
  </r>
  <r>
    <x v="3"/>
    <x v="5"/>
    <x v="3"/>
    <x v="13"/>
    <x v="11"/>
    <x v="0"/>
    <x v="0"/>
    <x v="149"/>
    <x v="0"/>
  </r>
  <r>
    <x v="3"/>
    <x v="5"/>
    <x v="4"/>
    <x v="11"/>
    <x v="5"/>
    <x v="0"/>
    <x v="0"/>
    <x v="134"/>
    <x v="0"/>
  </r>
  <r>
    <x v="3"/>
    <x v="5"/>
    <x v="5"/>
    <x v="5"/>
    <x v="13"/>
    <x v="0"/>
    <x v="0"/>
    <x v="142"/>
    <x v="0"/>
  </r>
  <r>
    <x v="3"/>
    <x v="5"/>
    <x v="6"/>
    <x v="13"/>
    <x v="11"/>
    <x v="0"/>
    <x v="0"/>
    <x v="149"/>
    <x v="0"/>
  </r>
  <r>
    <x v="3"/>
    <x v="5"/>
    <x v="7"/>
    <x v="11"/>
    <x v="5"/>
    <x v="0"/>
    <x v="0"/>
    <x v="134"/>
    <x v="0"/>
  </r>
  <r>
    <x v="3"/>
    <x v="5"/>
    <x v="8"/>
    <x v="5"/>
    <x v="13"/>
    <x v="0"/>
    <x v="0"/>
    <x v="142"/>
    <x v="0"/>
  </r>
  <r>
    <x v="3"/>
    <x v="5"/>
    <x v="9"/>
    <x v="13"/>
    <x v="11"/>
    <x v="0"/>
    <x v="0"/>
    <x v="149"/>
    <x v="0"/>
  </r>
  <r>
    <x v="3"/>
    <x v="5"/>
    <x v="10"/>
    <x v="11"/>
    <x v="5"/>
    <x v="0"/>
    <x v="0"/>
    <x v="134"/>
    <x v="0"/>
  </r>
  <r>
    <x v="3"/>
    <x v="5"/>
    <x v="11"/>
    <x v="5"/>
    <x v="13"/>
    <x v="0"/>
    <x v="0"/>
    <x v="142"/>
    <x v="0"/>
  </r>
  <r>
    <x v="3"/>
    <x v="5"/>
    <x v="12"/>
    <x v="13"/>
    <x v="11"/>
    <x v="0"/>
    <x v="0"/>
    <x v="149"/>
    <x v="0"/>
  </r>
  <r>
    <x v="3"/>
    <x v="5"/>
    <x v="13"/>
    <x v="11"/>
    <x v="5"/>
    <x v="0"/>
    <x v="0"/>
    <x v="134"/>
    <x v="0"/>
  </r>
  <r>
    <x v="3"/>
    <x v="5"/>
    <x v="14"/>
    <x v="5"/>
    <x v="13"/>
    <x v="0"/>
    <x v="0"/>
    <x v="142"/>
    <x v="0"/>
  </r>
  <r>
    <x v="3"/>
    <x v="5"/>
    <x v="15"/>
    <x v="13"/>
    <x v="11"/>
    <x v="0"/>
    <x v="0"/>
    <x v="149"/>
    <x v="0"/>
  </r>
  <r>
    <x v="3"/>
    <x v="5"/>
    <x v="16"/>
    <x v="11"/>
    <x v="5"/>
    <x v="0"/>
    <x v="0"/>
    <x v="134"/>
    <x v="0"/>
  </r>
  <r>
    <x v="3"/>
    <x v="5"/>
    <x v="17"/>
    <x v="5"/>
    <x v="13"/>
    <x v="0"/>
    <x v="0"/>
    <x v="142"/>
    <x v="0"/>
  </r>
  <r>
    <x v="3"/>
    <x v="5"/>
    <x v="18"/>
    <x v="13"/>
    <x v="11"/>
    <x v="0"/>
    <x v="0"/>
    <x v="149"/>
    <x v="0"/>
  </r>
  <r>
    <x v="3"/>
    <x v="5"/>
    <x v="19"/>
    <x v="11"/>
    <x v="3"/>
    <x v="0"/>
    <x v="0"/>
    <x v="35"/>
    <x v="0"/>
  </r>
  <r>
    <x v="3"/>
    <x v="5"/>
    <x v="20"/>
    <x v="3"/>
    <x v="13"/>
    <x v="0"/>
    <x v="0"/>
    <x v="67"/>
    <x v="0"/>
  </r>
  <r>
    <x v="3"/>
    <x v="5"/>
    <x v="21"/>
    <x v="13"/>
    <x v="11"/>
    <x v="0"/>
    <x v="0"/>
    <x v="149"/>
    <x v="0"/>
  </r>
  <r>
    <x v="3"/>
    <x v="5"/>
    <x v="22"/>
    <x v="11"/>
    <x v="5"/>
    <x v="0"/>
    <x v="0"/>
    <x v="134"/>
    <x v="0"/>
  </r>
  <r>
    <x v="3"/>
    <x v="5"/>
    <x v="23"/>
    <x v="5"/>
    <x v="13"/>
    <x v="0"/>
    <x v="0"/>
    <x v="142"/>
    <x v="0"/>
  </r>
  <r>
    <x v="3"/>
    <x v="5"/>
    <x v="24"/>
    <x v="13"/>
    <x v="11"/>
    <x v="0"/>
    <x v="0"/>
    <x v="149"/>
    <x v="0"/>
  </r>
  <r>
    <x v="3"/>
    <x v="5"/>
    <x v="25"/>
    <x v="11"/>
    <x v="5"/>
    <x v="0"/>
    <x v="0"/>
    <x v="134"/>
    <x v="0"/>
  </r>
  <r>
    <x v="3"/>
    <x v="5"/>
    <x v="26"/>
    <x v="5"/>
    <x v="13"/>
    <x v="0"/>
    <x v="0"/>
    <x v="142"/>
    <x v="0"/>
  </r>
  <r>
    <x v="3"/>
    <x v="5"/>
    <x v="27"/>
    <x v="13"/>
    <x v="11"/>
    <x v="0"/>
    <x v="0"/>
    <x v="149"/>
    <x v="0"/>
  </r>
  <r>
    <x v="3"/>
    <x v="5"/>
    <x v="28"/>
    <x v="11"/>
    <x v="5"/>
    <x v="0"/>
    <x v="0"/>
    <x v="134"/>
    <x v="0"/>
  </r>
  <r>
    <x v="3"/>
    <x v="5"/>
    <x v="29"/>
    <x v="5"/>
    <x v="13"/>
    <x v="0"/>
    <x v="0"/>
    <x v="142"/>
    <x v="0"/>
  </r>
  <r>
    <x v="3"/>
    <x v="5"/>
    <x v="30"/>
    <x v="13"/>
    <x v="11"/>
    <x v="0"/>
    <x v="0"/>
    <x v="149"/>
    <x v="0"/>
  </r>
  <r>
    <x v="3"/>
    <x v="5"/>
    <x v="31"/>
    <x v="11"/>
    <x v="3"/>
    <x v="0"/>
    <x v="0"/>
    <x v="35"/>
    <x v="0"/>
  </r>
  <r>
    <x v="3"/>
    <x v="5"/>
    <x v="32"/>
    <x v="3"/>
    <x v="13"/>
    <x v="0"/>
    <x v="0"/>
    <x v="67"/>
    <x v="0"/>
  </r>
  <r>
    <x v="3"/>
    <x v="5"/>
    <x v="33"/>
    <x v="13"/>
    <x v="11"/>
    <x v="0"/>
    <x v="0"/>
    <x v="149"/>
    <x v="0"/>
  </r>
  <r>
    <x v="3"/>
    <x v="5"/>
    <x v="34"/>
    <x v="11"/>
    <x v="5"/>
    <x v="0"/>
    <x v="1"/>
    <x v="10"/>
    <x v="0"/>
  </r>
  <r>
    <x v="3"/>
    <x v="5"/>
    <x v="35"/>
    <x v="15"/>
    <x v="15"/>
    <x v="0"/>
    <x v="0"/>
    <x v="76"/>
    <x v="0"/>
  </r>
  <r>
    <x v="3"/>
    <x v="6"/>
    <x v="0"/>
    <x v="15"/>
    <x v="15"/>
    <x v="0"/>
    <x v="0"/>
    <x v="76"/>
    <x v="0"/>
  </r>
  <r>
    <x v="3"/>
    <x v="6"/>
    <x v="1"/>
    <x v="5"/>
    <x v="11"/>
    <x v="0"/>
    <x v="0"/>
    <x v="62"/>
    <x v="0"/>
  </r>
  <r>
    <x v="3"/>
    <x v="6"/>
    <x v="2"/>
    <x v="11"/>
    <x v="13"/>
    <x v="0"/>
    <x v="0"/>
    <x v="132"/>
    <x v="0"/>
  </r>
  <r>
    <x v="3"/>
    <x v="6"/>
    <x v="3"/>
    <x v="13"/>
    <x v="5"/>
    <x v="0"/>
    <x v="0"/>
    <x v="97"/>
    <x v="0"/>
  </r>
  <r>
    <x v="3"/>
    <x v="6"/>
    <x v="4"/>
    <x v="5"/>
    <x v="11"/>
    <x v="0"/>
    <x v="1"/>
    <x v="9"/>
    <x v="0"/>
  </r>
  <r>
    <x v="3"/>
    <x v="6"/>
    <x v="5"/>
    <x v="11"/>
    <x v="13"/>
    <x v="0"/>
    <x v="0"/>
    <x v="132"/>
    <x v="0"/>
  </r>
  <r>
    <x v="3"/>
    <x v="6"/>
    <x v="6"/>
    <x v="13"/>
    <x v="5"/>
    <x v="0"/>
    <x v="0"/>
    <x v="97"/>
    <x v="0"/>
  </r>
  <r>
    <x v="3"/>
    <x v="6"/>
    <x v="7"/>
    <x v="5"/>
    <x v="11"/>
    <x v="0"/>
    <x v="1"/>
    <x v="9"/>
    <x v="0"/>
  </r>
  <r>
    <x v="3"/>
    <x v="6"/>
    <x v="8"/>
    <x v="11"/>
    <x v="13"/>
    <x v="0"/>
    <x v="0"/>
    <x v="132"/>
    <x v="0"/>
  </r>
  <r>
    <x v="3"/>
    <x v="6"/>
    <x v="9"/>
    <x v="13"/>
    <x v="5"/>
    <x v="0"/>
    <x v="0"/>
    <x v="97"/>
    <x v="0"/>
  </r>
  <r>
    <x v="3"/>
    <x v="6"/>
    <x v="10"/>
    <x v="5"/>
    <x v="11"/>
    <x v="0"/>
    <x v="1"/>
    <x v="9"/>
    <x v="0"/>
  </r>
  <r>
    <x v="3"/>
    <x v="6"/>
    <x v="11"/>
    <x v="11"/>
    <x v="13"/>
    <x v="0"/>
    <x v="0"/>
    <x v="132"/>
    <x v="0"/>
  </r>
  <r>
    <x v="3"/>
    <x v="6"/>
    <x v="12"/>
    <x v="13"/>
    <x v="5"/>
    <x v="0"/>
    <x v="0"/>
    <x v="97"/>
    <x v="0"/>
  </r>
  <r>
    <x v="3"/>
    <x v="6"/>
    <x v="13"/>
    <x v="5"/>
    <x v="11"/>
    <x v="0"/>
    <x v="1"/>
    <x v="9"/>
    <x v="0"/>
  </r>
  <r>
    <x v="3"/>
    <x v="6"/>
    <x v="14"/>
    <x v="11"/>
    <x v="13"/>
    <x v="0"/>
    <x v="0"/>
    <x v="132"/>
    <x v="0"/>
  </r>
  <r>
    <x v="3"/>
    <x v="6"/>
    <x v="15"/>
    <x v="13"/>
    <x v="5"/>
    <x v="0"/>
    <x v="0"/>
    <x v="97"/>
    <x v="0"/>
  </r>
  <r>
    <x v="3"/>
    <x v="6"/>
    <x v="16"/>
    <x v="5"/>
    <x v="11"/>
    <x v="0"/>
    <x v="1"/>
    <x v="9"/>
    <x v="0"/>
  </r>
  <r>
    <x v="3"/>
    <x v="6"/>
    <x v="17"/>
    <x v="11"/>
    <x v="13"/>
    <x v="0"/>
    <x v="0"/>
    <x v="132"/>
    <x v="0"/>
  </r>
  <r>
    <x v="3"/>
    <x v="6"/>
    <x v="18"/>
    <x v="13"/>
    <x v="3"/>
    <x v="0"/>
    <x v="0"/>
    <x v="0"/>
    <x v="0"/>
  </r>
  <r>
    <x v="3"/>
    <x v="6"/>
    <x v="19"/>
    <x v="3"/>
    <x v="11"/>
    <x v="0"/>
    <x v="0"/>
    <x v="129"/>
    <x v="0"/>
  </r>
  <r>
    <x v="3"/>
    <x v="6"/>
    <x v="20"/>
    <x v="11"/>
    <x v="13"/>
    <x v="0"/>
    <x v="0"/>
    <x v="132"/>
    <x v="0"/>
  </r>
  <r>
    <x v="3"/>
    <x v="6"/>
    <x v="21"/>
    <x v="13"/>
    <x v="5"/>
    <x v="0"/>
    <x v="0"/>
    <x v="97"/>
    <x v="0"/>
  </r>
  <r>
    <x v="3"/>
    <x v="6"/>
    <x v="22"/>
    <x v="5"/>
    <x v="11"/>
    <x v="0"/>
    <x v="1"/>
    <x v="9"/>
    <x v="0"/>
  </r>
  <r>
    <x v="3"/>
    <x v="6"/>
    <x v="23"/>
    <x v="11"/>
    <x v="13"/>
    <x v="0"/>
    <x v="0"/>
    <x v="132"/>
    <x v="0"/>
  </r>
  <r>
    <x v="3"/>
    <x v="6"/>
    <x v="24"/>
    <x v="13"/>
    <x v="5"/>
    <x v="0"/>
    <x v="0"/>
    <x v="97"/>
    <x v="0"/>
  </r>
  <r>
    <x v="3"/>
    <x v="6"/>
    <x v="25"/>
    <x v="5"/>
    <x v="11"/>
    <x v="0"/>
    <x v="1"/>
    <x v="9"/>
    <x v="0"/>
  </r>
  <r>
    <x v="3"/>
    <x v="6"/>
    <x v="26"/>
    <x v="11"/>
    <x v="13"/>
    <x v="0"/>
    <x v="0"/>
    <x v="132"/>
    <x v="0"/>
  </r>
  <r>
    <x v="3"/>
    <x v="6"/>
    <x v="27"/>
    <x v="13"/>
    <x v="5"/>
    <x v="0"/>
    <x v="0"/>
    <x v="97"/>
    <x v="0"/>
  </r>
  <r>
    <x v="3"/>
    <x v="6"/>
    <x v="28"/>
    <x v="5"/>
    <x v="11"/>
    <x v="0"/>
    <x v="1"/>
    <x v="9"/>
    <x v="0"/>
  </r>
  <r>
    <x v="3"/>
    <x v="6"/>
    <x v="29"/>
    <x v="11"/>
    <x v="13"/>
    <x v="0"/>
    <x v="0"/>
    <x v="132"/>
    <x v="0"/>
  </r>
  <r>
    <x v="3"/>
    <x v="6"/>
    <x v="30"/>
    <x v="13"/>
    <x v="3"/>
    <x v="0"/>
    <x v="0"/>
    <x v="0"/>
    <x v="0"/>
  </r>
  <r>
    <x v="3"/>
    <x v="6"/>
    <x v="31"/>
    <x v="3"/>
    <x v="11"/>
    <x v="0"/>
    <x v="0"/>
    <x v="129"/>
    <x v="0"/>
  </r>
  <r>
    <x v="3"/>
    <x v="6"/>
    <x v="32"/>
    <x v="11"/>
    <x v="13"/>
    <x v="0"/>
    <x v="0"/>
    <x v="132"/>
    <x v="0"/>
  </r>
  <r>
    <x v="3"/>
    <x v="6"/>
    <x v="33"/>
    <x v="13"/>
    <x v="11"/>
    <x v="0"/>
    <x v="0"/>
    <x v="149"/>
    <x v="0"/>
  </r>
  <r>
    <x v="3"/>
    <x v="6"/>
    <x v="34"/>
    <x v="11"/>
    <x v="5"/>
    <x v="0"/>
    <x v="1"/>
    <x v="10"/>
    <x v="0"/>
  </r>
  <r>
    <x v="3"/>
    <x v="6"/>
    <x v="35"/>
    <x v="15"/>
    <x v="15"/>
    <x v="0"/>
    <x v="0"/>
    <x v="76"/>
    <x v="0"/>
  </r>
  <r>
    <x v="3"/>
    <x v="7"/>
    <x v="0"/>
    <x v="15"/>
    <x v="15"/>
    <x v="1"/>
    <x v="0"/>
    <x v="102"/>
    <x v="0"/>
  </r>
  <r>
    <x v="3"/>
    <x v="7"/>
    <x v="1"/>
    <x v="5"/>
    <x v="11"/>
    <x v="1"/>
    <x v="0"/>
    <x v="92"/>
    <x v="0"/>
  </r>
  <r>
    <x v="3"/>
    <x v="7"/>
    <x v="2"/>
    <x v="11"/>
    <x v="13"/>
    <x v="1"/>
    <x v="0"/>
    <x v="166"/>
    <x v="0"/>
  </r>
  <r>
    <x v="3"/>
    <x v="7"/>
    <x v="3"/>
    <x v="13"/>
    <x v="11"/>
    <x v="1"/>
    <x v="0"/>
    <x v="6"/>
    <x v="0"/>
  </r>
  <r>
    <x v="3"/>
    <x v="7"/>
    <x v="4"/>
    <x v="11"/>
    <x v="5"/>
    <x v="1"/>
    <x v="0"/>
    <x v="21"/>
    <x v="0"/>
  </r>
  <r>
    <x v="3"/>
    <x v="7"/>
    <x v="5"/>
    <x v="5"/>
    <x v="13"/>
    <x v="1"/>
    <x v="0"/>
    <x v="116"/>
    <x v="0"/>
  </r>
  <r>
    <x v="3"/>
    <x v="7"/>
    <x v="6"/>
    <x v="13"/>
    <x v="11"/>
    <x v="1"/>
    <x v="0"/>
    <x v="6"/>
    <x v="0"/>
  </r>
  <r>
    <x v="3"/>
    <x v="7"/>
    <x v="7"/>
    <x v="11"/>
    <x v="5"/>
    <x v="1"/>
    <x v="0"/>
    <x v="21"/>
    <x v="0"/>
  </r>
  <r>
    <x v="3"/>
    <x v="7"/>
    <x v="8"/>
    <x v="5"/>
    <x v="13"/>
    <x v="1"/>
    <x v="0"/>
    <x v="116"/>
    <x v="0"/>
  </r>
  <r>
    <x v="3"/>
    <x v="7"/>
    <x v="9"/>
    <x v="13"/>
    <x v="11"/>
    <x v="1"/>
    <x v="0"/>
    <x v="6"/>
    <x v="0"/>
  </r>
  <r>
    <x v="3"/>
    <x v="7"/>
    <x v="10"/>
    <x v="11"/>
    <x v="5"/>
    <x v="1"/>
    <x v="0"/>
    <x v="21"/>
    <x v="0"/>
  </r>
  <r>
    <x v="3"/>
    <x v="7"/>
    <x v="11"/>
    <x v="5"/>
    <x v="13"/>
    <x v="1"/>
    <x v="0"/>
    <x v="116"/>
    <x v="0"/>
  </r>
  <r>
    <x v="3"/>
    <x v="7"/>
    <x v="12"/>
    <x v="13"/>
    <x v="11"/>
    <x v="1"/>
    <x v="0"/>
    <x v="6"/>
    <x v="0"/>
  </r>
  <r>
    <x v="3"/>
    <x v="7"/>
    <x v="13"/>
    <x v="11"/>
    <x v="5"/>
    <x v="1"/>
    <x v="0"/>
    <x v="21"/>
    <x v="0"/>
  </r>
  <r>
    <x v="3"/>
    <x v="7"/>
    <x v="14"/>
    <x v="5"/>
    <x v="13"/>
    <x v="1"/>
    <x v="0"/>
    <x v="116"/>
    <x v="0"/>
  </r>
  <r>
    <x v="3"/>
    <x v="7"/>
    <x v="15"/>
    <x v="13"/>
    <x v="11"/>
    <x v="1"/>
    <x v="0"/>
    <x v="6"/>
    <x v="0"/>
  </r>
  <r>
    <x v="3"/>
    <x v="7"/>
    <x v="16"/>
    <x v="11"/>
    <x v="5"/>
    <x v="1"/>
    <x v="0"/>
    <x v="21"/>
    <x v="0"/>
  </r>
  <r>
    <x v="3"/>
    <x v="7"/>
    <x v="17"/>
    <x v="5"/>
    <x v="13"/>
    <x v="1"/>
    <x v="0"/>
    <x v="116"/>
    <x v="0"/>
  </r>
  <r>
    <x v="3"/>
    <x v="7"/>
    <x v="18"/>
    <x v="13"/>
    <x v="11"/>
    <x v="1"/>
    <x v="0"/>
    <x v="6"/>
    <x v="0"/>
  </r>
  <r>
    <x v="3"/>
    <x v="7"/>
    <x v="19"/>
    <x v="11"/>
    <x v="3"/>
    <x v="1"/>
    <x v="0"/>
    <x v="90"/>
    <x v="0"/>
  </r>
  <r>
    <x v="3"/>
    <x v="7"/>
    <x v="20"/>
    <x v="3"/>
    <x v="13"/>
    <x v="1"/>
    <x v="0"/>
    <x v="15"/>
    <x v="0"/>
  </r>
  <r>
    <x v="3"/>
    <x v="7"/>
    <x v="21"/>
    <x v="13"/>
    <x v="11"/>
    <x v="1"/>
    <x v="0"/>
    <x v="6"/>
    <x v="0"/>
  </r>
  <r>
    <x v="3"/>
    <x v="7"/>
    <x v="22"/>
    <x v="11"/>
    <x v="5"/>
    <x v="1"/>
    <x v="0"/>
    <x v="21"/>
    <x v="0"/>
  </r>
  <r>
    <x v="3"/>
    <x v="7"/>
    <x v="23"/>
    <x v="5"/>
    <x v="13"/>
    <x v="1"/>
    <x v="0"/>
    <x v="116"/>
    <x v="0"/>
  </r>
  <r>
    <x v="3"/>
    <x v="7"/>
    <x v="24"/>
    <x v="13"/>
    <x v="11"/>
    <x v="1"/>
    <x v="0"/>
    <x v="6"/>
    <x v="0"/>
  </r>
  <r>
    <x v="3"/>
    <x v="7"/>
    <x v="25"/>
    <x v="11"/>
    <x v="5"/>
    <x v="1"/>
    <x v="0"/>
    <x v="21"/>
    <x v="0"/>
  </r>
  <r>
    <x v="3"/>
    <x v="7"/>
    <x v="26"/>
    <x v="5"/>
    <x v="13"/>
    <x v="1"/>
    <x v="0"/>
    <x v="116"/>
    <x v="0"/>
  </r>
  <r>
    <x v="3"/>
    <x v="7"/>
    <x v="27"/>
    <x v="13"/>
    <x v="11"/>
    <x v="1"/>
    <x v="0"/>
    <x v="6"/>
    <x v="0"/>
  </r>
  <r>
    <x v="3"/>
    <x v="7"/>
    <x v="28"/>
    <x v="11"/>
    <x v="5"/>
    <x v="1"/>
    <x v="0"/>
    <x v="21"/>
    <x v="0"/>
  </r>
  <r>
    <x v="3"/>
    <x v="7"/>
    <x v="29"/>
    <x v="5"/>
    <x v="13"/>
    <x v="1"/>
    <x v="0"/>
    <x v="116"/>
    <x v="0"/>
  </r>
  <r>
    <x v="3"/>
    <x v="7"/>
    <x v="30"/>
    <x v="13"/>
    <x v="11"/>
    <x v="1"/>
    <x v="0"/>
    <x v="6"/>
    <x v="0"/>
  </r>
  <r>
    <x v="3"/>
    <x v="7"/>
    <x v="31"/>
    <x v="11"/>
    <x v="3"/>
    <x v="1"/>
    <x v="0"/>
    <x v="90"/>
    <x v="0"/>
  </r>
  <r>
    <x v="3"/>
    <x v="7"/>
    <x v="32"/>
    <x v="3"/>
    <x v="13"/>
    <x v="1"/>
    <x v="0"/>
    <x v="15"/>
    <x v="0"/>
  </r>
  <r>
    <x v="3"/>
    <x v="7"/>
    <x v="33"/>
    <x v="13"/>
    <x v="11"/>
    <x v="1"/>
    <x v="0"/>
    <x v="6"/>
    <x v="0"/>
  </r>
  <r>
    <x v="3"/>
    <x v="7"/>
    <x v="34"/>
    <x v="11"/>
    <x v="5"/>
    <x v="1"/>
    <x v="1"/>
    <x v="73"/>
    <x v="0"/>
  </r>
  <r>
    <x v="3"/>
    <x v="7"/>
    <x v="35"/>
    <x v="15"/>
    <x v="15"/>
    <x v="1"/>
    <x v="0"/>
    <x v="102"/>
    <x v="0"/>
  </r>
  <r>
    <x v="3"/>
    <x v="9"/>
    <x v="0"/>
    <x v="15"/>
    <x v="15"/>
    <x v="3"/>
    <x v="0"/>
    <x v="59"/>
    <x v="0"/>
  </r>
  <r>
    <x v="3"/>
    <x v="9"/>
    <x v="1"/>
    <x v="5"/>
    <x v="11"/>
    <x v="3"/>
    <x v="0"/>
    <x v="78"/>
    <x v="0"/>
  </r>
  <r>
    <x v="3"/>
    <x v="9"/>
    <x v="2"/>
    <x v="11"/>
    <x v="13"/>
    <x v="3"/>
    <x v="0"/>
    <x v="124"/>
    <x v="0"/>
  </r>
  <r>
    <x v="3"/>
    <x v="9"/>
    <x v="3"/>
    <x v="13"/>
    <x v="11"/>
    <x v="3"/>
    <x v="0"/>
    <x v="17"/>
    <x v="0"/>
  </r>
  <r>
    <x v="3"/>
    <x v="9"/>
    <x v="4"/>
    <x v="11"/>
    <x v="5"/>
    <x v="3"/>
    <x v="0"/>
    <x v="118"/>
    <x v="0"/>
  </r>
  <r>
    <x v="3"/>
    <x v="9"/>
    <x v="5"/>
    <x v="5"/>
    <x v="13"/>
    <x v="3"/>
    <x v="0"/>
    <x v="72"/>
    <x v="0"/>
  </r>
  <r>
    <x v="3"/>
    <x v="9"/>
    <x v="6"/>
    <x v="13"/>
    <x v="11"/>
    <x v="3"/>
    <x v="0"/>
    <x v="17"/>
    <x v="0"/>
  </r>
  <r>
    <x v="3"/>
    <x v="9"/>
    <x v="7"/>
    <x v="11"/>
    <x v="5"/>
    <x v="3"/>
    <x v="0"/>
    <x v="118"/>
    <x v="0"/>
  </r>
  <r>
    <x v="3"/>
    <x v="9"/>
    <x v="8"/>
    <x v="5"/>
    <x v="13"/>
    <x v="3"/>
    <x v="0"/>
    <x v="72"/>
    <x v="0"/>
  </r>
  <r>
    <x v="3"/>
    <x v="9"/>
    <x v="9"/>
    <x v="13"/>
    <x v="11"/>
    <x v="3"/>
    <x v="0"/>
    <x v="17"/>
    <x v="0"/>
  </r>
  <r>
    <x v="3"/>
    <x v="9"/>
    <x v="10"/>
    <x v="11"/>
    <x v="5"/>
    <x v="3"/>
    <x v="0"/>
    <x v="118"/>
    <x v="0"/>
  </r>
  <r>
    <x v="3"/>
    <x v="9"/>
    <x v="11"/>
    <x v="5"/>
    <x v="13"/>
    <x v="3"/>
    <x v="0"/>
    <x v="72"/>
    <x v="0"/>
  </r>
  <r>
    <x v="3"/>
    <x v="9"/>
    <x v="12"/>
    <x v="13"/>
    <x v="11"/>
    <x v="3"/>
    <x v="0"/>
    <x v="17"/>
    <x v="0"/>
  </r>
  <r>
    <x v="3"/>
    <x v="9"/>
    <x v="13"/>
    <x v="11"/>
    <x v="5"/>
    <x v="3"/>
    <x v="0"/>
    <x v="118"/>
    <x v="0"/>
  </r>
  <r>
    <x v="3"/>
    <x v="9"/>
    <x v="14"/>
    <x v="5"/>
    <x v="13"/>
    <x v="3"/>
    <x v="0"/>
    <x v="72"/>
    <x v="0"/>
  </r>
  <r>
    <x v="3"/>
    <x v="9"/>
    <x v="15"/>
    <x v="13"/>
    <x v="11"/>
    <x v="3"/>
    <x v="0"/>
    <x v="17"/>
    <x v="0"/>
  </r>
  <r>
    <x v="3"/>
    <x v="9"/>
    <x v="16"/>
    <x v="11"/>
    <x v="5"/>
    <x v="3"/>
    <x v="0"/>
    <x v="118"/>
    <x v="0"/>
  </r>
  <r>
    <x v="3"/>
    <x v="9"/>
    <x v="17"/>
    <x v="5"/>
    <x v="13"/>
    <x v="3"/>
    <x v="0"/>
    <x v="72"/>
    <x v="0"/>
  </r>
  <r>
    <x v="3"/>
    <x v="9"/>
    <x v="18"/>
    <x v="13"/>
    <x v="11"/>
    <x v="3"/>
    <x v="0"/>
    <x v="17"/>
    <x v="0"/>
  </r>
  <r>
    <x v="3"/>
    <x v="9"/>
    <x v="19"/>
    <x v="11"/>
    <x v="3"/>
    <x v="3"/>
    <x v="0"/>
    <x v="127"/>
    <x v="0"/>
  </r>
  <r>
    <x v="3"/>
    <x v="9"/>
    <x v="20"/>
    <x v="3"/>
    <x v="13"/>
    <x v="3"/>
    <x v="1"/>
    <x v="168"/>
    <x v="0"/>
  </r>
  <r>
    <x v="3"/>
    <x v="9"/>
    <x v="21"/>
    <x v="13"/>
    <x v="11"/>
    <x v="3"/>
    <x v="0"/>
    <x v="17"/>
    <x v="0"/>
  </r>
  <r>
    <x v="3"/>
    <x v="9"/>
    <x v="22"/>
    <x v="11"/>
    <x v="5"/>
    <x v="3"/>
    <x v="0"/>
    <x v="118"/>
    <x v="0"/>
  </r>
  <r>
    <x v="3"/>
    <x v="9"/>
    <x v="23"/>
    <x v="5"/>
    <x v="13"/>
    <x v="3"/>
    <x v="1"/>
    <x v="55"/>
    <x v="0"/>
  </r>
  <r>
    <x v="3"/>
    <x v="9"/>
    <x v="24"/>
    <x v="13"/>
    <x v="11"/>
    <x v="3"/>
    <x v="0"/>
    <x v="17"/>
    <x v="0"/>
  </r>
  <r>
    <x v="3"/>
    <x v="9"/>
    <x v="25"/>
    <x v="11"/>
    <x v="5"/>
    <x v="3"/>
    <x v="0"/>
    <x v="118"/>
    <x v="0"/>
  </r>
  <r>
    <x v="3"/>
    <x v="9"/>
    <x v="26"/>
    <x v="5"/>
    <x v="13"/>
    <x v="3"/>
    <x v="0"/>
    <x v="72"/>
    <x v="0"/>
  </r>
  <r>
    <x v="3"/>
    <x v="9"/>
    <x v="27"/>
    <x v="13"/>
    <x v="11"/>
    <x v="3"/>
    <x v="0"/>
    <x v="17"/>
    <x v="0"/>
  </r>
  <r>
    <x v="3"/>
    <x v="9"/>
    <x v="28"/>
    <x v="11"/>
    <x v="5"/>
    <x v="3"/>
    <x v="0"/>
    <x v="118"/>
    <x v="0"/>
  </r>
  <r>
    <x v="3"/>
    <x v="9"/>
    <x v="29"/>
    <x v="5"/>
    <x v="13"/>
    <x v="3"/>
    <x v="0"/>
    <x v="72"/>
    <x v="0"/>
  </r>
  <r>
    <x v="3"/>
    <x v="9"/>
    <x v="30"/>
    <x v="13"/>
    <x v="11"/>
    <x v="3"/>
    <x v="0"/>
    <x v="17"/>
    <x v="0"/>
  </r>
  <r>
    <x v="3"/>
    <x v="9"/>
    <x v="31"/>
    <x v="11"/>
    <x v="3"/>
    <x v="3"/>
    <x v="0"/>
    <x v="127"/>
    <x v="0"/>
  </r>
  <r>
    <x v="3"/>
    <x v="9"/>
    <x v="32"/>
    <x v="3"/>
    <x v="13"/>
    <x v="3"/>
    <x v="0"/>
    <x v="64"/>
    <x v="0"/>
  </r>
  <r>
    <x v="3"/>
    <x v="9"/>
    <x v="33"/>
    <x v="13"/>
    <x v="11"/>
    <x v="3"/>
    <x v="0"/>
    <x v="17"/>
    <x v="0"/>
  </r>
  <r>
    <x v="3"/>
    <x v="9"/>
    <x v="34"/>
    <x v="11"/>
    <x v="5"/>
    <x v="3"/>
    <x v="1"/>
    <x v="154"/>
    <x v="0"/>
  </r>
  <r>
    <x v="3"/>
    <x v="9"/>
    <x v="35"/>
    <x v="15"/>
    <x v="15"/>
    <x v="3"/>
    <x v="0"/>
    <x v="59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174" firstHeaderRow="1" firstDataRow="1" firstDataCol="3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axis="axisRow" compact="0" showAll="0" defaultSubtotal="0" outline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</items>
    </pivotField>
    <pivotField dataField="1" compact="0" showAll="0" outline="0"/>
    <pivotField axis="axisRow" compact="0" showAll="0" defaultSubtotal="0" outline="0">
      <items count="172">
        <item x="0"/>
        <item x="1"/>
        <item x="3"/>
        <item x="4"/>
        <item x="7"/>
        <item x="8"/>
        <item x="9"/>
        <item x="11"/>
        <item x="13"/>
        <item x="15"/>
        <item x="17"/>
        <item x="19"/>
        <item x="21"/>
        <item x="23"/>
        <item x="24"/>
        <item x="25"/>
        <item x="26"/>
        <item x="27"/>
        <item x="28"/>
        <item x="29"/>
        <item x="30"/>
        <item x="31"/>
        <item x="33"/>
        <item x="35"/>
        <item x="37"/>
        <item x="40"/>
        <item x="42"/>
        <item x="43"/>
        <item x="44"/>
        <item x="46"/>
        <item x="48"/>
        <item x="49"/>
        <item x="50"/>
        <item x="52"/>
        <item x="54"/>
        <item x="55"/>
        <item x="57"/>
        <item x="61"/>
        <item x="63"/>
        <item x="66"/>
        <item x="67"/>
        <item x="68"/>
        <item x="69"/>
        <item x="70"/>
        <item x="72"/>
        <item x="73"/>
        <item x="74"/>
        <item x="76"/>
        <item x="77"/>
        <item x="78"/>
        <item x="79"/>
        <item x="81"/>
        <item x="83"/>
        <item x="84"/>
        <item x="86"/>
        <item x="87"/>
        <item x="88"/>
        <item x="89"/>
        <item x="90"/>
        <item x="91"/>
        <item x="93"/>
        <item x="94"/>
        <item x="95"/>
        <item x="98"/>
        <item x="100"/>
        <item x="101"/>
        <item x="102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8"/>
        <item x="139"/>
        <item x="140"/>
        <item x="141"/>
        <item x="142"/>
        <item x="143"/>
        <item x="145"/>
        <item x="147"/>
        <item x="148"/>
        <item x="149"/>
        <item x="150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4"/>
        <item x="165"/>
        <item x="166"/>
        <item x="168"/>
        <item x="169"/>
        <item x="170"/>
        <item x="171"/>
        <item x="2"/>
        <item x="5"/>
        <item x="6"/>
        <item x="10"/>
        <item x="12"/>
        <item x="14"/>
        <item x="16"/>
        <item x="18"/>
        <item x="20"/>
        <item x="22"/>
        <item x="32"/>
        <item x="34"/>
        <item x="36"/>
        <item x="38"/>
        <item x="39"/>
        <item x="41"/>
        <item x="45"/>
        <item x="47"/>
        <item x="51"/>
        <item x="53"/>
        <item x="56"/>
        <item x="58"/>
        <item x="59"/>
        <item x="60"/>
        <item x="62"/>
        <item x="64"/>
        <item x="65"/>
        <item x="71"/>
        <item x="75"/>
        <item x="80"/>
        <item x="82"/>
        <item x="85"/>
        <item x="92"/>
        <item x="96"/>
        <item x="97"/>
        <item x="99"/>
        <item x="103"/>
        <item x="105"/>
        <item x="134"/>
        <item x="137"/>
        <item x="144"/>
        <item x="146"/>
        <item x="155"/>
        <item x="163"/>
        <item x="167"/>
      </items>
    </pivotField>
  </pivotFields>
  <rowFields count="3">
    <field x="9"/>
    <field x="6"/>
    <field x="7"/>
  </rowFields>
  <rowItems count="173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 t="grand">
      <x v="172"/>
    </i>
  </rowItems>
  <colItems count="1">
    <i t="grand">
      <x v="0"/>
    </i>
  </colItems>
  <dataFields count="1">
    <dataField name="Сумма - Кол-во" fld="8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74" firstHeaderRow="1" firstDataRow="1" firstDataCol="1"/>
  <pivotFields count="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</items>
    </pivotField>
    <pivotField dataField="1" compact="0" showAll="0" outline="0"/>
  </pivotFields>
  <rowFields count="1">
    <field x="7"/>
  </rowFields>
  <rowItems count="173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 t="grand">
      <x v="172"/>
    </i>
  </rowItems>
  <colItems count="1">
    <i t="grand">
      <x v="0"/>
    </i>
  </colItems>
  <dataFields count="1">
    <dataField name="Сумма - Кол-во" fld="8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8.23"/>
    <col collapsed="false" customWidth="true" hidden="false" outlineLevel="0" max="3" min="3" style="1" width="19.4"/>
    <col collapsed="false" customWidth="true" hidden="false" outlineLevel="0" max="4" min="4" style="1" width="15.83"/>
    <col collapsed="false" customWidth="true" hidden="false" outlineLevel="0" max="5" min="5" style="1" width="19.0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customFormat="false" ht="12.8" hidden="false" customHeight="false" outlineLevel="0" collapsed="false">
      <c r="A2" s="3" t="s">
        <v>6</v>
      </c>
      <c r="B2" s="1" t="n">
        <v>2</v>
      </c>
      <c r="C2" s="1" t="n">
        <v>3</v>
      </c>
      <c r="D2" s="1" t="n">
        <v>3</v>
      </c>
      <c r="E2" s="1" t="n">
        <v>2</v>
      </c>
    </row>
    <row r="3" customFormat="false" ht="12.8" hidden="false" customHeight="false" outlineLevel="0" collapsed="false">
      <c r="A3" s="3" t="s">
        <v>6</v>
      </c>
      <c r="B3" s="1" t="n">
        <v>3</v>
      </c>
      <c r="C3" s="1" t="n">
        <v>3</v>
      </c>
      <c r="D3" s="1" t="n">
        <v>3</v>
      </c>
      <c r="E3" s="1" t="n">
        <v>2</v>
      </c>
    </row>
    <row r="4" customFormat="false" ht="12.8" hidden="false" customHeight="false" outlineLevel="0" collapsed="false">
      <c r="A4" s="3" t="s">
        <v>6</v>
      </c>
      <c r="B4" s="1" t="n">
        <v>4</v>
      </c>
      <c r="C4" s="1" t="n">
        <v>3</v>
      </c>
      <c r="D4" s="1" t="n">
        <v>3</v>
      </c>
      <c r="E4" s="1" t="n">
        <v>2</v>
      </c>
    </row>
    <row r="5" customFormat="false" ht="12.8" hidden="false" customHeight="false" outlineLevel="0" collapsed="false">
      <c r="A5" s="3" t="s">
        <v>6</v>
      </c>
      <c r="B5" s="1" t="n">
        <v>19</v>
      </c>
      <c r="C5" s="1" t="n">
        <v>3</v>
      </c>
      <c r="D5" s="1" t="n">
        <v>3</v>
      </c>
      <c r="E5" s="1" t="n">
        <v>2</v>
      </c>
    </row>
    <row r="6" customFormat="false" ht="12.8" hidden="false" customHeight="false" outlineLevel="0" collapsed="false">
      <c r="A6" s="3" t="s">
        <v>6</v>
      </c>
      <c r="B6" s="1" t="n">
        <v>20</v>
      </c>
      <c r="C6" s="1" t="n">
        <v>3</v>
      </c>
      <c r="D6" s="1" t="n">
        <v>3</v>
      </c>
      <c r="E6" s="1" t="n">
        <v>2</v>
      </c>
    </row>
    <row r="7" customFormat="false" ht="12.8" hidden="false" customHeight="false" outlineLevel="0" collapsed="false">
      <c r="A7" s="3" t="s">
        <v>6</v>
      </c>
      <c r="B7" s="1" t="n">
        <v>40</v>
      </c>
      <c r="C7" s="1" t="n">
        <v>3</v>
      </c>
      <c r="D7" s="1" t="n">
        <v>3</v>
      </c>
      <c r="E7" s="1" t="n">
        <v>2</v>
      </c>
    </row>
    <row r="8" customFormat="false" ht="12.8" hidden="false" customHeight="false" outlineLevel="0" collapsed="false">
      <c r="A8" s="3" t="s">
        <v>6</v>
      </c>
      <c r="B8" s="1" t="n">
        <v>57</v>
      </c>
      <c r="C8" s="1" t="n">
        <v>3</v>
      </c>
      <c r="D8" s="1" t="n">
        <v>3</v>
      </c>
      <c r="E8" s="1" t="n">
        <v>2</v>
      </c>
    </row>
    <row r="9" customFormat="false" ht="12.8" hidden="false" customHeight="false" outlineLevel="0" collapsed="false">
      <c r="C9" s="4" t="n">
        <f aca="false">SUM(C2:C8)</f>
        <v>21</v>
      </c>
      <c r="D9" s="4" t="n">
        <f aca="false">SUM(D2:D8)</f>
        <v>21</v>
      </c>
      <c r="E9" s="4" t="n">
        <f aca="false">SUM(E2:E8)</f>
        <v>14</v>
      </c>
      <c r="F9" s="1" t="n">
        <v>10</v>
      </c>
      <c r="G9" s="1" t="n">
        <f aca="false">SUM(C9:F9)</f>
        <v>66</v>
      </c>
    </row>
    <row r="10" customFormat="false" ht="12.8" hidden="false" customHeight="false" outlineLevel="0" collapsed="false">
      <c r="A10" s="5" t="s">
        <v>7</v>
      </c>
      <c r="B10" s="1" t="n">
        <v>2</v>
      </c>
      <c r="C10" s="1" t="n">
        <v>3</v>
      </c>
      <c r="D10" s="1" t="n">
        <v>3</v>
      </c>
      <c r="E10" s="1" t="n">
        <v>2</v>
      </c>
    </row>
    <row r="11" customFormat="false" ht="12.8" hidden="false" customHeight="false" outlineLevel="0" collapsed="false">
      <c r="A11" s="5" t="s">
        <v>7</v>
      </c>
      <c r="B11" s="1" t="n">
        <v>3</v>
      </c>
      <c r="C11" s="1" t="n">
        <v>3</v>
      </c>
      <c r="D11" s="1" t="n">
        <v>3</v>
      </c>
      <c r="E11" s="1" t="n">
        <v>2</v>
      </c>
    </row>
    <row r="12" customFormat="false" ht="12.8" hidden="false" customHeight="false" outlineLevel="0" collapsed="false">
      <c r="A12" s="5" t="s">
        <v>7</v>
      </c>
      <c r="B12" s="1" t="n">
        <v>4</v>
      </c>
      <c r="C12" s="1" t="n">
        <v>3</v>
      </c>
      <c r="D12" s="1" t="n">
        <v>3</v>
      </c>
      <c r="E12" s="1" t="n">
        <v>2</v>
      </c>
    </row>
    <row r="13" customFormat="false" ht="12.8" hidden="false" customHeight="false" outlineLevel="0" collapsed="false">
      <c r="A13" s="5" t="s">
        <v>7</v>
      </c>
      <c r="B13" s="1" t="n">
        <v>19</v>
      </c>
      <c r="C13" s="1" t="n">
        <v>3</v>
      </c>
      <c r="D13" s="1" t="n">
        <v>3</v>
      </c>
      <c r="E13" s="1" t="n">
        <v>2</v>
      </c>
    </row>
    <row r="14" customFormat="false" ht="12.8" hidden="false" customHeight="false" outlineLevel="0" collapsed="false">
      <c r="A14" s="5" t="s">
        <v>7</v>
      </c>
      <c r="B14" s="1" t="n">
        <v>20</v>
      </c>
      <c r="C14" s="1" t="n">
        <v>3</v>
      </c>
      <c r="D14" s="1" t="n">
        <v>3</v>
      </c>
      <c r="E14" s="1" t="n">
        <v>2</v>
      </c>
    </row>
    <row r="15" customFormat="false" ht="12.8" hidden="false" customHeight="false" outlineLevel="0" collapsed="false">
      <c r="A15" s="5" t="s">
        <v>7</v>
      </c>
      <c r="B15" s="1" t="n">
        <v>57</v>
      </c>
      <c r="C15" s="1" t="n">
        <v>3</v>
      </c>
      <c r="D15" s="1" t="n">
        <v>3</v>
      </c>
      <c r="E15" s="1" t="n">
        <v>2</v>
      </c>
    </row>
    <row r="16" customFormat="false" ht="12.8" hidden="false" customHeight="false" outlineLevel="0" collapsed="false">
      <c r="C16" s="4" t="n">
        <f aca="false">SUM(C10:C15)</f>
        <v>18</v>
      </c>
      <c r="D16" s="4" t="n">
        <f aca="false">SUM(D10:D15)</f>
        <v>18</v>
      </c>
      <c r="E16" s="4" t="n">
        <f aca="false">SUM(E10:E15)</f>
        <v>12</v>
      </c>
      <c r="F16" s="1" t="n">
        <v>10</v>
      </c>
      <c r="G16" s="1" t="n">
        <f aca="false">SUM(C16:F16)</f>
        <v>58</v>
      </c>
    </row>
    <row r="17" customFormat="false" ht="12.8" hidden="false" customHeight="false" outlineLevel="0" collapsed="false">
      <c r="A17" s="6" t="s">
        <v>8</v>
      </c>
      <c r="B17" s="1" t="n">
        <v>2</v>
      </c>
      <c r="C17" s="1" t="n">
        <v>3</v>
      </c>
      <c r="D17" s="1" t="n">
        <v>3</v>
      </c>
      <c r="E17" s="1" t="n">
        <v>2</v>
      </c>
    </row>
    <row r="18" customFormat="false" ht="12.8" hidden="false" customHeight="false" outlineLevel="0" collapsed="false">
      <c r="A18" s="6" t="s">
        <v>8</v>
      </c>
      <c r="B18" s="1" t="n">
        <v>3</v>
      </c>
      <c r="C18" s="1" t="n">
        <v>3</v>
      </c>
      <c r="D18" s="1" t="n">
        <v>3</v>
      </c>
      <c r="E18" s="1" t="n">
        <v>2</v>
      </c>
    </row>
    <row r="19" customFormat="false" ht="12.8" hidden="false" customHeight="false" outlineLevel="0" collapsed="false">
      <c r="A19" s="6" t="s">
        <v>8</v>
      </c>
      <c r="B19" s="1" t="n">
        <v>19</v>
      </c>
      <c r="C19" s="1" t="n">
        <v>3</v>
      </c>
      <c r="D19" s="1" t="n">
        <v>3</v>
      </c>
      <c r="E19" s="1" t="n">
        <v>2</v>
      </c>
    </row>
    <row r="20" customFormat="false" ht="12.8" hidden="false" customHeight="false" outlineLevel="0" collapsed="false">
      <c r="A20" s="6" t="s">
        <v>8</v>
      </c>
      <c r="B20" s="1" t="n">
        <v>29</v>
      </c>
      <c r="C20" s="1" t="n">
        <v>3</v>
      </c>
      <c r="D20" s="1" t="n">
        <v>3</v>
      </c>
      <c r="E20" s="1" t="n">
        <v>2</v>
      </c>
    </row>
    <row r="21" customFormat="false" ht="12.8" hidden="false" customHeight="false" outlineLevel="0" collapsed="false">
      <c r="A21" s="6" t="s">
        <v>8</v>
      </c>
      <c r="B21" s="1" t="n">
        <v>30</v>
      </c>
      <c r="C21" s="1" t="n">
        <v>3</v>
      </c>
      <c r="D21" s="1" t="n">
        <v>3</v>
      </c>
      <c r="E21" s="1" t="n">
        <v>2</v>
      </c>
    </row>
    <row r="22" customFormat="false" ht="12.8" hidden="false" customHeight="false" outlineLevel="0" collapsed="false">
      <c r="A22" s="6" t="s">
        <v>8</v>
      </c>
      <c r="B22" s="1" t="n">
        <v>39</v>
      </c>
      <c r="C22" s="1" t="n">
        <v>3</v>
      </c>
      <c r="D22" s="1" t="n">
        <v>3</v>
      </c>
      <c r="E22" s="1" t="n">
        <v>2</v>
      </c>
    </row>
    <row r="23" customFormat="false" ht="12.8" hidden="false" customHeight="false" outlineLevel="0" collapsed="false">
      <c r="A23" s="6" t="s">
        <v>8</v>
      </c>
      <c r="B23" s="1" t="n">
        <v>57</v>
      </c>
      <c r="C23" s="1" t="n">
        <v>3</v>
      </c>
      <c r="D23" s="1" t="n">
        <v>3</v>
      </c>
      <c r="E23" s="1" t="n">
        <v>2</v>
      </c>
    </row>
    <row r="24" customFormat="false" ht="12.8" hidden="false" customHeight="false" outlineLevel="0" collapsed="false">
      <c r="C24" s="4" t="n">
        <f aca="false">SUM(C17:C23)</f>
        <v>21</v>
      </c>
      <c r="D24" s="4" t="n">
        <f aca="false">SUM(D17:D23)</f>
        <v>21</v>
      </c>
      <c r="E24" s="4" t="n">
        <f aca="false">SUM(E17:E23)</f>
        <v>14</v>
      </c>
      <c r="F24" s="1" t="n">
        <v>10</v>
      </c>
      <c r="G24" s="1" t="n">
        <f aca="false">SUM(C24:F24)</f>
        <v>66</v>
      </c>
    </row>
    <row r="25" customFormat="false" ht="12.8" hidden="false" customHeight="false" outlineLevel="0" collapsed="false">
      <c r="A25" s="7" t="s">
        <v>9</v>
      </c>
      <c r="B25" s="1" t="n">
        <v>2</v>
      </c>
      <c r="C25" s="1" t="n">
        <v>3</v>
      </c>
      <c r="D25" s="1" t="n">
        <v>3</v>
      </c>
      <c r="E25" s="1" t="n">
        <v>2</v>
      </c>
    </row>
    <row r="26" customFormat="false" ht="12.8" hidden="false" customHeight="false" outlineLevel="0" collapsed="false">
      <c r="A26" s="7" t="s">
        <v>9</v>
      </c>
      <c r="B26" s="1" t="n">
        <v>3</v>
      </c>
      <c r="C26" s="1" t="n">
        <v>3</v>
      </c>
      <c r="D26" s="1" t="n">
        <v>3</v>
      </c>
      <c r="E26" s="1" t="n">
        <v>2</v>
      </c>
    </row>
    <row r="27" customFormat="false" ht="12.8" hidden="false" customHeight="false" outlineLevel="0" collapsed="false">
      <c r="A27" s="7" t="s">
        <v>9</v>
      </c>
      <c r="B27" s="1" t="n">
        <v>19</v>
      </c>
      <c r="C27" s="1" t="n">
        <v>3</v>
      </c>
      <c r="D27" s="1" t="n">
        <v>3</v>
      </c>
      <c r="E27" s="1" t="n">
        <v>2</v>
      </c>
    </row>
    <row r="28" customFormat="false" ht="12.8" hidden="false" customHeight="false" outlineLevel="0" collapsed="false">
      <c r="A28" s="7" t="s">
        <v>9</v>
      </c>
      <c r="B28" s="1" t="n">
        <v>29</v>
      </c>
      <c r="C28" s="1" t="n">
        <v>3</v>
      </c>
      <c r="D28" s="1" t="n">
        <v>3</v>
      </c>
      <c r="E28" s="1" t="n">
        <v>2</v>
      </c>
    </row>
    <row r="29" customFormat="false" ht="12.8" hidden="false" customHeight="false" outlineLevel="0" collapsed="false">
      <c r="A29" s="7" t="s">
        <v>9</v>
      </c>
      <c r="B29" s="1" t="n">
        <v>30</v>
      </c>
      <c r="C29" s="1" t="n">
        <v>3</v>
      </c>
      <c r="D29" s="1" t="n">
        <v>3</v>
      </c>
      <c r="E29" s="1" t="n">
        <v>2</v>
      </c>
    </row>
    <row r="30" customFormat="false" ht="12.8" hidden="false" customHeight="false" outlineLevel="0" collapsed="false">
      <c r="A30" s="7" t="s">
        <v>9</v>
      </c>
      <c r="B30" s="1" t="n">
        <v>39</v>
      </c>
      <c r="C30" s="1" t="n">
        <v>3</v>
      </c>
      <c r="D30" s="1" t="n">
        <v>3</v>
      </c>
      <c r="E30" s="1" t="n">
        <v>2</v>
      </c>
    </row>
    <row r="31" customFormat="false" ht="12.8" hidden="false" customHeight="false" outlineLevel="0" collapsed="false">
      <c r="A31" s="7" t="s">
        <v>9</v>
      </c>
      <c r="B31" s="1" t="n">
        <v>57</v>
      </c>
      <c r="C31" s="1" t="n">
        <v>3</v>
      </c>
      <c r="D31" s="1" t="n">
        <v>3</v>
      </c>
      <c r="E31" s="1" t="n">
        <v>2</v>
      </c>
    </row>
    <row r="32" customFormat="false" ht="12.8" hidden="false" customHeight="false" outlineLevel="0" collapsed="false">
      <c r="C32" s="4" t="n">
        <f aca="false">SUM(C25:C31)</f>
        <v>21</v>
      </c>
      <c r="D32" s="4" t="n">
        <f aca="false">SUM(D25:D31)</f>
        <v>21</v>
      </c>
      <c r="E32" s="4" t="n">
        <f aca="false">SUM(E25:E31)</f>
        <v>14</v>
      </c>
      <c r="F32" s="1" t="n">
        <v>10</v>
      </c>
      <c r="G32" s="1" t="n">
        <f aca="false">SUM(C32:F32)</f>
        <v>66</v>
      </c>
    </row>
    <row r="33" customFormat="false" ht="12.8" hidden="false" customHeight="false" outlineLevel="0" collapsed="false">
      <c r="A3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B4" colorId="64" zoomScale="120" zoomScaleNormal="12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4" width="11.53"/>
    <col collapsed="false" customWidth="true" hidden="false" outlineLevel="0" max="2" min="2" style="4" width="13.69"/>
    <col collapsed="false" customWidth="true" hidden="false" outlineLevel="0" max="3" min="3" style="4" width="14.74"/>
    <col collapsed="false" customWidth="true" hidden="false" outlineLevel="0" max="4" min="4" style="4" width="13.91"/>
    <col collapsed="false" customWidth="true" hidden="false" outlineLevel="0" max="5" min="5" style="4" width="20.45"/>
    <col collapsed="false" customWidth="true" hidden="false" outlineLevel="0" max="6" min="6" style="1" width="16.19"/>
    <col collapsed="false" customWidth="true" hidden="false" outlineLevel="0" max="7" min="7" style="1" width="19.58"/>
    <col collapsed="false" customWidth="true" hidden="false" outlineLevel="0" max="8" min="8" style="1" width="15.62"/>
    <col collapsed="false" customWidth="true" hidden="false" outlineLevel="0" max="9" min="9" style="1" width="17.66"/>
    <col collapsed="false" customWidth="true" hidden="false" outlineLevel="0" max="10" min="10" style="1" width="12.73"/>
    <col collapsed="false" customWidth="true" hidden="false" outlineLevel="0" max="11" min="11" style="1" width="20.33"/>
    <col collapsed="false" customWidth="true" hidden="false" outlineLevel="0" max="12" min="12" style="1" width="17.33"/>
  </cols>
  <sheetData>
    <row r="1" customFormat="false" ht="12.8" hidden="false" customHeight="false" outlineLevel="0" collapsed="false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</row>
    <row r="2" customFormat="false" ht="12.8" hidden="false" customHeight="false" outlineLevel="0" collapsed="false">
      <c r="A2" s="4" t="s">
        <v>6</v>
      </c>
      <c r="B2" s="4" t="n">
        <v>29</v>
      </c>
      <c r="C2" s="4" t="n">
        <v>2</v>
      </c>
      <c r="D2" s="4" t="n">
        <v>57</v>
      </c>
      <c r="E2" s="4" t="n">
        <v>170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</row>
    <row r="3" customFormat="false" ht="12.8" hidden="false" customHeight="false" outlineLevel="0" collapsed="false">
      <c r="A3" s="4" t="s">
        <v>7</v>
      </c>
      <c r="B3" s="4" t="n">
        <v>29</v>
      </c>
      <c r="C3" s="4" t="n">
        <v>2</v>
      </c>
      <c r="D3" s="4" t="n">
        <v>57</v>
      </c>
      <c r="E3" s="4" t="n">
        <v>170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</row>
    <row r="4" customFormat="false" ht="12.8" hidden="false" customHeight="true" outlineLevel="0" collapsed="false">
      <c r="A4" s="4" t="s">
        <v>8</v>
      </c>
      <c r="B4" s="4" t="n">
        <v>35</v>
      </c>
      <c r="C4" s="4" t="n">
        <v>2</v>
      </c>
      <c r="D4" s="4" t="n">
        <v>57</v>
      </c>
      <c r="E4" s="4" t="n">
        <v>112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41</v>
      </c>
    </row>
    <row r="5" customFormat="false" ht="12.8" hidden="false" customHeight="true" outlineLevel="0" collapsed="false">
      <c r="A5" s="4" t="s">
        <v>9</v>
      </c>
      <c r="B5" s="4" t="n">
        <v>36</v>
      </c>
      <c r="C5" s="4" t="n">
        <v>2</v>
      </c>
      <c r="D5" s="4" t="n">
        <v>57</v>
      </c>
      <c r="E5" s="4" t="n">
        <v>112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false" showOutlineSymbols="true" defaultGridColor="true" view="normal" topLeftCell="A103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25.05"/>
    <col collapsed="false" customWidth="true" hidden="false" outlineLevel="0" max="4" min="4" style="1" width="14.63"/>
  </cols>
  <sheetData>
    <row r="1" customFormat="false" ht="12.8" hidden="false" customHeight="false" outlineLevel="0" collapsed="false">
      <c r="A1" s="8" t="s">
        <v>0</v>
      </c>
      <c r="B1" s="8" t="s">
        <v>1</v>
      </c>
      <c r="C1" s="8" t="s">
        <v>49</v>
      </c>
      <c r="D1" s="8" t="s">
        <v>50</v>
      </c>
      <c r="E1" s="8"/>
      <c r="F1" s="8" t="s">
        <v>51</v>
      </c>
    </row>
    <row r="2" customFormat="false" ht="12.8" hidden="false" customHeight="false" outlineLevel="0" collapsed="false">
      <c r="A2" s="9" t="s">
        <v>6</v>
      </c>
      <c r="B2" s="10" t="n">
        <v>2</v>
      </c>
      <c r="C2" s="11" t="s">
        <v>52</v>
      </c>
      <c r="D2" s="1" t="n">
        <v>612</v>
      </c>
      <c r="F2" s="10" t="n">
        <v>2</v>
      </c>
    </row>
    <row r="3" customFormat="false" ht="12.8" hidden="false" customHeight="false" outlineLevel="0" collapsed="false">
      <c r="A3" s="9" t="s">
        <v>6</v>
      </c>
      <c r="B3" s="1" t="n">
        <v>3</v>
      </c>
      <c r="C3" s="12" t="s">
        <v>53</v>
      </c>
      <c r="D3" s="1" t="n">
        <v>612</v>
      </c>
      <c r="F3" s="1" t="n">
        <v>3</v>
      </c>
    </row>
    <row r="4" customFormat="false" ht="12.8" hidden="false" customHeight="false" outlineLevel="0" collapsed="false">
      <c r="A4" s="9" t="s">
        <v>6</v>
      </c>
      <c r="B4" s="10" t="n">
        <v>4</v>
      </c>
      <c r="C4" s="11" t="s">
        <v>52</v>
      </c>
      <c r="D4" s="1" t="n">
        <v>612</v>
      </c>
      <c r="F4" s="10" t="n">
        <v>2</v>
      </c>
    </row>
    <row r="5" customFormat="false" ht="12.8" hidden="false" customHeight="false" outlineLevel="0" collapsed="false">
      <c r="A5" s="9" t="s">
        <v>6</v>
      </c>
      <c r="B5" s="1" t="n">
        <v>5</v>
      </c>
      <c r="C5" s="12" t="s">
        <v>53</v>
      </c>
      <c r="D5" s="1" t="n">
        <v>612</v>
      </c>
      <c r="F5" s="1" t="n">
        <v>3</v>
      </c>
    </row>
    <row r="6" customFormat="false" ht="12.8" hidden="false" customHeight="false" outlineLevel="0" collapsed="false">
      <c r="A6" s="9" t="s">
        <v>6</v>
      </c>
      <c r="B6" s="10" t="n">
        <v>6</v>
      </c>
      <c r="C6" s="11" t="s">
        <v>52</v>
      </c>
      <c r="D6" s="1" t="n">
        <v>612</v>
      </c>
      <c r="F6" s="10" t="n">
        <v>2</v>
      </c>
    </row>
    <row r="7" customFormat="false" ht="12.8" hidden="false" customHeight="false" outlineLevel="0" collapsed="false">
      <c r="A7" s="9" t="s">
        <v>6</v>
      </c>
      <c r="B7" s="1" t="n">
        <v>7</v>
      </c>
      <c r="C7" s="12" t="s">
        <v>53</v>
      </c>
      <c r="D7" s="1" t="n">
        <v>612</v>
      </c>
      <c r="F7" s="1" t="n">
        <v>3</v>
      </c>
    </row>
    <row r="8" customFormat="false" ht="12.8" hidden="false" customHeight="false" outlineLevel="0" collapsed="false">
      <c r="A8" s="9" t="s">
        <v>6</v>
      </c>
      <c r="B8" s="10" t="n">
        <v>8</v>
      </c>
      <c r="C8" s="11" t="s">
        <v>52</v>
      </c>
      <c r="D8" s="1" t="n">
        <v>612</v>
      </c>
      <c r="F8" s="10" t="n">
        <v>2</v>
      </c>
    </row>
    <row r="9" customFormat="false" ht="12.8" hidden="false" customHeight="false" outlineLevel="0" collapsed="false">
      <c r="A9" s="9" t="s">
        <v>6</v>
      </c>
      <c r="B9" s="1" t="n">
        <v>9</v>
      </c>
      <c r="C9" s="12" t="s">
        <v>53</v>
      </c>
      <c r="D9" s="1" t="n">
        <v>612</v>
      </c>
      <c r="F9" s="1" t="n">
        <v>3</v>
      </c>
    </row>
    <row r="10" customFormat="false" ht="12.8" hidden="false" customHeight="false" outlineLevel="0" collapsed="false">
      <c r="A10" s="9" t="s">
        <v>6</v>
      </c>
      <c r="B10" s="10" t="n">
        <v>10</v>
      </c>
      <c r="C10" s="11" t="s">
        <v>52</v>
      </c>
      <c r="D10" s="1" t="n">
        <v>612</v>
      </c>
      <c r="F10" s="10" t="n">
        <v>2</v>
      </c>
    </row>
    <row r="11" customFormat="false" ht="12.8" hidden="false" customHeight="false" outlineLevel="0" collapsed="false">
      <c r="A11" s="9" t="s">
        <v>6</v>
      </c>
      <c r="B11" s="1" t="n">
        <v>11</v>
      </c>
      <c r="C11" s="12" t="s">
        <v>53</v>
      </c>
      <c r="D11" s="1" t="n">
        <v>612</v>
      </c>
      <c r="F11" s="1" t="n">
        <v>3</v>
      </c>
    </row>
    <row r="12" customFormat="false" ht="12.8" hidden="false" customHeight="false" outlineLevel="0" collapsed="false">
      <c r="A12" s="9" t="s">
        <v>6</v>
      </c>
      <c r="B12" s="10" t="n">
        <v>12</v>
      </c>
      <c r="C12" s="11" t="s">
        <v>52</v>
      </c>
      <c r="D12" s="1" t="n">
        <v>612</v>
      </c>
      <c r="F12" s="10" t="n">
        <v>2</v>
      </c>
    </row>
    <row r="13" customFormat="false" ht="12.8" hidden="false" customHeight="false" outlineLevel="0" collapsed="false">
      <c r="A13" s="9" t="s">
        <v>6</v>
      </c>
      <c r="B13" s="1" t="n">
        <v>13</v>
      </c>
      <c r="C13" s="12" t="s">
        <v>53</v>
      </c>
      <c r="D13" s="1" t="n">
        <v>612</v>
      </c>
      <c r="F13" s="1" t="n">
        <v>3</v>
      </c>
    </row>
    <row r="14" customFormat="false" ht="12.8" hidden="false" customHeight="false" outlineLevel="0" collapsed="false">
      <c r="A14" s="9" t="s">
        <v>6</v>
      </c>
      <c r="B14" s="10" t="n">
        <v>14</v>
      </c>
      <c r="C14" s="11" t="s">
        <v>52</v>
      </c>
      <c r="D14" s="1" t="n">
        <v>612</v>
      </c>
      <c r="F14" s="10" t="n">
        <v>2</v>
      </c>
    </row>
    <row r="15" customFormat="false" ht="12.8" hidden="false" customHeight="false" outlineLevel="0" collapsed="false">
      <c r="A15" s="9" t="s">
        <v>6</v>
      </c>
      <c r="B15" s="1" t="n">
        <v>15</v>
      </c>
      <c r="C15" s="12" t="s">
        <v>53</v>
      </c>
      <c r="D15" s="1" t="n">
        <v>612</v>
      </c>
      <c r="F15" s="1" t="n">
        <v>3</v>
      </c>
    </row>
    <row r="16" customFormat="false" ht="12.8" hidden="false" customHeight="false" outlineLevel="0" collapsed="false">
      <c r="A16" s="9" t="s">
        <v>6</v>
      </c>
      <c r="B16" s="10" t="n">
        <v>16</v>
      </c>
      <c r="C16" s="11" t="s">
        <v>52</v>
      </c>
      <c r="D16" s="1" t="n">
        <v>612</v>
      </c>
      <c r="F16" s="10" t="n">
        <v>2</v>
      </c>
    </row>
    <row r="17" customFormat="false" ht="12.8" hidden="false" customHeight="false" outlineLevel="0" collapsed="false">
      <c r="A17" s="9" t="s">
        <v>6</v>
      </c>
      <c r="B17" s="1" t="n">
        <v>17</v>
      </c>
      <c r="C17" s="12" t="s">
        <v>53</v>
      </c>
      <c r="D17" s="1" t="n">
        <v>612</v>
      </c>
      <c r="F17" s="1" t="n">
        <v>3</v>
      </c>
    </row>
    <row r="18" customFormat="false" ht="12.8" hidden="false" customHeight="false" outlineLevel="0" collapsed="false">
      <c r="A18" s="9" t="s">
        <v>6</v>
      </c>
      <c r="B18" s="10" t="n">
        <v>18</v>
      </c>
      <c r="C18" s="11" t="s">
        <v>52</v>
      </c>
      <c r="D18" s="1" t="n">
        <v>612</v>
      </c>
      <c r="F18" s="10" t="n">
        <v>2</v>
      </c>
    </row>
    <row r="19" customFormat="false" ht="12.8" hidden="false" customHeight="false" outlineLevel="0" collapsed="false">
      <c r="A19" s="9" t="s">
        <v>6</v>
      </c>
      <c r="B19" s="1" t="n">
        <v>19</v>
      </c>
      <c r="C19" s="12" t="s">
        <v>53</v>
      </c>
      <c r="D19" s="1" t="n">
        <v>612</v>
      </c>
      <c r="F19" s="1" t="n">
        <v>3</v>
      </c>
    </row>
    <row r="20" customFormat="false" ht="12.8" hidden="false" customHeight="false" outlineLevel="0" collapsed="false">
      <c r="A20" s="9" t="s">
        <v>6</v>
      </c>
      <c r="B20" s="10" t="n">
        <v>20</v>
      </c>
      <c r="C20" s="11" t="s">
        <v>52</v>
      </c>
      <c r="D20" s="1" t="n">
        <v>612</v>
      </c>
      <c r="F20" s="10" t="n">
        <v>2</v>
      </c>
    </row>
    <row r="21" customFormat="false" ht="12.8" hidden="false" customHeight="false" outlineLevel="0" collapsed="false">
      <c r="A21" s="9" t="s">
        <v>6</v>
      </c>
      <c r="B21" s="1" t="n">
        <v>21</v>
      </c>
      <c r="C21" s="12" t="s">
        <v>53</v>
      </c>
      <c r="D21" s="1" t="n">
        <v>612</v>
      </c>
      <c r="F21" s="1" t="n">
        <v>3</v>
      </c>
    </row>
    <row r="22" customFormat="false" ht="12.8" hidden="false" customHeight="false" outlineLevel="0" collapsed="false">
      <c r="A22" s="9" t="s">
        <v>6</v>
      </c>
      <c r="B22" s="10" t="n">
        <v>22</v>
      </c>
      <c r="C22" s="11" t="s">
        <v>52</v>
      </c>
      <c r="D22" s="1" t="n">
        <v>612</v>
      </c>
      <c r="F22" s="10" t="n">
        <v>2</v>
      </c>
    </row>
    <row r="23" customFormat="false" ht="12.8" hidden="false" customHeight="false" outlineLevel="0" collapsed="false">
      <c r="A23" s="9" t="s">
        <v>6</v>
      </c>
      <c r="B23" s="1" t="n">
        <v>23</v>
      </c>
      <c r="C23" s="12" t="s">
        <v>53</v>
      </c>
      <c r="D23" s="1" t="n">
        <v>612</v>
      </c>
      <c r="F23" s="1" t="n">
        <v>3</v>
      </c>
    </row>
    <row r="24" customFormat="false" ht="12.8" hidden="false" customHeight="false" outlineLevel="0" collapsed="false">
      <c r="A24" s="9" t="s">
        <v>6</v>
      </c>
      <c r="B24" s="10" t="n">
        <v>24</v>
      </c>
      <c r="C24" s="11" t="s">
        <v>52</v>
      </c>
      <c r="D24" s="1" t="n">
        <v>612</v>
      </c>
      <c r="F24" s="10" t="n">
        <v>2</v>
      </c>
    </row>
    <row r="25" customFormat="false" ht="12.8" hidden="false" customHeight="false" outlineLevel="0" collapsed="false">
      <c r="A25" s="9" t="s">
        <v>6</v>
      </c>
      <c r="B25" s="1" t="n">
        <v>25</v>
      </c>
      <c r="C25" s="12" t="s">
        <v>53</v>
      </c>
      <c r="D25" s="1" t="n">
        <v>612</v>
      </c>
      <c r="F25" s="1" t="n">
        <v>3</v>
      </c>
    </row>
    <row r="26" customFormat="false" ht="12.8" hidden="false" customHeight="false" outlineLevel="0" collapsed="false">
      <c r="A26" s="9" t="s">
        <v>6</v>
      </c>
      <c r="B26" s="10" t="n">
        <v>26</v>
      </c>
      <c r="C26" s="11" t="s">
        <v>52</v>
      </c>
      <c r="D26" s="1" t="n">
        <v>612</v>
      </c>
      <c r="F26" s="10" t="n">
        <v>2</v>
      </c>
    </row>
    <row r="27" customFormat="false" ht="12.8" hidden="false" customHeight="false" outlineLevel="0" collapsed="false">
      <c r="A27" s="9" t="s">
        <v>6</v>
      </c>
      <c r="B27" s="1" t="n">
        <v>27</v>
      </c>
      <c r="C27" s="12" t="s">
        <v>53</v>
      </c>
      <c r="D27" s="1" t="n">
        <v>612</v>
      </c>
      <c r="F27" s="1" t="n">
        <v>3</v>
      </c>
    </row>
    <row r="28" customFormat="false" ht="12.8" hidden="false" customHeight="false" outlineLevel="0" collapsed="false">
      <c r="A28" s="9" t="s">
        <v>6</v>
      </c>
      <c r="B28" s="10" t="n">
        <v>28</v>
      </c>
      <c r="C28" s="11" t="s">
        <v>52</v>
      </c>
      <c r="D28" s="1" t="n">
        <v>612</v>
      </c>
      <c r="F28" s="10" t="n">
        <v>2</v>
      </c>
    </row>
    <row r="29" customFormat="false" ht="12.8" hidden="false" customHeight="false" outlineLevel="0" collapsed="false">
      <c r="A29" s="9" t="s">
        <v>6</v>
      </c>
      <c r="B29" s="1" t="n">
        <v>29</v>
      </c>
      <c r="C29" s="12" t="s">
        <v>53</v>
      </c>
      <c r="D29" s="1" t="n">
        <v>612</v>
      </c>
      <c r="F29" s="1" t="n">
        <v>3</v>
      </c>
    </row>
    <row r="30" customFormat="false" ht="12.8" hidden="false" customHeight="false" outlineLevel="0" collapsed="false">
      <c r="A30" s="9" t="s">
        <v>6</v>
      </c>
      <c r="B30" s="10" t="n">
        <v>30</v>
      </c>
      <c r="C30" s="11" t="s">
        <v>52</v>
      </c>
      <c r="D30" s="1" t="n">
        <v>612</v>
      </c>
      <c r="F30" s="10" t="n">
        <v>2</v>
      </c>
    </row>
    <row r="31" customFormat="false" ht="12.8" hidden="false" customHeight="false" outlineLevel="0" collapsed="false">
      <c r="A31" s="9" t="s">
        <v>6</v>
      </c>
      <c r="B31" s="1" t="n">
        <v>31</v>
      </c>
      <c r="C31" s="12" t="s">
        <v>53</v>
      </c>
      <c r="D31" s="1" t="n">
        <v>612</v>
      </c>
      <c r="F31" s="1" t="n">
        <v>3</v>
      </c>
    </row>
    <row r="32" customFormat="false" ht="12.8" hidden="false" customHeight="false" outlineLevel="0" collapsed="false">
      <c r="A32" s="9" t="s">
        <v>6</v>
      </c>
      <c r="B32" s="10" t="n">
        <v>32</v>
      </c>
      <c r="C32" s="11" t="s">
        <v>52</v>
      </c>
      <c r="D32" s="1" t="n">
        <v>612</v>
      </c>
      <c r="F32" s="10" t="n">
        <v>2</v>
      </c>
    </row>
    <row r="33" customFormat="false" ht="12.8" hidden="false" customHeight="false" outlineLevel="0" collapsed="false">
      <c r="A33" s="9" t="s">
        <v>6</v>
      </c>
      <c r="B33" s="1" t="n">
        <v>33</v>
      </c>
      <c r="C33" s="12" t="s">
        <v>53</v>
      </c>
      <c r="D33" s="1" t="n">
        <v>612</v>
      </c>
      <c r="F33" s="1" t="n">
        <v>3</v>
      </c>
    </row>
    <row r="34" customFormat="false" ht="12.8" hidden="false" customHeight="false" outlineLevel="0" collapsed="false">
      <c r="A34" s="9" t="s">
        <v>6</v>
      </c>
      <c r="B34" s="10" t="n">
        <v>34</v>
      </c>
      <c r="C34" s="11" t="s">
        <v>52</v>
      </c>
      <c r="D34" s="1" t="n">
        <v>612</v>
      </c>
      <c r="F34" s="10" t="n">
        <v>2</v>
      </c>
    </row>
    <row r="35" customFormat="false" ht="12.8" hidden="false" customHeight="false" outlineLevel="0" collapsed="false">
      <c r="A35" s="9" t="s">
        <v>6</v>
      </c>
      <c r="B35" s="1" t="n">
        <v>35</v>
      </c>
      <c r="C35" s="12" t="s">
        <v>53</v>
      </c>
      <c r="D35" s="1" t="n">
        <v>612</v>
      </c>
      <c r="F35" s="1" t="n">
        <v>3</v>
      </c>
    </row>
    <row r="36" customFormat="false" ht="12.8" hidden="false" customHeight="false" outlineLevel="0" collapsed="false">
      <c r="A36" s="9" t="s">
        <v>6</v>
      </c>
      <c r="B36" s="10" t="n">
        <v>36</v>
      </c>
      <c r="C36" s="11" t="s">
        <v>52</v>
      </c>
      <c r="D36" s="1" t="n">
        <v>612</v>
      </c>
      <c r="F36" s="10" t="n">
        <v>2</v>
      </c>
    </row>
    <row r="37" customFormat="false" ht="12.8" hidden="false" customHeight="false" outlineLevel="0" collapsed="false">
      <c r="A37" s="9" t="s">
        <v>6</v>
      </c>
      <c r="B37" s="1" t="n">
        <v>37</v>
      </c>
      <c r="C37" s="12" t="s">
        <v>53</v>
      </c>
      <c r="D37" s="1" t="n">
        <v>612</v>
      </c>
      <c r="F37" s="1" t="n">
        <v>3</v>
      </c>
    </row>
    <row r="38" customFormat="false" ht="12.8" hidden="false" customHeight="false" outlineLevel="0" collapsed="false">
      <c r="A38" s="9" t="s">
        <v>6</v>
      </c>
      <c r="B38" s="10" t="n">
        <v>38</v>
      </c>
      <c r="C38" s="11" t="s">
        <v>52</v>
      </c>
      <c r="D38" s="1" t="n">
        <v>612</v>
      </c>
      <c r="F38" s="10" t="n">
        <v>2</v>
      </c>
    </row>
    <row r="39" customFormat="false" ht="12.8" hidden="false" customHeight="false" outlineLevel="0" collapsed="false">
      <c r="A39" s="9" t="s">
        <v>6</v>
      </c>
      <c r="B39" s="1" t="n">
        <v>39</v>
      </c>
      <c r="C39" s="12" t="s">
        <v>53</v>
      </c>
      <c r="D39" s="1" t="n">
        <v>612</v>
      </c>
      <c r="F39" s="1" t="n">
        <v>3</v>
      </c>
    </row>
    <row r="40" customFormat="false" ht="12.8" hidden="false" customHeight="false" outlineLevel="0" collapsed="false">
      <c r="A40" s="9" t="s">
        <v>6</v>
      </c>
      <c r="B40" s="10" t="n">
        <v>40</v>
      </c>
      <c r="C40" s="11" t="s">
        <v>52</v>
      </c>
      <c r="D40" s="1" t="n">
        <v>612</v>
      </c>
      <c r="F40" s="10" t="n">
        <v>2</v>
      </c>
    </row>
    <row r="41" customFormat="false" ht="12.8" hidden="false" customHeight="false" outlineLevel="0" collapsed="false">
      <c r="A41" s="9" t="s">
        <v>6</v>
      </c>
      <c r="B41" s="1" t="n">
        <v>41</v>
      </c>
      <c r="C41" s="12" t="s">
        <v>53</v>
      </c>
      <c r="D41" s="1" t="n">
        <v>612</v>
      </c>
      <c r="F41" s="1" t="n">
        <v>3</v>
      </c>
    </row>
    <row r="42" customFormat="false" ht="12.8" hidden="false" customHeight="false" outlineLevel="0" collapsed="false">
      <c r="A42" s="9" t="s">
        <v>6</v>
      </c>
      <c r="B42" s="10" t="n">
        <v>42</v>
      </c>
      <c r="C42" s="11" t="s">
        <v>52</v>
      </c>
      <c r="D42" s="1" t="n">
        <v>612</v>
      </c>
      <c r="F42" s="10" t="n">
        <v>2</v>
      </c>
    </row>
    <row r="43" customFormat="false" ht="12.8" hidden="false" customHeight="false" outlineLevel="0" collapsed="false">
      <c r="A43" s="9" t="s">
        <v>6</v>
      </c>
      <c r="B43" s="1" t="n">
        <v>43</v>
      </c>
      <c r="C43" s="12" t="s">
        <v>53</v>
      </c>
      <c r="D43" s="1" t="n">
        <v>612</v>
      </c>
      <c r="F43" s="1" t="n">
        <v>3</v>
      </c>
    </row>
    <row r="44" customFormat="false" ht="12.8" hidden="false" customHeight="false" outlineLevel="0" collapsed="false">
      <c r="A44" s="9" t="s">
        <v>6</v>
      </c>
      <c r="B44" s="10" t="n">
        <v>44</v>
      </c>
      <c r="C44" s="11" t="s">
        <v>52</v>
      </c>
      <c r="D44" s="1" t="n">
        <v>612</v>
      </c>
      <c r="F44" s="10" t="n">
        <v>2</v>
      </c>
    </row>
    <row r="45" customFormat="false" ht="12.8" hidden="false" customHeight="false" outlineLevel="0" collapsed="false">
      <c r="A45" s="9" t="s">
        <v>6</v>
      </c>
      <c r="B45" s="1" t="n">
        <v>45</v>
      </c>
      <c r="C45" s="12" t="s">
        <v>53</v>
      </c>
      <c r="D45" s="1" t="n">
        <v>612</v>
      </c>
      <c r="F45" s="1" t="n">
        <v>3</v>
      </c>
    </row>
    <row r="46" customFormat="false" ht="12.8" hidden="false" customHeight="false" outlineLevel="0" collapsed="false">
      <c r="A46" s="9" t="s">
        <v>6</v>
      </c>
      <c r="B46" s="10" t="n">
        <v>46</v>
      </c>
      <c r="C46" s="11" t="s">
        <v>52</v>
      </c>
      <c r="D46" s="1" t="n">
        <v>612</v>
      </c>
      <c r="F46" s="10" t="n">
        <v>2</v>
      </c>
    </row>
    <row r="47" customFormat="false" ht="12.8" hidden="false" customHeight="false" outlineLevel="0" collapsed="false">
      <c r="A47" s="9" t="s">
        <v>6</v>
      </c>
      <c r="B47" s="1" t="n">
        <v>47</v>
      </c>
      <c r="C47" s="12" t="s">
        <v>53</v>
      </c>
      <c r="D47" s="1" t="n">
        <v>612</v>
      </c>
      <c r="F47" s="1" t="n">
        <v>3</v>
      </c>
    </row>
    <row r="48" customFormat="false" ht="12.8" hidden="false" customHeight="false" outlineLevel="0" collapsed="false">
      <c r="A48" s="9" t="s">
        <v>6</v>
      </c>
      <c r="B48" s="10" t="n">
        <v>48</v>
      </c>
      <c r="C48" s="11" t="s">
        <v>52</v>
      </c>
      <c r="D48" s="1" t="n">
        <v>612</v>
      </c>
      <c r="F48" s="10" t="n">
        <v>2</v>
      </c>
    </row>
    <row r="49" customFormat="false" ht="12.8" hidden="false" customHeight="false" outlineLevel="0" collapsed="false">
      <c r="A49" s="9" t="s">
        <v>6</v>
      </c>
      <c r="B49" s="1" t="n">
        <v>49</v>
      </c>
      <c r="C49" s="12" t="s">
        <v>53</v>
      </c>
      <c r="D49" s="1" t="n">
        <v>612</v>
      </c>
      <c r="F49" s="1" t="n">
        <v>3</v>
      </c>
    </row>
    <row r="50" customFormat="false" ht="12.8" hidden="false" customHeight="false" outlineLevel="0" collapsed="false">
      <c r="A50" s="9" t="s">
        <v>6</v>
      </c>
      <c r="B50" s="10" t="n">
        <v>50</v>
      </c>
      <c r="C50" s="11" t="s">
        <v>52</v>
      </c>
      <c r="D50" s="1" t="n">
        <v>612</v>
      </c>
      <c r="F50" s="10" t="n">
        <v>2</v>
      </c>
    </row>
    <row r="51" customFormat="false" ht="12.8" hidden="false" customHeight="false" outlineLevel="0" collapsed="false">
      <c r="A51" s="9" t="s">
        <v>6</v>
      </c>
      <c r="B51" s="1" t="n">
        <v>51</v>
      </c>
      <c r="C51" s="12" t="s">
        <v>53</v>
      </c>
      <c r="D51" s="1" t="n">
        <v>612</v>
      </c>
      <c r="F51" s="1" t="n">
        <v>3</v>
      </c>
    </row>
    <row r="52" customFormat="false" ht="12.8" hidden="false" customHeight="false" outlineLevel="0" collapsed="false">
      <c r="A52" s="9" t="s">
        <v>6</v>
      </c>
      <c r="B52" s="10" t="n">
        <v>52</v>
      </c>
      <c r="C52" s="11" t="s">
        <v>52</v>
      </c>
      <c r="D52" s="1" t="n">
        <v>612</v>
      </c>
      <c r="F52" s="10" t="n">
        <v>2</v>
      </c>
    </row>
    <row r="53" customFormat="false" ht="12.8" hidden="false" customHeight="false" outlineLevel="0" collapsed="false">
      <c r="A53" s="9" t="s">
        <v>6</v>
      </c>
      <c r="B53" s="1" t="n">
        <v>53</v>
      </c>
      <c r="C53" s="12" t="s">
        <v>53</v>
      </c>
      <c r="D53" s="1" t="n">
        <v>612</v>
      </c>
      <c r="F53" s="1" t="n">
        <v>3</v>
      </c>
    </row>
    <row r="54" customFormat="false" ht="12.8" hidden="false" customHeight="false" outlineLevel="0" collapsed="false">
      <c r="A54" s="9" t="s">
        <v>6</v>
      </c>
      <c r="B54" s="10" t="n">
        <v>54</v>
      </c>
      <c r="C54" s="11" t="s">
        <v>52</v>
      </c>
      <c r="D54" s="1" t="n">
        <v>612</v>
      </c>
      <c r="F54" s="10" t="n">
        <v>2</v>
      </c>
    </row>
    <row r="55" customFormat="false" ht="12.8" hidden="false" customHeight="false" outlineLevel="0" collapsed="false">
      <c r="A55" s="9" t="s">
        <v>6</v>
      </c>
      <c r="B55" s="1" t="n">
        <v>55</v>
      </c>
      <c r="C55" s="12" t="s">
        <v>53</v>
      </c>
      <c r="D55" s="1" t="n">
        <v>612</v>
      </c>
      <c r="F55" s="1" t="n">
        <v>3</v>
      </c>
    </row>
    <row r="56" customFormat="false" ht="12.8" hidden="false" customHeight="false" outlineLevel="0" collapsed="false">
      <c r="A56" s="9" t="s">
        <v>6</v>
      </c>
      <c r="B56" s="10" t="n">
        <v>56</v>
      </c>
      <c r="C56" s="11" t="s">
        <v>52</v>
      </c>
      <c r="D56" s="1" t="n">
        <v>612</v>
      </c>
      <c r="F56" s="10" t="n">
        <v>2</v>
      </c>
    </row>
    <row r="57" customFormat="false" ht="12.8" hidden="false" customHeight="false" outlineLevel="0" collapsed="false">
      <c r="A57" s="9" t="s">
        <v>6</v>
      </c>
      <c r="B57" s="1" t="n">
        <v>57</v>
      </c>
      <c r="C57" s="12" t="s">
        <v>53</v>
      </c>
      <c r="D57" s="1" t="n">
        <v>612</v>
      </c>
      <c r="F57" s="1" t="n">
        <v>3</v>
      </c>
    </row>
    <row r="58" customFormat="false" ht="12.8" hidden="false" customHeight="false" outlineLevel="0" collapsed="false">
      <c r="A58" s="5" t="s">
        <v>7</v>
      </c>
      <c r="B58" s="5" t="n">
        <v>2</v>
      </c>
      <c r="C58" s="13" t="s">
        <v>52</v>
      </c>
      <c r="D58" s="1" t="n">
        <v>612</v>
      </c>
      <c r="F58" s="5" t="n">
        <v>2</v>
      </c>
    </row>
    <row r="59" customFormat="false" ht="12.8" hidden="false" customHeight="false" outlineLevel="0" collapsed="false">
      <c r="A59" s="5" t="s">
        <v>7</v>
      </c>
      <c r="B59" s="1" t="n">
        <v>3</v>
      </c>
      <c r="C59" s="12" t="s">
        <v>53</v>
      </c>
      <c r="D59" s="1" t="n">
        <v>612</v>
      </c>
      <c r="F59" s="1" t="n">
        <v>3</v>
      </c>
    </row>
    <row r="60" customFormat="false" ht="12.8" hidden="false" customHeight="false" outlineLevel="0" collapsed="false">
      <c r="A60" s="5" t="s">
        <v>7</v>
      </c>
      <c r="B60" s="5" t="n">
        <v>4</v>
      </c>
      <c r="C60" s="13" t="s">
        <v>52</v>
      </c>
      <c r="D60" s="1" t="n">
        <v>612</v>
      </c>
      <c r="F60" s="5" t="n">
        <v>2</v>
      </c>
    </row>
    <row r="61" customFormat="false" ht="12.8" hidden="false" customHeight="false" outlineLevel="0" collapsed="false">
      <c r="A61" s="5" t="s">
        <v>7</v>
      </c>
      <c r="B61" s="1" t="n">
        <v>5</v>
      </c>
      <c r="C61" s="12" t="s">
        <v>53</v>
      </c>
      <c r="D61" s="1" t="n">
        <v>612</v>
      </c>
      <c r="F61" s="1" t="n">
        <v>3</v>
      </c>
    </row>
    <row r="62" customFormat="false" ht="12.8" hidden="false" customHeight="false" outlineLevel="0" collapsed="false">
      <c r="A62" s="5" t="s">
        <v>7</v>
      </c>
      <c r="B62" s="5" t="n">
        <v>6</v>
      </c>
      <c r="C62" s="13" t="s">
        <v>52</v>
      </c>
      <c r="D62" s="1" t="n">
        <v>612</v>
      </c>
      <c r="F62" s="5" t="n">
        <v>2</v>
      </c>
    </row>
    <row r="63" customFormat="false" ht="12.8" hidden="false" customHeight="false" outlineLevel="0" collapsed="false">
      <c r="A63" s="5" t="s">
        <v>7</v>
      </c>
      <c r="B63" s="1" t="n">
        <v>7</v>
      </c>
      <c r="C63" s="12" t="s">
        <v>53</v>
      </c>
      <c r="D63" s="1" t="n">
        <v>612</v>
      </c>
      <c r="F63" s="1" t="n">
        <v>3</v>
      </c>
    </row>
    <row r="64" customFormat="false" ht="12.8" hidden="false" customHeight="false" outlineLevel="0" collapsed="false">
      <c r="A64" s="5" t="s">
        <v>7</v>
      </c>
      <c r="B64" s="5" t="n">
        <v>8</v>
      </c>
      <c r="C64" s="13" t="s">
        <v>52</v>
      </c>
      <c r="D64" s="1" t="n">
        <v>612</v>
      </c>
      <c r="F64" s="5" t="n">
        <v>2</v>
      </c>
    </row>
    <row r="65" customFormat="false" ht="12.8" hidden="false" customHeight="false" outlineLevel="0" collapsed="false">
      <c r="A65" s="5" t="s">
        <v>7</v>
      </c>
      <c r="B65" s="1" t="n">
        <v>9</v>
      </c>
      <c r="C65" s="12" t="s">
        <v>53</v>
      </c>
      <c r="D65" s="1" t="n">
        <v>612</v>
      </c>
      <c r="F65" s="1" t="n">
        <v>3</v>
      </c>
    </row>
    <row r="66" customFormat="false" ht="12.8" hidden="false" customHeight="false" outlineLevel="0" collapsed="false">
      <c r="A66" s="5" t="s">
        <v>7</v>
      </c>
      <c r="B66" s="5" t="n">
        <v>10</v>
      </c>
      <c r="C66" s="13" t="s">
        <v>52</v>
      </c>
      <c r="D66" s="1" t="n">
        <v>612</v>
      </c>
      <c r="F66" s="5" t="n">
        <v>2</v>
      </c>
    </row>
    <row r="67" customFormat="false" ht="12.8" hidden="false" customHeight="false" outlineLevel="0" collapsed="false">
      <c r="A67" s="5" t="s">
        <v>7</v>
      </c>
      <c r="B67" s="1" t="n">
        <v>11</v>
      </c>
      <c r="C67" s="12" t="s">
        <v>53</v>
      </c>
      <c r="D67" s="1" t="n">
        <v>612</v>
      </c>
      <c r="F67" s="1" t="n">
        <v>3</v>
      </c>
    </row>
    <row r="68" customFormat="false" ht="12.8" hidden="false" customHeight="false" outlineLevel="0" collapsed="false">
      <c r="A68" s="5" t="s">
        <v>7</v>
      </c>
      <c r="B68" s="5" t="n">
        <v>12</v>
      </c>
      <c r="C68" s="13" t="s">
        <v>52</v>
      </c>
      <c r="D68" s="1" t="n">
        <v>612</v>
      </c>
      <c r="F68" s="5" t="n">
        <v>2</v>
      </c>
    </row>
    <row r="69" customFormat="false" ht="12.8" hidden="false" customHeight="false" outlineLevel="0" collapsed="false">
      <c r="A69" s="5" t="s">
        <v>7</v>
      </c>
      <c r="B69" s="1" t="n">
        <v>13</v>
      </c>
      <c r="C69" s="12" t="s">
        <v>53</v>
      </c>
      <c r="D69" s="1" t="n">
        <v>612</v>
      </c>
      <c r="F69" s="1" t="n">
        <v>3</v>
      </c>
    </row>
    <row r="70" customFormat="false" ht="12.8" hidden="false" customHeight="false" outlineLevel="0" collapsed="false">
      <c r="A70" s="5" t="s">
        <v>7</v>
      </c>
      <c r="B70" s="5" t="n">
        <v>14</v>
      </c>
      <c r="C70" s="13" t="s">
        <v>52</v>
      </c>
      <c r="D70" s="1" t="n">
        <v>612</v>
      </c>
      <c r="F70" s="5" t="n">
        <v>2</v>
      </c>
    </row>
    <row r="71" customFormat="false" ht="12.8" hidden="false" customHeight="false" outlineLevel="0" collapsed="false">
      <c r="A71" s="5" t="s">
        <v>7</v>
      </c>
      <c r="B71" s="1" t="n">
        <v>15</v>
      </c>
      <c r="C71" s="12" t="s">
        <v>53</v>
      </c>
      <c r="D71" s="1" t="n">
        <v>612</v>
      </c>
      <c r="F71" s="1" t="n">
        <v>3</v>
      </c>
    </row>
    <row r="72" customFormat="false" ht="12.8" hidden="false" customHeight="false" outlineLevel="0" collapsed="false">
      <c r="A72" s="5" t="s">
        <v>7</v>
      </c>
      <c r="B72" s="5" t="n">
        <v>16</v>
      </c>
      <c r="C72" s="13" t="s">
        <v>52</v>
      </c>
      <c r="D72" s="1" t="n">
        <v>612</v>
      </c>
      <c r="F72" s="5" t="n">
        <v>2</v>
      </c>
    </row>
    <row r="73" customFormat="false" ht="12.8" hidden="false" customHeight="false" outlineLevel="0" collapsed="false">
      <c r="A73" s="5" t="s">
        <v>7</v>
      </c>
      <c r="B73" s="1" t="n">
        <v>17</v>
      </c>
      <c r="C73" s="12" t="s">
        <v>53</v>
      </c>
      <c r="D73" s="1" t="n">
        <v>612</v>
      </c>
      <c r="F73" s="1" t="n">
        <v>3</v>
      </c>
    </row>
    <row r="74" customFormat="false" ht="12.8" hidden="false" customHeight="false" outlineLevel="0" collapsed="false">
      <c r="A74" s="5" t="s">
        <v>7</v>
      </c>
      <c r="B74" s="5" t="n">
        <v>18</v>
      </c>
      <c r="C74" s="13" t="s">
        <v>52</v>
      </c>
      <c r="D74" s="1" t="n">
        <v>612</v>
      </c>
      <c r="F74" s="5" t="n">
        <v>2</v>
      </c>
    </row>
    <row r="75" customFormat="false" ht="12.8" hidden="false" customHeight="false" outlineLevel="0" collapsed="false">
      <c r="A75" s="5" t="s">
        <v>7</v>
      </c>
      <c r="B75" s="1" t="n">
        <v>19</v>
      </c>
      <c r="C75" s="12" t="s">
        <v>53</v>
      </c>
      <c r="D75" s="1" t="n">
        <v>612</v>
      </c>
      <c r="F75" s="1" t="n">
        <v>3</v>
      </c>
    </row>
    <row r="76" customFormat="false" ht="12.8" hidden="false" customHeight="false" outlineLevel="0" collapsed="false">
      <c r="A76" s="5" t="s">
        <v>7</v>
      </c>
      <c r="B76" s="5" t="n">
        <v>20</v>
      </c>
      <c r="C76" s="13" t="s">
        <v>52</v>
      </c>
      <c r="D76" s="1" t="n">
        <v>612</v>
      </c>
      <c r="F76" s="5" t="n">
        <v>2</v>
      </c>
    </row>
    <row r="77" customFormat="false" ht="12.8" hidden="false" customHeight="false" outlineLevel="0" collapsed="false">
      <c r="A77" s="5" t="s">
        <v>7</v>
      </c>
      <c r="B77" s="1" t="n">
        <v>21</v>
      </c>
      <c r="C77" s="12" t="s">
        <v>53</v>
      </c>
      <c r="D77" s="1" t="n">
        <v>612</v>
      </c>
      <c r="F77" s="1" t="n">
        <v>3</v>
      </c>
    </row>
    <row r="78" customFormat="false" ht="12.8" hidden="false" customHeight="false" outlineLevel="0" collapsed="false">
      <c r="A78" s="5" t="s">
        <v>7</v>
      </c>
      <c r="B78" s="5" t="n">
        <v>22</v>
      </c>
      <c r="C78" s="13" t="s">
        <v>52</v>
      </c>
      <c r="D78" s="1" t="n">
        <v>612</v>
      </c>
      <c r="F78" s="5" t="n">
        <v>2</v>
      </c>
    </row>
    <row r="79" customFormat="false" ht="12.8" hidden="false" customHeight="false" outlineLevel="0" collapsed="false">
      <c r="A79" s="5" t="s">
        <v>7</v>
      </c>
      <c r="B79" s="1" t="n">
        <v>23</v>
      </c>
      <c r="C79" s="12" t="s">
        <v>53</v>
      </c>
      <c r="D79" s="1" t="n">
        <v>612</v>
      </c>
      <c r="F79" s="1" t="n">
        <v>3</v>
      </c>
    </row>
    <row r="80" customFormat="false" ht="12.8" hidden="false" customHeight="false" outlineLevel="0" collapsed="false">
      <c r="A80" s="5" t="s">
        <v>7</v>
      </c>
      <c r="B80" s="5" t="n">
        <v>24</v>
      </c>
      <c r="C80" s="13" t="s">
        <v>52</v>
      </c>
      <c r="D80" s="1" t="n">
        <v>612</v>
      </c>
      <c r="F80" s="5" t="n">
        <v>2</v>
      </c>
    </row>
    <row r="81" customFormat="false" ht="12.8" hidden="false" customHeight="false" outlineLevel="0" collapsed="false">
      <c r="A81" s="5" t="s">
        <v>7</v>
      </c>
      <c r="B81" s="1" t="n">
        <v>25</v>
      </c>
      <c r="C81" s="12" t="s">
        <v>53</v>
      </c>
      <c r="D81" s="1" t="n">
        <v>612</v>
      </c>
      <c r="F81" s="1" t="n">
        <v>3</v>
      </c>
    </row>
    <row r="82" customFormat="false" ht="12.8" hidden="false" customHeight="false" outlineLevel="0" collapsed="false">
      <c r="A82" s="5" t="s">
        <v>7</v>
      </c>
      <c r="B82" s="5" t="n">
        <v>26</v>
      </c>
      <c r="C82" s="13" t="s">
        <v>52</v>
      </c>
      <c r="D82" s="1" t="n">
        <v>612</v>
      </c>
      <c r="F82" s="5" t="n">
        <v>2</v>
      </c>
    </row>
    <row r="83" customFormat="false" ht="12.8" hidden="false" customHeight="false" outlineLevel="0" collapsed="false">
      <c r="A83" s="5" t="s">
        <v>7</v>
      </c>
      <c r="B83" s="1" t="n">
        <v>27</v>
      </c>
      <c r="C83" s="12" t="s">
        <v>53</v>
      </c>
      <c r="D83" s="1" t="n">
        <v>612</v>
      </c>
      <c r="F83" s="1" t="n">
        <v>3</v>
      </c>
    </row>
    <row r="84" customFormat="false" ht="12.8" hidden="false" customHeight="false" outlineLevel="0" collapsed="false">
      <c r="A84" s="5" t="s">
        <v>7</v>
      </c>
      <c r="B84" s="5" t="n">
        <v>28</v>
      </c>
      <c r="C84" s="13" t="s">
        <v>52</v>
      </c>
      <c r="D84" s="1" t="n">
        <v>612</v>
      </c>
      <c r="F84" s="5" t="n">
        <v>2</v>
      </c>
    </row>
    <row r="85" customFormat="false" ht="12.8" hidden="false" customHeight="false" outlineLevel="0" collapsed="false">
      <c r="A85" s="5" t="s">
        <v>7</v>
      </c>
      <c r="B85" s="1" t="n">
        <v>29</v>
      </c>
      <c r="C85" s="12" t="s">
        <v>53</v>
      </c>
      <c r="D85" s="1" t="n">
        <v>612</v>
      </c>
      <c r="F85" s="1" t="n">
        <v>3</v>
      </c>
    </row>
    <row r="86" customFormat="false" ht="12.8" hidden="false" customHeight="false" outlineLevel="0" collapsed="false">
      <c r="A86" s="5" t="s">
        <v>7</v>
      </c>
      <c r="B86" s="5" t="n">
        <v>30</v>
      </c>
      <c r="C86" s="13" t="s">
        <v>52</v>
      </c>
      <c r="D86" s="1" t="n">
        <v>612</v>
      </c>
      <c r="F86" s="5" t="n">
        <v>2</v>
      </c>
    </row>
    <row r="87" customFormat="false" ht="12.8" hidden="false" customHeight="false" outlineLevel="0" collapsed="false">
      <c r="A87" s="5" t="s">
        <v>7</v>
      </c>
      <c r="B87" s="1" t="n">
        <v>31</v>
      </c>
      <c r="C87" s="12" t="s">
        <v>53</v>
      </c>
      <c r="D87" s="1" t="n">
        <v>612</v>
      </c>
      <c r="F87" s="1" t="n">
        <v>3</v>
      </c>
    </row>
    <row r="88" customFormat="false" ht="12.8" hidden="false" customHeight="false" outlineLevel="0" collapsed="false">
      <c r="A88" s="5" t="s">
        <v>7</v>
      </c>
      <c r="B88" s="5" t="n">
        <v>32</v>
      </c>
      <c r="C88" s="13" t="s">
        <v>52</v>
      </c>
      <c r="D88" s="1" t="n">
        <v>612</v>
      </c>
      <c r="F88" s="5" t="n">
        <v>2</v>
      </c>
    </row>
    <row r="89" customFormat="false" ht="12.8" hidden="false" customHeight="false" outlineLevel="0" collapsed="false">
      <c r="A89" s="5" t="s">
        <v>7</v>
      </c>
      <c r="B89" s="1" t="n">
        <v>33</v>
      </c>
      <c r="C89" s="12" t="s">
        <v>53</v>
      </c>
      <c r="D89" s="1" t="n">
        <v>612</v>
      </c>
      <c r="F89" s="1" t="n">
        <v>3</v>
      </c>
    </row>
    <row r="90" customFormat="false" ht="12.8" hidden="false" customHeight="false" outlineLevel="0" collapsed="false">
      <c r="A90" s="5" t="s">
        <v>7</v>
      </c>
      <c r="B90" s="5" t="n">
        <v>34</v>
      </c>
      <c r="C90" s="13" t="s">
        <v>52</v>
      </c>
      <c r="D90" s="1" t="n">
        <v>612</v>
      </c>
      <c r="F90" s="5" t="n">
        <v>2</v>
      </c>
    </row>
    <row r="91" customFormat="false" ht="12.8" hidden="false" customHeight="false" outlineLevel="0" collapsed="false">
      <c r="A91" s="5" t="s">
        <v>7</v>
      </c>
      <c r="B91" s="1" t="n">
        <v>35</v>
      </c>
      <c r="C91" s="12" t="s">
        <v>53</v>
      </c>
      <c r="D91" s="1" t="n">
        <v>612</v>
      </c>
      <c r="F91" s="1" t="n">
        <v>3</v>
      </c>
    </row>
    <row r="92" customFormat="false" ht="12.8" hidden="false" customHeight="false" outlineLevel="0" collapsed="false">
      <c r="A92" s="5" t="s">
        <v>7</v>
      </c>
      <c r="B92" s="5" t="n">
        <v>36</v>
      </c>
      <c r="C92" s="13" t="s">
        <v>52</v>
      </c>
      <c r="D92" s="1" t="n">
        <v>612</v>
      </c>
      <c r="F92" s="5" t="n">
        <v>2</v>
      </c>
    </row>
    <row r="93" customFormat="false" ht="12.8" hidden="false" customHeight="false" outlineLevel="0" collapsed="false">
      <c r="A93" s="5" t="s">
        <v>7</v>
      </c>
      <c r="B93" s="1" t="n">
        <v>37</v>
      </c>
      <c r="C93" s="12" t="s">
        <v>53</v>
      </c>
      <c r="D93" s="1" t="n">
        <v>612</v>
      </c>
      <c r="F93" s="1" t="n">
        <v>3</v>
      </c>
    </row>
    <row r="94" customFormat="false" ht="12.8" hidden="false" customHeight="false" outlineLevel="0" collapsed="false">
      <c r="A94" s="5" t="s">
        <v>7</v>
      </c>
      <c r="B94" s="5" t="n">
        <v>38</v>
      </c>
      <c r="C94" s="13" t="s">
        <v>52</v>
      </c>
      <c r="D94" s="1" t="n">
        <v>612</v>
      </c>
      <c r="F94" s="5" t="n">
        <v>2</v>
      </c>
    </row>
    <row r="95" customFormat="false" ht="12.8" hidden="false" customHeight="false" outlineLevel="0" collapsed="false">
      <c r="A95" s="5" t="s">
        <v>7</v>
      </c>
      <c r="B95" s="1" t="n">
        <v>39</v>
      </c>
      <c r="C95" s="12" t="s">
        <v>53</v>
      </c>
      <c r="D95" s="1" t="n">
        <v>612</v>
      </c>
      <c r="F95" s="1" t="n">
        <v>3</v>
      </c>
    </row>
    <row r="96" customFormat="false" ht="12.8" hidden="false" customHeight="false" outlineLevel="0" collapsed="false">
      <c r="A96" s="5" t="s">
        <v>7</v>
      </c>
      <c r="B96" s="5" t="n">
        <v>40</v>
      </c>
      <c r="C96" s="13" t="s">
        <v>52</v>
      </c>
      <c r="D96" s="1" t="n">
        <v>612</v>
      </c>
      <c r="F96" s="5" t="n">
        <v>2</v>
      </c>
    </row>
    <row r="97" customFormat="false" ht="12.8" hidden="false" customHeight="false" outlineLevel="0" collapsed="false">
      <c r="A97" s="5" t="s">
        <v>7</v>
      </c>
      <c r="B97" s="1" t="n">
        <v>41</v>
      </c>
      <c r="C97" s="12" t="s">
        <v>53</v>
      </c>
      <c r="D97" s="1" t="n">
        <v>612</v>
      </c>
      <c r="F97" s="1" t="n">
        <v>3</v>
      </c>
    </row>
    <row r="98" customFormat="false" ht="12.8" hidden="false" customHeight="false" outlineLevel="0" collapsed="false">
      <c r="A98" s="5" t="s">
        <v>7</v>
      </c>
      <c r="B98" s="5" t="n">
        <v>42</v>
      </c>
      <c r="C98" s="13" t="s">
        <v>52</v>
      </c>
      <c r="D98" s="1" t="n">
        <v>612</v>
      </c>
      <c r="F98" s="5" t="n">
        <v>2</v>
      </c>
    </row>
    <row r="99" customFormat="false" ht="12.8" hidden="false" customHeight="false" outlineLevel="0" collapsed="false">
      <c r="A99" s="5" t="s">
        <v>7</v>
      </c>
      <c r="B99" s="1" t="n">
        <v>43</v>
      </c>
      <c r="C99" s="12" t="s">
        <v>53</v>
      </c>
      <c r="D99" s="1" t="n">
        <v>612</v>
      </c>
      <c r="F99" s="1" t="n">
        <v>3</v>
      </c>
    </row>
    <row r="100" customFormat="false" ht="12.8" hidden="false" customHeight="false" outlineLevel="0" collapsed="false">
      <c r="A100" s="5" t="s">
        <v>7</v>
      </c>
      <c r="B100" s="5" t="n">
        <v>44</v>
      </c>
      <c r="C100" s="13" t="s">
        <v>52</v>
      </c>
      <c r="D100" s="1" t="n">
        <v>612</v>
      </c>
      <c r="F100" s="5" t="n">
        <v>2</v>
      </c>
    </row>
    <row r="101" customFormat="false" ht="12.8" hidden="false" customHeight="false" outlineLevel="0" collapsed="false">
      <c r="A101" s="5" t="s">
        <v>7</v>
      </c>
      <c r="B101" s="1" t="n">
        <v>45</v>
      </c>
      <c r="C101" s="12" t="s">
        <v>53</v>
      </c>
      <c r="D101" s="1" t="n">
        <v>612</v>
      </c>
      <c r="F101" s="1" t="n">
        <v>3</v>
      </c>
    </row>
    <row r="102" customFormat="false" ht="12.8" hidden="false" customHeight="false" outlineLevel="0" collapsed="false">
      <c r="A102" s="5" t="s">
        <v>7</v>
      </c>
      <c r="B102" s="5" t="n">
        <v>46</v>
      </c>
      <c r="C102" s="13" t="s">
        <v>52</v>
      </c>
      <c r="D102" s="1" t="n">
        <v>612</v>
      </c>
      <c r="F102" s="5" t="n">
        <v>2</v>
      </c>
    </row>
    <row r="103" customFormat="false" ht="12.8" hidden="false" customHeight="false" outlineLevel="0" collapsed="false">
      <c r="A103" s="5" t="s">
        <v>7</v>
      </c>
      <c r="B103" s="1" t="n">
        <v>47</v>
      </c>
      <c r="C103" s="12" t="s">
        <v>53</v>
      </c>
      <c r="D103" s="1" t="n">
        <v>612</v>
      </c>
      <c r="F103" s="1" t="n">
        <v>3</v>
      </c>
    </row>
    <row r="104" customFormat="false" ht="12.8" hidden="false" customHeight="false" outlineLevel="0" collapsed="false">
      <c r="A104" s="5" t="s">
        <v>7</v>
      </c>
      <c r="B104" s="5" t="n">
        <v>48</v>
      </c>
      <c r="C104" s="13" t="s">
        <v>52</v>
      </c>
      <c r="D104" s="1" t="n">
        <v>612</v>
      </c>
      <c r="F104" s="5" t="n">
        <v>2</v>
      </c>
    </row>
    <row r="105" customFormat="false" ht="12.8" hidden="false" customHeight="false" outlineLevel="0" collapsed="false">
      <c r="A105" s="5" t="s">
        <v>7</v>
      </c>
      <c r="B105" s="1" t="n">
        <v>49</v>
      </c>
      <c r="C105" s="12" t="s">
        <v>53</v>
      </c>
      <c r="D105" s="1" t="n">
        <v>612</v>
      </c>
      <c r="F105" s="1" t="n">
        <v>3</v>
      </c>
    </row>
    <row r="106" customFormat="false" ht="12.8" hidden="false" customHeight="false" outlineLevel="0" collapsed="false">
      <c r="A106" s="5" t="s">
        <v>7</v>
      </c>
      <c r="B106" s="5" t="n">
        <v>50</v>
      </c>
      <c r="C106" s="13" t="s">
        <v>52</v>
      </c>
      <c r="D106" s="1" t="n">
        <v>612</v>
      </c>
      <c r="F106" s="5" t="n">
        <v>2</v>
      </c>
    </row>
    <row r="107" customFormat="false" ht="12.8" hidden="false" customHeight="false" outlineLevel="0" collapsed="false">
      <c r="A107" s="5" t="s">
        <v>7</v>
      </c>
      <c r="B107" s="1" t="n">
        <v>51</v>
      </c>
      <c r="C107" s="12" t="s">
        <v>53</v>
      </c>
      <c r="D107" s="1" t="n">
        <v>612</v>
      </c>
      <c r="F107" s="1" t="n">
        <v>3</v>
      </c>
    </row>
    <row r="108" customFormat="false" ht="12.8" hidden="false" customHeight="false" outlineLevel="0" collapsed="false">
      <c r="A108" s="5" t="s">
        <v>7</v>
      </c>
      <c r="B108" s="5" t="n">
        <v>52</v>
      </c>
      <c r="C108" s="13" t="s">
        <v>52</v>
      </c>
      <c r="D108" s="1" t="n">
        <v>612</v>
      </c>
      <c r="F108" s="5" t="n">
        <v>2</v>
      </c>
    </row>
    <row r="109" customFormat="false" ht="12.8" hidden="false" customHeight="false" outlineLevel="0" collapsed="false">
      <c r="A109" s="5" t="s">
        <v>7</v>
      </c>
      <c r="B109" s="1" t="n">
        <v>53</v>
      </c>
      <c r="C109" s="12" t="s">
        <v>53</v>
      </c>
      <c r="D109" s="1" t="n">
        <v>612</v>
      </c>
      <c r="F109" s="1" t="n">
        <v>3</v>
      </c>
    </row>
    <row r="110" customFormat="false" ht="12.8" hidden="false" customHeight="false" outlineLevel="0" collapsed="false">
      <c r="A110" s="5" t="s">
        <v>7</v>
      </c>
      <c r="B110" s="5" t="n">
        <v>54</v>
      </c>
      <c r="C110" s="13" t="s">
        <v>52</v>
      </c>
      <c r="D110" s="1" t="n">
        <v>612</v>
      </c>
      <c r="F110" s="5" t="n">
        <v>2</v>
      </c>
    </row>
    <row r="111" customFormat="false" ht="12.8" hidden="false" customHeight="false" outlineLevel="0" collapsed="false">
      <c r="A111" s="5" t="s">
        <v>7</v>
      </c>
      <c r="B111" s="1" t="n">
        <v>55</v>
      </c>
      <c r="C111" s="12" t="s">
        <v>53</v>
      </c>
      <c r="D111" s="1" t="n">
        <v>612</v>
      </c>
      <c r="F111" s="1" t="n">
        <v>3</v>
      </c>
    </row>
    <row r="112" customFormat="false" ht="12.8" hidden="false" customHeight="false" outlineLevel="0" collapsed="false">
      <c r="A112" s="5" t="s">
        <v>7</v>
      </c>
      <c r="B112" s="5" t="n">
        <v>56</v>
      </c>
      <c r="C112" s="13" t="s">
        <v>52</v>
      </c>
      <c r="D112" s="1" t="n">
        <v>612</v>
      </c>
      <c r="F112" s="5" t="n">
        <v>2</v>
      </c>
    </row>
    <row r="113" customFormat="false" ht="12.8" hidden="false" customHeight="false" outlineLevel="0" collapsed="false">
      <c r="A113" s="5" t="s">
        <v>7</v>
      </c>
      <c r="B113" s="1" t="n">
        <v>57</v>
      </c>
      <c r="C113" s="12" t="s">
        <v>53</v>
      </c>
      <c r="D113" s="14" t="n">
        <v>612</v>
      </c>
      <c r="F113" s="1" t="n">
        <v>3</v>
      </c>
    </row>
  </sheetData>
  <sheetProtection sheet="true" objects="true" scenarios="true"/>
  <autoFilter ref="A1:F1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2" activeCellId="0" sqref="C2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15" width="11.53"/>
    <col collapsed="false" customWidth="true" hidden="false" outlineLevel="0" max="4" min="4" style="1" width="19.82"/>
    <col collapsed="false" customWidth="true" hidden="false" outlineLevel="0" max="6" min="5" style="1" width="13.66"/>
    <col collapsed="false" customWidth="true" hidden="false" outlineLevel="0" max="7" min="7" style="4" width="72.43"/>
    <col collapsed="false" customWidth="true" hidden="false" outlineLevel="0" max="9" min="9" style="1" width="71.41"/>
  </cols>
  <sheetData>
    <row r="1" customFormat="false" ht="12.8" hidden="false" customHeight="true" outlineLevel="0" collapsed="false">
      <c r="A1" s="16" t="s">
        <v>54</v>
      </c>
      <c r="B1" s="16" t="s">
        <v>55</v>
      </c>
      <c r="C1" s="2" t="s">
        <v>0</v>
      </c>
      <c r="D1" s="2" t="s">
        <v>1</v>
      </c>
      <c r="E1" s="8" t="s">
        <v>56</v>
      </c>
      <c r="F1" s="2" t="s">
        <v>57</v>
      </c>
      <c r="G1" s="8" t="s">
        <v>58</v>
      </c>
      <c r="H1" s="8" t="s">
        <v>59</v>
      </c>
      <c r="I1" s="8" t="s">
        <v>60</v>
      </c>
    </row>
    <row r="2" customFormat="false" ht="12.8" hidden="false" customHeight="false" outlineLevel="0" collapsed="false">
      <c r="A2" s="17" t="n">
        <v>3</v>
      </c>
      <c r="B2" s="1" t="n">
        <v>1</v>
      </c>
      <c r="C2" s="3" t="s">
        <v>6</v>
      </c>
      <c r="D2" s="1" t="n">
        <v>2</v>
      </c>
      <c r="E2" s="4" t="s">
        <v>61</v>
      </c>
      <c r="F2" s="1" t="n">
        <v>1</v>
      </c>
      <c r="G2" s="4" t="n">
        <v>2</v>
      </c>
      <c r="H2" s="1" t="s">
        <v>62</v>
      </c>
      <c r="I2" s="1" t="str">
        <f aca="false">_xlfn.CONCAT("Общий вид. ",G2," ",H2)</f>
        <v>Общий вид. 2 этаж</v>
      </c>
    </row>
    <row r="3" customFormat="false" ht="12.8" hidden="false" customHeight="false" outlineLevel="0" collapsed="false">
      <c r="A3" s="17" t="n">
        <f aca="false">A2+B2</f>
        <v>4</v>
      </c>
      <c r="B3" s="1" t="n">
        <v>1</v>
      </c>
      <c r="C3" s="3" t="s">
        <v>6</v>
      </c>
      <c r="D3" s="1" t="n">
        <v>3</v>
      </c>
      <c r="E3" s="4" t="s">
        <v>63</v>
      </c>
      <c r="F3" s="1" t="n">
        <v>25</v>
      </c>
      <c r="G3" s="4" t="s">
        <v>64</v>
      </c>
      <c r="H3" s="1" t="s">
        <v>65</v>
      </c>
      <c r="I3" s="1" t="str">
        <f aca="false">_xlfn.CONCAT("Общий вид. ",G3," ",H3)</f>
        <v>Общий вид. Нечётные 3,5,…,17,21,…,37,41,…,55 этажи</v>
      </c>
    </row>
    <row r="4" customFormat="false" ht="12.8" hidden="false" customHeight="false" outlineLevel="0" collapsed="false">
      <c r="A4" s="17" t="n">
        <f aca="false">A3+B3</f>
        <v>5</v>
      </c>
      <c r="B4" s="1" t="n">
        <v>1</v>
      </c>
      <c r="C4" s="3" t="s">
        <v>6</v>
      </c>
      <c r="D4" s="1" t="n">
        <v>4</v>
      </c>
      <c r="E4" s="4" t="s">
        <v>66</v>
      </c>
      <c r="F4" s="1" t="n">
        <v>25</v>
      </c>
      <c r="G4" s="4" t="s">
        <v>67</v>
      </c>
      <c r="H4" s="1" t="s">
        <v>65</v>
      </c>
      <c r="I4" s="1" t="str">
        <f aca="false">_xlfn.CONCAT("Общий вид. ",G4," ",H4)</f>
        <v>Общий вид. Чётные 4,6,…,18,22,…,38,42,…,56 этажи</v>
      </c>
    </row>
    <row r="5" customFormat="false" ht="12.8" hidden="false" customHeight="false" outlineLevel="0" collapsed="false">
      <c r="A5" s="17" t="n">
        <f aca="false">A4+B4</f>
        <v>6</v>
      </c>
      <c r="B5" s="1" t="n">
        <v>1</v>
      </c>
      <c r="C5" s="3" t="s">
        <v>6</v>
      </c>
      <c r="D5" s="1" t="n">
        <v>19</v>
      </c>
      <c r="E5" s="4" t="s">
        <v>68</v>
      </c>
      <c r="F5" s="1" t="n">
        <v>2</v>
      </c>
      <c r="G5" s="4" t="s">
        <v>69</v>
      </c>
      <c r="H5" s="1" t="s">
        <v>65</v>
      </c>
      <c r="I5" s="1" t="str">
        <f aca="false">_xlfn.CONCAT("Общий вид. ",G5," ",H5)</f>
        <v>Общий вид. 19,39 этажи</v>
      </c>
    </row>
    <row r="6" customFormat="false" ht="12.8" hidden="false" customHeight="false" outlineLevel="0" collapsed="false">
      <c r="A6" s="17" t="n">
        <f aca="false">A5+B5</f>
        <v>7</v>
      </c>
      <c r="B6" s="1" t="n">
        <v>1</v>
      </c>
      <c r="C6" s="3" t="s">
        <v>6</v>
      </c>
      <c r="D6" s="1" t="n">
        <v>20</v>
      </c>
      <c r="E6" s="4" t="s">
        <v>70</v>
      </c>
      <c r="F6" s="1" t="n">
        <v>1</v>
      </c>
      <c r="G6" s="4" t="n">
        <v>20</v>
      </c>
      <c r="H6" s="1" t="s">
        <v>62</v>
      </c>
      <c r="I6" s="1" t="str">
        <f aca="false">_xlfn.CONCAT("Общий вид. ",G6," ",H6)</f>
        <v>Общий вид. 20 этаж</v>
      </c>
    </row>
    <row r="7" customFormat="false" ht="12.8" hidden="false" customHeight="false" outlineLevel="0" collapsed="false">
      <c r="A7" s="17" t="n">
        <f aca="false">A6+B6</f>
        <v>8</v>
      </c>
      <c r="B7" s="1" t="n">
        <v>1</v>
      </c>
      <c r="C7" s="3" t="s">
        <v>6</v>
      </c>
      <c r="D7" s="1" t="n">
        <v>40</v>
      </c>
      <c r="E7" s="4" t="s">
        <v>71</v>
      </c>
      <c r="F7" s="1" t="n">
        <v>1</v>
      </c>
      <c r="G7" s="4" t="n">
        <v>40</v>
      </c>
      <c r="H7" s="1" t="s">
        <v>62</v>
      </c>
      <c r="I7" s="1" t="str">
        <f aca="false">_xlfn.CONCAT("Общий вид. ",G7," ",H7)</f>
        <v>Общий вид. 40 этаж</v>
      </c>
    </row>
    <row r="8" customFormat="false" ht="12.8" hidden="false" customHeight="false" outlineLevel="0" collapsed="false">
      <c r="A8" s="17" t="n">
        <f aca="false">A7+B7</f>
        <v>9</v>
      </c>
      <c r="B8" s="1" t="n">
        <v>1</v>
      </c>
      <c r="C8" s="3" t="s">
        <v>6</v>
      </c>
      <c r="D8" s="1" t="n">
        <v>57</v>
      </c>
      <c r="E8" s="4" t="s">
        <v>72</v>
      </c>
      <c r="F8" s="1" t="n">
        <v>1</v>
      </c>
      <c r="G8" s="4" t="n">
        <v>57</v>
      </c>
      <c r="H8" s="1" t="s">
        <v>62</v>
      </c>
      <c r="I8" s="1" t="str">
        <f aca="false">_xlfn.CONCAT("Общий вид. ",G8," ",H8)</f>
        <v>Общий вид. 57 этаж</v>
      </c>
    </row>
    <row r="9" customFormat="false" ht="12.8" hidden="false" customHeight="true" outlineLevel="0" collapsed="false">
      <c r="A9" s="17" t="n">
        <f aca="false">A8+B8</f>
        <v>10</v>
      </c>
      <c r="B9" s="17"/>
      <c r="C9" s="5" t="s">
        <v>7</v>
      </c>
      <c r="D9" s="1" t="n">
        <v>2</v>
      </c>
      <c r="E9" s="4" t="s">
        <v>61</v>
      </c>
      <c r="F9" s="1" t="n">
        <v>1</v>
      </c>
      <c r="G9" s="4" t="n">
        <v>2</v>
      </c>
      <c r="H9" s="1" t="s">
        <v>62</v>
      </c>
      <c r="I9" s="1" t="str">
        <f aca="false">_xlfn.CONCAT("Общий вид. ",G9," ",H9)</f>
        <v>Общий вид. 2 этаж</v>
      </c>
    </row>
    <row r="10" customFormat="false" ht="12.8" hidden="false" customHeight="true" outlineLevel="0" collapsed="false">
      <c r="A10" s="17" t="n">
        <f aca="false">A9+B9</f>
        <v>10</v>
      </c>
      <c r="B10" s="17"/>
      <c r="C10" s="5" t="s">
        <v>7</v>
      </c>
      <c r="D10" s="1" t="n">
        <v>3</v>
      </c>
      <c r="E10" s="4" t="s">
        <v>63</v>
      </c>
      <c r="F10" s="1" t="n">
        <v>25</v>
      </c>
      <c r="G10" s="4" t="s">
        <v>64</v>
      </c>
      <c r="H10" s="1" t="s">
        <v>65</v>
      </c>
      <c r="I10" s="1" t="str">
        <f aca="false">_xlfn.CONCAT("Общий вид. ",G10," ",H10)</f>
        <v>Общий вид. Нечётные 3,5,…,17,21,…,37,41,…,55 этажи</v>
      </c>
    </row>
    <row r="11" customFormat="false" ht="12.8" hidden="false" customHeight="true" outlineLevel="0" collapsed="false">
      <c r="A11" s="17" t="n">
        <f aca="false">A10+B10</f>
        <v>10</v>
      </c>
      <c r="B11" s="17"/>
      <c r="C11" s="5" t="s">
        <v>7</v>
      </c>
      <c r="D11" s="1" t="n">
        <v>4</v>
      </c>
      <c r="E11" s="4" t="s">
        <v>66</v>
      </c>
      <c r="F11" s="1" t="n">
        <v>25</v>
      </c>
      <c r="G11" s="4" t="s">
        <v>67</v>
      </c>
      <c r="H11" s="1" t="s">
        <v>65</v>
      </c>
      <c r="I11" s="1" t="str">
        <f aca="false">_xlfn.CONCAT("Общий вид. ",G11," ",H11)</f>
        <v>Общий вид. Чётные 4,6,…,18,22,…,38,42,…,56 этажи</v>
      </c>
    </row>
    <row r="12" customFormat="false" ht="12.8" hidden="false" customHeight="true" outlineLevel="0" collapsed="false">
      <c r="A12" s="17" t="n">
        <f aca="false">A11+B11</f>
        <v>10</v>
      </c>
      <c r="B12" s="17"/>
      <c r="C12" s="5" t="s">
        <v>7</v>
      </c>
      <c r="D12" s="1" t="n">
        <v>19</v>
      </c>
      <c r="E12" s="4" t="s">
        <v>68</v>
      </c>
      <c r="F12" s="1" t="n">
        <v>2</v>
      </c>
      <c r="G12" s="4" t="s">
        <v>69</v>
      </c>
      <c r="H12" s="1" t="s">
        <v>65</v>
      </c>
      <c r="I12" s="1" t="str">
        <f aca="false">_xlfn.CONCAT("Общий вид. ",G12," ",H12)</f>
        <v>Общий вид. 19,39 этажи</v>
      </c>
    </row>
    <row r="13" customFormat="false" ht="12.8" hidden="false" customHeight="true" outlineLevel="0" collapsed="false">
      <c r="A13" s="17" t="n">
        <f aca="false">A12+B12</f>
        <v>10</v>
      </c>
      <c r="B13" s="17"/>
      <c r="C13" s="5" t="s">
        <v>7</v>
      </c>
      <c r="D13" s="1" t="n">
        <v>20</v>
      </c>
      <c r="E13" s="4" t="s">
        <v>70</v>
      </c>
      <c r="F13" s="1" t="n">
        <v>2</v>
      </c>
      <c r="G13" s="4" t="s">
        <v>73</v>
      </c>
      <c r="H13" s="1" t="s">
        <v>65</v>
      </c>
      <c r="I13" s="1" t="str">
        <f aca="false">_xlfn.CONCAT("Общий вид. ",G13," ",H13)</f>
        <v>Общий вид. 20,40 этажи</v>
      </c>
    </row>
    <row r="14" customFormat="false" ht="12.8" hidden="false" customHeight="true" outlineLevel="0" collapsed="false">
      <c r="A14" s="17" t="n">
        <f aca="false">A13+B13</f>
        <v>10</v>
      </c>
      <c r="B14" s="17"/>
      <c r="C14" s="5" t="s">
        <v>7</v>
      </c>
      <c r="D14" s="1" t="n">
        <v>57</v>
      </c>
      <c r="E14" s="4" t="s">
        <v>72</v>
      </c>
      <c r="F14" s="1" t="n">
        <v>1</v>
      </c>
      <c r="G14" s="4" t="n">
        <v>57</v>
      </c>
      <c r="H14" s="1" t="s">
        <v>62</v>
      </c>
      <c r="I14" s="1" t="str">
        <f aca="false">_xlfn.CONCAT("Общий вид. ",G14," ",H14)</f>
        <v>Общий вид. 57 этаж</v>
      </c>
    </row>
    <row r="15" customFormat="false" ht="12.8" hidden="false" customHeight="true" outlineLevel="0" collapsed="false">
      <c r="A15" s="17" t="n">
        <f aca="false">A14+B14</f>
        <v>10</v>
      </c>
      <c r="B15" s="17"/>
      <c r="C15" s="6" t="s">
        <v>8</v>
      </c>
      <c r="D15" s="1" t="n">
        <v>2</v>
      </c>
      <c r="E15" s="18" t="s">
        <v>74</v>
      </c>
      <c r="F15" s="1" t="n">
        <v>14</v>
      </c>
      <c r="G15" s="4" t="s">
        <v>75</v>
      </c>
      <c r="H15" s="1" t="s">
        <v>65</v>
      </c>
      <c r="I15" s="1" t="str">
        <f aca="false">_xlfn.CONCAT(E15,". Общий вид. ")</f>
        <v>ВН-22-К5(а)-1. Общий вид. </v>
      </c>
    </row>
    <row r="16" customFormat="false" ht="12.8" hidden="false" customHeight="true" outlineLevel="0" collapsed="false">
      <c r="A16" s="17" t="n">
        <f aca="false">A15+B15</f>
        <v>10</v>
      </c>
      <c r="B16" s="17"/>
      <c r="C16" s="6" t="s">
        <v>8</v>
      </c>
      <c r="D16" s="1" t="n">
        <v>3</v>
      </c>
      <c r="E16" s="19" t="s">
        <v>76</v>
      </c>
      <c r="F16" s="1" t="n">
        <v>12</v>
      </c>
      <c r="G16" s="4" t="s">
        <v>77</v>
      </c>
      <c r="H16" s="1" t="s">
        <v>65</v>
      </c>
      <c r="I16" s="1" t="str">
        <f aca="false">_xlfn.CONCAT(E16,". Общий вид. ")</f>
        <v>ВН-23-К5(а)-1. Общий вид. </v>
      </c>
    </row>
    <row r="17" customFormat="false" ht="12.8" hidden="false" customHeight="true" outlineLevel="0" collapsed="false">
      <c r="A17" s="17" t="n">
        <f aca="false">A16+B16</f>
        <v>10</v>
      </c>
      <c r="B17" s="17"/>
      <c r="C17" s="6" t="s">
        <v>8</v>
      </c>
      <c r="D17" s="1" t="n">
        <v>19</v>
      </c>
      <c r="E17" s="20" t="s">
        <v>78</v>
      </c>
      <c r="F17" s="1" t="n">
        <v>1</v>
      </c>
      <c r="G17" s="4" t="n">
        <v>19</v>
      </c>
      <c r="H17" s="1" t="s">
        <v>62</v>
      </c>
      <c r="I17" s="1" t="str">
        <f aca="false">_xlfn.CONCAT(E17,". Общий вид. ")</f>
        <v>ВН-23-К5(а)-2. Общий вид. </v>
      </c>
    </row>
    <row r="18" customFormat="false" ht="12.8" hidden="false" customHeight="true" outlineLevel="0" collapsed="false">
      <c r="A18" s="17" t="n">
        <f aca="false">A17+B17</f>
        <v>10</v>
      </c>
      <c r="B18" s="17"/>
      <c r="C18" s="6" t="s">
        <v>8</v>
      </c>
      <c r="D18" s="1" t="n">
        <v>29</v>
      </c>
      <c r="E18" s="21" t="s">
        <v>79</v>
      </c>
      <c r="F18" s="1" t="n">
        <v>13</v>
      </c>
      <c r="G18" s="4" t="s">
        <v>80</v>
      </c>
      <c r="H18" s="1" t="s">
        <v>65</v>
      </c>
      <c r="I18" s="1" t="str">
        <f aca="false">_xlfn.CONCAT(E18,". Общий вид. ")</f>
        <v>ВН-23-К5(б)-1. Общий вид. </v>
      </c>
    </row>
    <row r="19" customFormat="false" ht="12.8" hidden="false" customHeight="true" outlineLevel="0" collapsed="false">
      <c r="A19" s="17" t="n">
        <f aca="false">A18+B18</f>
        <v>10</v>
      </c>
      <c r="B19" s="17"/>
      <c r="C19" s="6" t="s">
        <v>8</v>
      </c>
      <c r="D19" s="1" t="n">
        <v>30</v>
      </c>
      <c r="E19" s="22" t="s">
        <v>81</v>
      </c>
      <c r="F19" s="1" t="n">
        <v>14</v>
      </c>
      <c r="G19" s="4" t="s">
        <v>82</v>
      </c>
      <c r="H19" s="1" t="s">
        <v>65</v>
      </c>
      <c r="I19" s="1" t="str">
        <f aca="false">_xlfn.CONCAT(E19,". Общий вид. ")</f>
        <v>ВН-22-К5(б)-1. Общий вид. </v>
      </c>
    </row>
    <row r="20" customFormat="false" ht="12.8" hidden="false" customHeight="true" outlineLevel="0" collapsed="false">
      <c r="A20" s="17" t="n">
        <f aca="false">A19+B19</f>
        <v>10</v>
      </c>
      <c r="B20" s="17"/>
      <c r="C20" s="6" t="s">
        <v>8</v>
      </c>
      <c r="D20" s="1" t="n">
        <v>39</v>
      </c>
      <c r="E20" s="23" t="s">
        <v>83</v>
      </c>
      <c r="F20" s="1" t="n">
        <v>1</v>
      </c>
      <c r="G20" s="4" t="n">
        <v>39</v>
      </c>
      <c r="H20" s="1" t="s">
        <v>62</v>
      </c>
      <c r="I20" s="1" t="str">
        <f aca="false">_xlfn.CONCAT(E20,". Общий вид. ")</f>
        <v>ВН-23-К5(б)-2. Общий вид. </v>
      </c>
    </row>
    <row r="21" customFormat="false" ht="12.8" hidden="false" customHeight="true" outlineLevel="0" collapsed="false">
      <c r="A21" s="17" t="n">
        <f aca="false">A20+B20</f>
        <v>10</v>
      </c>
      <c r="B21" s="17"/>
      <c r="C21" s="6" t="s">
        <v>8</v>
      </c>
      <c r="D21" s="1" t="n">
        <v>57</v>
      </c>
      <c r="E21" s="24" t="s">
        <v>84</v>
      </c>
      <c r="F21" s="1" t="n">
        <v>1</v>
      </c>
      <c r="G21" s="4" t="n">
        <v>57</v>
      </c>
      <c r="H21" s="1" t="s">
        <v>62</v>
      </c>
      <c r="I21" s="1" t="str">
        <f aca="false">_xlfn.CONCAT(E21,". Общий вид. ")</f>
        <v>ВН-24-К5(б)-1. Общий вид. </v>
      </c>
    </row>
    <row r="22" customFormat="false" ht="12.8" hidden="false" customHeight="true" outlineLevel="0" collapsed="false">
      <c r="A22" s="17" t="n">
        <f aca="false">A21+B21</f>
        <v>10</v>
      </c>
      <c r="B22" s="17"/>
      <c r="C22" s="7" t="s">
        <v>9</v>
      </c>
      <c r="D22" s="1" t="n">
        <v>2</v>
      </c>
      <c r="E22" s="25" t="s">
        <v>85</v>
      </c>
      <c r="F22" s="1" t="n">
        <v>14</v>
      </c>
      <c r="G22" s="4" t="s">
        <v>75</v>
      </c>
      <c r="H22" s="1" t="s">
        <v>65</v>
      </c>
      <c r="I22" s="1" t="str">
        <f aca="false">_xlfn.CONCAT(E22,". Общий вид. ")</f>
        <v>ВН-01-К5(а)-1. Общий вид. </v>
      </c>
    </row>
    <row r="23" customFormat="false" ht="12.8" hidden="false" customHeight="true" outlineLevel="0" collapsed="false">
      <c r="A23" s="17" t="n">
        <f aca="false">A22+B22</f>
        <v>10</v>
      </c>
      <c r="B23" s="17"/>
      <c r="C23" s="7" t="s">
        <v>9</v>
      </c>
      <c r="D23" s="1" t="n">
        <v>3</v>
      </c>
      <c r="E23" s="26" t="s">
        <v>86</v>
      </c>
      <c r="F23" s="1" t="n">
        <v>12</v>
      </c>
      <c r="G23" s="4" t="s">
        <v>77</v>
      </c>
      <c r="H23" s="1" t="s">
        <v>65</v>
      </c>
      <c r="I23" s="1" t="str">
        <f aca="false">_xlfn.CONCAT(E23,". Общий вид. ")</f>
        <v>ВН-02-К5(а)-1. Общий вид. </v>
      </c>
    </row>
    <row r="24" customFormat="false" ht="12.8" hidden="false" customHeight="true" outlineLevel="0" collapsed="false">
      <c r="A24" s="17" t="n">
        <f aca="false">A23+B23</f>
        <v>10</v>
      </c>
      <c r="B24" s="17"/>
      <c r="C24" s="7" t="s">
        <v>9</v>
      </c>
      <c r="D24" s="1" t="n">
        <v>19</v>
      </c>
      <c r="E24" s="20" t="s">
        <v>87</v>
      </c>
      <c r="F24" s="1" t="n">
        <v>1</v>
      </c>
      <c r="G24" s="4" t="n">
        <v>19</v>
      </c>
      <c r="H24" s="1" t="s">
        <v>62</v>
      </c>
      <c r="I24" s="1" t="str">
        <f aca="false">_xlfn.CONCAT(E24,". Общий вид. ")</f>
        <v>ВН-02-К5(а)-2. Общий вид. </v>
      </c>
    </row>
    <row r="25" customFormat="false" ht="12.8" hidden="false" customHeight="true" outlineLevel="0" collapsed="false">
      <c r="A25" s="17" t="n">
        <f aca="false">A24+B24</f>
        <v>10</v>
      </c>
      <c r="B25" s="17"/>
      <c r="C25" s="7" t="s">
        <v>9</v>
      </c>
      <c r="D25" s="1" t="n">
        <v>29</v>
      </c>
      <c r="E25" s="27" t="s">
        <v>88</v>
      </c>
      <c r="F25" s="1" t="n">
        <v>13</v>
      </c>
      <c r="G25" s="4" t="s">
        <v>80</v>
      </c>
      <c r="H25" s="1" t="s">
        <v>65</v>
      </c>
      <c r="I25" s="1" t="str">
        <f aca="false">_xlfn.CONCAT(E25,". Общий вид. ")</f>
        <v>ВН-02-К5(б)-1 . Общий вид. </v>
      </c>
    </row>
    <row r="26" customFormat="false" ht="12.8" hidden="false" customHeight="true" outlineLevel="0" collapsed="false">
      <c r="A26" s="17" t="n">
        <f aca="false">A25+B25</f>
        <v>10</v>
      </c>
      <c r="B26" s="17"/>
      <c r="C26" s="7" t="s">
        <v>9</v>
      </c>
      <c r="D26" s="1" t="n">
        <v>30</v>
      </c>
      <c r="E26" s="28" t="s">
        <v>89</v>
      </c>
      <c r="F26" s="1" t="n">
        <v>14</v>
      </c>
      <c r="G26" s="4" t="s">
        <v>82</v>
      </c>
      <c r="H26" s="1" t="s">
        <v>65</v>
      </c>
      <c r="I26" s="1" t="str">
        <f aca="false">_xlfn.CONCAT(E26,". Общий вид. ")</f>
        <v>ВН-01-К5(б)-1. Общий вид. </v>
      </c>
    </row>
    <row r="27" customFormat="false" ht="12.8" hidden="false" customHeight="true" outlineLevel="0" collapsed="false">
      <c r="A27" s="17" t="n">
        <f aca="false">A26+B26</f>
        <v>10</v>
      </c>
      <c r="B27" s="17"/>
      <c r="C27" s="7" t="s">
        <v>9</v>
      </c>
      <c r="D27" s="1" t="n">
        <v>39</v>
      </c>
      <c r="E27" s="29" t="s">
        <v>90</v>
      </c>
      <c r="F27" s="1" t="n">
        <v>1</v>
      </c>
      <c r="G27" s="4" t="n">
        <v>39</v>
      </c>
      <c r="H27" s="1" t="s">
        <v>62</v>
      </c>
      <c r="I27" s="1" t="str">
        <f aca="false">_xlfn.CONCAT(E27,". Общий вид. ")</f>
        <v>ВН-02-К5(б)-2. Общий вид. </v>
      </c>
    </row>
    <row r="28" customFormat="false" ht="12.8" hidden="false" customHeight="true" outlineLevel="0" collapsed="false">
      <c r="A28" s="17" t="n">
        <f aca="false">A27+B27</f>
        <v>10</v>
      </c>
      <c r="B28" s="17"/>
      <c r="C28" s="7" t="s">
        <v>9</v>
      </c>
      <c r="D28" s="1" t="n">
        <v>57</v>
      </c>
      <c r="E28" s="24" t="s">
        <v>91</v>
      </c>
      <c r="F28" s="1" t="n">
        <v>1</v>
      </c>
      <c r="G28" s="4" t="n">
        <v>57</v>
      </c>
      <c r="H28" s="1" t="s">
        <v>62</v>
      </c>
      <c r="I28" s="1" t="str">
        <f aca="false">_xlfn.CONCAT(E28,". Общий вид. ")</f>
        <v>ВН-03-К5(б)-1. Общий вид. </v>
      </c>
    </row>
    <row r="29" customFormat="false" ht="12.8" hidden="false" customHeight="true" outlineLevel="0" collapsed="false">
      <c r="A29" s="1"/>
      <c r="B29" s="1"/>
      <c r="G29" s="1"/>
    </row>
    <row r="30" customFormat="false" ht="12.8" hidden="false" customHeight="true" outlineLevel="0" collapsed="false">
      <c r="A30" s="1"/>
      <c r="B30" s="1"/>
      <c r="G3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29" activeCellId="0" sqref="G2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15" width="11.53"/>
    <col collapsed="false" customWidth="true" hidden="false" outlineLevel="0" max="6" min="5" style="1" width="13.66"/>
    <col collapsed="false" customWidth="true" hidden="false" outlineLevel="0" max="7" min="7" style="4" width="72.43"/>
    <col collapsed="false" customWidth="true" hidden="false" outlineLevel="0" max="9" min="9" style="1" width="71.41"/>
    <col collapsed="false" customWidth="false" hidden="false" outlineLevel="0" max="11" min="11" style="4" width="11.53"/>
    <col collapsed="false" customWidth="true" hidden="false" outlineLevel="0" max="12" min="12" style="1" width="18.03"/>
    <col collapsed="false" customWidth="true" hidden="false" outlineLevel="0" max="13" min="13" style="1" width="37.71"/>
    <col collapsed="false" customWidth="true" hidden="false" outlineLevel="0" max="14" min="14" style="1" width="37.26"/>
  </cols>
  <sheetData>
    <row r="1" customFormat="false" ht="12.8" hidden="false" customHeight="true" outlineLevel="0" collapsed="false">
      <c r="A1" s="16" t="s">
        <v>54</v>
      </c>
      <c r="B1" s="16" t="s">
        <v>55</v>
      </c>
      <c r="C1" s="2" t="s">
        <v>0</v>
      </c>
      <c r="D1" s="2" t="s">
        <v>1</v>
      </c>
      <c r="E1" s="8" t="s">
        <v>56</v>
      </c>
      <c r="F1" s="2" t="s">
        <v>57</v>
      </c>
      <c r="G1" s="8" t="s">
        <v>58</v>
      </c>
      <c r="H1" s="8" t="s">
        <v>59</v>
      </c>
      <c r="I1" s="8" t="s">
        <v>60</v>
      </c>
      <c r="J1" s="8" t="s">
        <v>92</v>
      </c>
      <c r="K1" s="8" t="s">
        <v>93</v>
      </c>
      <c r="L1" s="8" t="s">
        <v>94</v>
      </c>
      <c r="M1" s="8" t="s">
        <v>95</v>
      </c>
      <c r="N1" s="8" t="s">
        <v>96</v>
      </c>
    </row>
    <row r="2" customFormat="false" ht="12.8" hidden="false" customHeight="false" outlineLevel="0" collapsed="false">
      <c r="A2" s="17" t="n">
        <v>1</v>
      </c>
      <c r="B2" s="4" t="n">
        <v>1</v>
      </c>
      <c r="C2" s="3" t="s">
        <v>6</v>
      </c>
      <c r="D2" s="1" t="n">
        <v>2</v>
      </c>
      <c r="E2" s="4" t="s">
        <v>61</v>
      </c>
      <c r="F2" s="1" t="n">
        <v>1</v>
      </c>
      <c r="G2" s="4" t="n">
        <v>2</v>
      </c>
      <c r="H2" s="1" t="s">
        <v>62</v>
      </c>
      <c r="I2" s="1" t="str">
        <f aca="false">_xlfn.CONCAT("Общий вид. Плоскость ",C2,", ",G2," ",H2)</f>
        <v>Общий вид. Плоскость (5-1)-(5-6), 2 этаж</v>
      </c>
      <c r="J2" s="1" t="n">
        <v>3</v>
      </c>
      <c r="K2" s="4" t="n">
        <v>3</v>
      </c>
      <c r="L2" s="1" t="s">
        <v>97</v>
      </c>
      <c r="M2" s="1" t="str">
        <f aca="false">_xlfn.CONCAT(TEXT(A2, "000")  ,"_",C2," ",D2," этаж.grb")</f>
        <v>001_(5-1)-(5-6) 2 этаж.grb</v>
      </c>
      <c r="N2" s="1" t="str">
        <f aca="false">_xlfn.CONCAT(TEXT(A2, "000")  ,"_",C2," ",D2," этаж.grb")</f>
        <v>001_(5-1)-(5-6) 2 этаж.grb</v>
      </c>
    </row>
    <row r="3" customFormat="false" ht="12.8" hidden="false" customHeight="false" outlineLevel="0" collapsed="false">
      <c r="A3" s="17" t="n">
        <f aca="false">A2+1</f>
        <v>2</v>
      </c>
      <c r="B3" s="4" t="n">
        <v>1</v>
      </c>
      <c r="C3" s="3" t="s">
        <v>6</v>
      </c>
      <c r="D3" s="1" t="n">
        <v>3</v>
      </c>
      <c r="E3" s="4" t="s">
        <v>63</v>
      </c>
      <c r="F3" s="1" t="n">
        <v>25</v>
      </c>
      <c r="G3" s="4" t="s">
        <v>98</v>
      </c>
      <c r="H3" s="1" t="s">
        <v>65</v>
      </c>
      <c r="I3" s="1" t="str">
        <f aca="false">_xlfn.CONCAT("Общий вид. Плоскость ",C3,", ",G3," ",H3)</f>
        <v>Общий вид. Плоскость (5-1)-(5-6), нечётные 3,5,…,17,21,…,37,41,…,55 этажи</v>
      </c>
      <c r="J3" s="1" t="n">
        <f aca="false">J2+K2</f>
        <v>6</v>
      </c>
      <c r="K3" s="4" t="n">
        <v>3</v>
      </c>
      <c r="L3" s="1" t="s">
        <v>97</v>
      </c>
      <c r="M3" s="1" t="str">
        <f aca="false">_xlfn.CONCAT(TEXT(A3, "000")  ,"_",C3," ",D3," этаж.grb")</f>
        <v>002_(5-1)-(5-6) 3 этаж.grb</v>
      </c>
      <c r="N3" s="1" t="str">
        <f aca="false">_xlfn.CONCAT(TEXT(A3, "000")  ,"_",C3," ",D3," этаж.grb")</f>
        <v>002_(5-1)-(5-6) 3 этаж.grb</v>
      </c>
    </row>
    <row r="4" customFormat="false" ht="12.8" hidden="false" customHeight="false" outlineLevel="0" collapsed="false">
      <c r="A4" s="17" t="n">
        <f aca="false">A3+1</f>
        <v>3</v>
      </c>
      <c r="B4" s="4" t="n">
        <v>1</v>
      </c>
      <c r="C4" s="3" t="s">
        <v>6</v>
      </c>
      <c r="D4" s="1" t="n">
        <v>4</v>
      </c>
      <c r="E4" s="4" t="s">
        <v>66</v>
      </c>
      <c r="F4" s="1" t="n">
        <v>25</v>
      </c>
      <c r="G4" s="4" t="s">
        <v>99</v>
      </c>
      <c r="H4" s="1" t="s">
        <v>65</v>
      </c>
      <c r="I4" s="1" t="str">
        <f aca="false">_xlfn.CONCAT("Общий вид. Плоскость ",C4,", ",G4," ",H4)</f>
        <v>Общий вид. Плоскость (5-1)-(5-6), чётные 4,6,…,18,22,…,38,42,…,56 этажи</v>
      </c>
      <c r="J4" s="1" t="n">
        <f aca="false">J3+K3</f>
        <v>9</v>
      </c>
      <c r="K4" s="4" t="n">
        <v>3</v>
      </c>
      <c r="L4" s="1" t="s">
        <v>97</v>
      </c>
      <c r="M4" s="1" t="str">
        <f aca="false">_xlfn.CONCAT(TEXT(A4, "000")  ,"_",C4," ",D4," этаж.grb")</f>
        <v>003_(5-1)-(5-6) 4 этаж.grb</v>
      </c>
      <c r="N4" s="1" t="str">
        <f aca="false">_xlfn.CONCAT(TEXT(A4, "000")  ,"_",C4," ",D4," этаж.grb")</f>
        <v>003_(5-1)-(5-6) 4 этаж.grb</v>
      </c>
    </row>
    <row r="5" customFormat="false" ht="12.8" hidden="false" customHeight="false" outlineLevel="0" collapsed="false">
      <c r="A5" s="17" t="n">
        <f aca="false">A4+1</f>
        <v>4</v>
      </c>
      <c r="B5" s="4" t="n">
        <v>1</v>
      </c>
      <c r="C5" s="3" t="s">
        <v>6</v>
      </c>
      <c r="D5" s="1" t="n">
        <v>19</v>
      </c>
      <c r="E5" s="4" t="s">
        <v>68</v>
      </c>
      <c r="F5" s="1" t="n">
        <v>2</v>
      </c>
      <c r="G5" s="4" t="s">
        <v>69</v>
      </c>
      <c r="H5" s="1" t="s">
        <v>65</v>
      </c>
      <c r="I5" s="1" t="str">
        <f aca="false">_xlfn.CONCAT("Общий вид. Плоскость ",C5,", ",G5," ",H5)</f>
        <v>Общий вид. Плоскость (5-1)-(5-6), 19,39 этажи</v>
      </c>
      <c r="J5" s="1" t="n">
        <f aca="false">J4+K4</f>
        <v>12</v>
      </c>
      <c r="K5" s="4" t="n">
        <v>3</v>
      </c>
      <c r="L5" s="1" t="s">
        <v>97</v>
      </c>
      <c r="M5" s="1" t="str">
        <f aca="false">_xlfn.CONCAT(TEXT(A5, "000")  ,"_",C5," ",D5," этаж.grb")</f>
        <v>004_(5-1)-(5-6) 19 этаж.grb</v>
      </c>
      <c r="N5" s="1" t="str">
        <f aca="false">_xlfn.CONCAT(TEXT(A5, "000")  ,"_",C5," ",D5," этаж.grb")</f>
        <v>004_(5-1)-(5-6) 19 этаж.grb</v>
      </c>
    </row>
    <row r="6" customFormat="false" ht="12.8" hidden="false" customHeight="false" outlineLevel="0" collapsed="false">
      <c r="A6" s="17" t="n">
        <f aca="false">A5+1</f>
        <v>5</v>
      </c>
      <c r="B6" s="4" t="n">
        <v>1</v>
      </c>
      <c r="C6" s="3" t="s">
        <v>6</v>
      </c>
      <c r="D6" s="1" t="n">
        <v>20</v>
      </c>
      <c r="E6" s="4" t="s">
        <v>70</v>
      </c>
      <c r="F6" s="1" t="n">
        <v>1</v>
      </c>
      <c r="G6" s="4" t="n">
        <v>20</v>
      </c>
      <c r="H6" s="1" t="s">
        <v>62</v>
      </c>
      <c r="I6" s="1" t="str">
        <f aca="false">_xlfn.CONCAT("Общий вид. Плоскость ",C6,", ",G6," ",H6)</f>
        <v>Общий вид. Плоскость (5-1)-(5-6), 20 этаж</v>
      </c>
      <c r="J6" s="1" t="n">
        <f aca="false">J5+K5</f>
        <v>15</v>
      </c>
      <c r="K6" s="4" t="n">
        <v>3</v>
      </c>
      <c r="L6" s="1" t="s">
        <v>97</v>
      </c>
      <c r="M6" s="1" t="str">
        <f aca="false">_xlfn.CONCAT(TEXT(A6, "000")  ,"_",C6," ",D6," этаж.grb")</f>
        <v>005_(5-1)-(5-6) 20 этаж.grb</v>
      </c>
      <c r="N6" s="1" t="str">
        <f aca="false">_xlfn.CONCAT(TEXT(A6, "000")  ,"_",C6," ",D6," этаж.grb")</f>
        <v>005_(5-1)-(5-6) 20 этаж.grb</v>
      </c>
    </row>
    <row r="7" customFormat="false" ht="12.8" hidden="false" customHeight="false" outlineLevel="0" collapsed="false">
      <c r="A7" s="17" t="n">
        <f aca="false">A6+1</f>
        <v>6</v>
      </c>
      <c r="B7" s="4" t="n">
        <v>1</v>
      </c>
      <c r="C7" s="3" t="s">
        <v>6</v>
      </c>
      <c r="D7" s="1" t="n">
        <v>40</v>
      </c>
      <c r="E7" s="4" t="s">
        <v>71</v>
      </c>
      <c r="F7" s="1" t="n">
        <v>1</v>
      </c>
      <c r="G7" s="4" t="n">
        <v>40</v>
      </c>
      <c r="H7" s="1" t="s">
        <v>62</v>
      </c>
      <c r="I7" s="1" t="str">
        <f aca="false">_xlfn.CONCAT("Общий вид. Плоскость ",C7,", ",G7," ",H7)</f>
        <v>Общий вид. Плоскость (5-1)-(5-6), 40 этаж</v>
      </c>
      <c r="J7" s="1" t="n">
        <f aca="false">J6+K6</f>
        <v>18</v>
      </c>
      <c r="K7" s="4" t="n">
        <v>3</v>
      </c>
      <c r="L7" s="1" t="s">
        <v>97</v>
      </c>
      <c r="M7" s="1" t="str">
        <f aca="false">_xlfn.CONCAT(TEXT(A7, "000")  ,"_",C7," ",D7," этаж.grb")</f>
        <v>006_(5-1)-(5-6) 40 этаж.grb</v>
      </c>
      <c r="N7" s="1" t="str">
        <f aca="false">_xlfn.CONCAT(TEXT(A7, "000")  ,"_",C7," ",D7," этаж.grb")</f>
        <v>006_(5-1)-(5-6) 40 этаж.grb</v>
      </c>
    </row>
    <row r="8" customFormat="false" ht="12.8" hidden="false" customHeight="false" outlineLevel="0" collapsed="false">
      <c r="A8" s="17" t="n">
        <f aca="false">A7+1</f>
        <v>7</v>
      </c>
      <c r="B8" s="4" t="n">
        <v>1</v>
      </c>
      <c r="C8" s="3" t="s">
        <v>6</v>
      </c>
      <c r="D8" s="1" t="n">
        <v>57</v>
      </c>
      <c r="E8" s="4" t="s">
        <v>72</v>
      </c>
      <c r="F8" s="1" t="n">
        <v>1</v>
      </c>
      <c r="G8" s="4" t="n">
        <v>57</v>
      </c>
      <c r="H8" s="1" t="s">
        <v>62</v>
      </c>
      <c r="I8" s="1" t="str">
        <f aca="false">_xlfn.CONCAT("Общий вид. Плоскость ",C8,", ",G8," ",H8)</f>
        <v>Общий вид. Плоскость (5-1)-(5-6), 57 этаж</v>
      </c>
      <c r="J8" s="1" t="n">
        <f aca="false">J7+K7</f>
        <v>21</v>
      </c>
      <c r="K8" s="4" t="n">
        <v>3</v>
      </c>
      <c r="L8" s="1" t="s">
        <v>97</v>
      </c>
      <c r="M8" s="1" t="str">
        <f aca="false">_xlfn.CONCAT(TEXT(A8, "000")  ,"_",C8," ",D8," этаж.grb")</f>
        <v>007_(5-1)-(5-6) 57 этаж.grb</v>
      </c>
      <c r="N8" s="1" t="str">
        <f aca="false">_xlfn.CONCAT(TEXT(A8, "000")  ,"_",C8," ",D8," этаж.grb")</f>
        <v>007_(5-1)-(5-6) 57 этаж.grb</v>
      </c>
    </row>
    <row r="9" customFormat="false" ht="12.8" hidden="false" customHeight="true" outlineLevel="0" collapsed="false">
      <c r="A9" s="1"/>
      <c r="B9" s="1"/>
      <c r="G9" s="1"/>
      <c r="K9" s="1"/>
    </row>
    <row r="10" customFormat="false" ht="12.8" hidden="false" customHeight="true" outlineLevel="0" collapsed="false">
      <c r="A10" s="1"/>
      <c r="B10" s="1"/>
      <c r="G10" s="1"/>
      <c r="K10" s="1"/>
    </row>
    <row r="11" customFormat="false" ht="12.8" hidden="false" customHeight="true" outlineLevel="0" collapsed="false">
      <c r="A11" s="1"/>
      <c r="B11" s="1"/>
      <c r="G11" s="1"/>
      <c r="K11" s="1"/>
    </row>
    <row r="12" customFormat="false" ht="12.8" hidden="false" customHeight="true" outlineLevel="0" collapsed="false">
      <c r="A12" s="1"/>
      <c r="B12" s="1"/>
      <c r="G12" s="1"/>
      <c r="K12" s="1"/>
    </row>
    <row r="13" customFormat="false" ht="12.8" hidden="false" customHeight="true" outlineLevel="0" collapsed="false">
      <c r="A13" s="1"/>
      <c r="B13" s="1"/>
      <c r="G13" s="1"/>
      <c r="K13" s="1"/>
    </row>
    <row r="14" customFormat="false" ht="12.8" hidden="false" customHeight="true" outlineLevel="0" collapsed="false">
      <c r="A14" s="1"/>
      <c r="B14" s="1"/>
      <c r="G14" s="1"/>
      <c r="K14" s="1"/>
    </row>
    <row r="15" customFormat="false" ht="12.8" hidden="false" customHeight="true" outlineLevel="0" collapsed="false">
      <c r="A15" s="1"/>
      <c r="B15" s="1"/>
      <c r="G15" s="1"/>
      <c r="K15" s="1"/>
    </row>
    <row r="16" customFormat="false" ht="12.8" hidden="false" customHeight="true" outlineLevel="0" collapsed="false">
      <c r="A16" s="1"/>
      <c r="B16" s="1"/>
      <c r="G16" s="1"/>
      <c r="K16" s="1"/>
    </row>
    <row r="17" customFormat="false" ht="12.8" hidden="false" customHeight="true" outlineLevel="0" collapsed="false">
      <c r="A17" s="1"/>
      <c r="B17" s="1"/>
      <c r="G17" s="1"/>
      <c r="K17" s="1"/>
    </row>
    <row r="18" customFormat="false" ht="12.8" hidden="false" customHeight="true" outlineLevel="0" collapsed="false">
      <c r="A18" s="1"/>
      <c r="B18" s="1"/>
      <c r="G18" s="1"/>
      <c r="K18" s="1"/>
    </row>
    <row r="19" customFormat="false" ht="12.8" hidden="false" customHeight="true" outlineLevel="0" collapsed="false">
      <c r="A19" s="1"/>
      <c r="B19" s="1"/>
      <c r="G19" s="1"/>
      <c r="K19" s="1"/>
    </row>
    <row r="20" customFormat="false" ht="12.8" hidden="false" customHeight="true" outlineLevel="0" collapsed="false">
      <c r="A20" s="1"/>
      <c r="B20" s="1"/>
      <c r="G20" s="1"/>
      <c r="K20" s="1"/>
    </row>
    <row r="21" customFormat="false" ht="12.8" hidden="false" customHeight="true" outlineLevel="0" collapsed="false">
      <c r="A21" s="1"/>
      <c r="B21" s="1"/>
      <c r="G21" s="1"/>
      <c r="K21" s="1"/>
    </row>
    <row r="22" customFormat="false" ht="12.8" hidden="false" customHeight="true" outlineLevel="0" collapsed="false">
      <c r="A22" s="1"/>
      <c r="B22" s="1"/>
      <c r="G22" s="1"/>
      <c r="K22" s="1"/>
    </row>
    <row r="23" customFormat="false" ht="12.8" hidden="false" customHeight="true" outlineLevel="0" collapsed="false">
      <c r="A23" s="1"/>
      <c r="B23" s="1"/>
      <c r="G23" s="1"/>
      <c r="K23" s="1"/>
    </row>
    <row r="24" customFormat="false" ht="12.8" hidden="false" customHeight="true" outlineLevel="0" collapsed="false">
      <c r="A24" s="1"/>
      <c r="B24" s="1"/>
      <c r="G24" s="1"/>
      <c r="K24" s="1"/>
    </row>
    <row r="25" customFormat="false" ht="12.8" hidden="false" customHeight="true" outlineLevel="0" collapsed="false">
      <c r="A25" s="1"/>
      <c r="B25" s="1"/>
      <c r="G25" s="1"/>
      <c r="K25" s="1"/>
    </row>
    <row r="26" customFormat="false" ht="12.8" hidden="false" customHeight="true" outlineLevel="0" collapsed="false">
      <c r="A26" s="1"/>
      <c r="B26" s="1"/>
      <c r="G26" s="1"/>
      <c r="K26" s="1"/>
    </row>
    <row r="27" customFormat="false" ht="12.8" hidden="false" customHeight="true" outlineLevel="0" collapsed="false">
      <c r="A27" s="1"/>
      <c r="B27" s="1"/>
      <c r="G27" s="1"/>
      <c r="K27" s="1"/>
    </row>
    <row r="28" customFormat="false" ht="12.8" hidden="false" customHeight="true" outlineLevel="0" collapsed="false">
      <c r="A28" s="1"/>
      <c r="B28" s="1"/>
      <c r="G28" s="1"/>
      <c r="K28" s="1"/>
    </row>
    <row r="29" customFormat="false" ht="12.8" hidden="false" customHeight="true" outlineLevel="0" collapsed="false">
      <c r="A29" s="17"/>
      <c r="B29" s="17"/>
      <c r="C29" s="5" t="s">
        <v>7</v>
      </c>
      <c r="D29" s="1" t="n">
        <v>2</v>
      </c>
      <c r="E29" s="4" t="s">
        <v>61</v>
      </c>
      <c r="F29" s="1" t="n">
        <v>1</v>
      </c>
      <c r="G29" s="4" t="n">
        <v>2</v>
      </c>
      <c r="H29" s="1" t="s">
        <v>62</v>
      </c>
      <c r="I29" s="1" t="str">
        <f aca="false">_xlfn.CONCAT("Общий вид. Плоскость ",C29,", ",G29," ",H29)</f>
        <v>Общий вид. Плоскость (5-6)-(5-1), 2 этаж</v>
      </c>
      <c r="J29" s="1" t="n">
        <f aca="false">J8+K8</f>
        <v>24</v>
      </c>
      <c r="K29" s="4" t="n">
        <v>3</v>
      </c>
      <c r="L29" s="1" t="s">
        <v>97</v>
      </c>
      <c r="M29" s="1" t="str">
        <f aca="false">_xlfn.CONCAT(TEXT(A29, "000")  ,"_",C29," ",D29," этаж.grb")</f>
        <v>000_(5-6)-(5-1) 2 этаж.grb</v>
      </c>
      <c r="N29" s="1" t="str">
        <f aca="false">_xlfn.CONCAT(TEXT(A29, "000")  ,"_",C29," ",D29," этаж.grb")</f>
        <v>000_(5-6)-(5-1) 2 этаж.grb</v>
      </c>
    </row>
    <row r="30" customFormat="false" ht="12.8" hidden="false" customHeight="true" outlineLevel="0" collapsed="false">
      <c r="A30" s="17"/>
      <c r="B30" s="17"/>
      <c r="C30" s="5" t="s">
        <v>7</v>
      </c>
      <c r="D30" s="1" t="n">
        <v>3</v>
      </c>
      <c r="E30" s="4" t="s">
        <v>63</v>
      </c>
      <c r="F30" s="1" t="n">
        <v>25</v>
      </c>
      <c r="G30" s="4" t="s">
        <v>98</v>
      </c>
      <c r="H30" s="1" t="s">
        <v>65</v>
      </c>
      <c r="I30" s="1" t="str">
        <f aca="false">_xlfn.CONCAT("Общий вид. Плоскость ",C30,", ",G30," ",H30)</f>
        <v>Общий вид. Плоскость (5-6)-(5-1), нечётные 3,5,…,17,21,…,37,41,…,55 этажи</v>
      </c>
      <c r="J30" s="1" t="n">
        <f aca="false">J29+K29</f>
        <v>27</v>
      </c>
      <c r="K30" s="4" t="n">
        <v>3</v>
      </c>
      <c r="L30" s="1" t="s">
        <v>97</v>
      </c>
      <c r="M30" s="1" t="str">
        <f aca="false">_xlfn.CONCAT(TEXT(A30, "000")  ,"_",C30," ",D30," этаж.grb")</f>
        <v>000_(5-6)-(5-1) 3 этаж.grb</v>
      </c>
      <c r="N30" s="1" t="str">
        <f aca="false">_xlfn.CONCAT(TEXT(A30, "000")  ,"_",C30," ",D30," этаж.grb")</f>
        <v>000_(5-6)-(5-1) 3 этаж.grb</v>
      </c>
    </row>
    <row r="31" customFormat="false" ht="12.8" hidden="false" customHeight="true" outlineLevel="0" collapsed="false">
      <c r="A31" s="17"/>
      <c r="B31" s="17"/>
      <c r="C31" s="5" t="s">
        <v>7</v>
      </c>
      <c r="D31" s="1" t="n">
        <v>4</v>
      </c>
      <c r="E31" s="4" t="s">
        <v>66</v>
      </c>
      <c r="F31" s="1" t="n">
        <v>25</v>
      </c>
      <c r="G31" s="4" t="s">
        <v>99</v>
      </c>
      <c r="H31" s="1" t="s">
        <v>65</v>
      </c>
      <c r="I31" s="1" t="str">
        <f aca="false">_xlfn.CONCAT("Общий вид. Плоскость ",C31,", ",G31," ",H31)</f>
        <v>Общий вид. Плоскость (5-6)-(5-1), чётные 4,6,…,18,22,…,38,42,…,56 этажи</v>
      </c>
      <c r="J31" s="1" t="n">
        <f aca="false">J30+K30</f>
        <v>30</v>
      </c>
      <c r="K31" s="4" t="n">
        <v>3</v>
      </c>
      <c r="L31" s="1" t="s">
        <v>97</v>
      </c>
      <c r="M31" s="1" t="str">
        <f aca="false">_xlfn.CONCAT(TEXT(A31, "000")  ,"_",C31," ",D31," этаж.grb")</f>
        <v>000_(5-6)-(5-1) 4 этаж.grb</v>
      </c>
      <c r="N31" s="1" t="str">
        <f aca="false">_xlfn.CONCAT(TEXT(A31, "000")  ,"_",C31," ",D31," этаж.grb")</f>
        <v>000_(5-6)-(5-1) 4 этаж.grb</v>
      </c>
    </row>
    <row r="32" customFormat="false" ht="12.8" hidden="false" customHeight="true" outlineLevel="0" collapsed="false">
      <c r="A32" s="17"/>
      <c r="B32" s="17"/>
      <c r="C32" s="5" t="s">
        <v>7</v>
      </c>
      <c r="D32" s="1" t="n">
        <v>19</v>
      </c>
      <c r="E32" s="4" t="s">
        <v>68</v>
      </c>
      <c r="F32" s="1" t="n">
        <v>2</v>
      </c>
      <c r="G32" s="4" t="s">
        <v>69</v>
      </c>
      <c r="H32" s="1" t="s">
        <v>65</v>
      </c>
      <c r="I32" s="1" t="str">
        <f aca="false">_xlfn.CONCAT("Общий вид. Плоскость ",C32,", ",G32," ",H32)</f>
        <v>Общий вид. Плоскость (5-6)-(5-1), 19,39 этажи</v>
      </c>
      <c r="J32" s="1" t="n">
        <f aca="false">J31+K31</f>
        <v>33</v>
      </c>
      <c r="K32" s="4" t="n">
        <v>3</v>
      </c>
      <c r="L32" s="1" t="s">
        <v>97</v>
      </c>
      <c r="M32" s="1" t="str">
        <f aca="false">_xlfn.CONCAT(TEXT(A32, "000")  ,"_",C32," ",D32," этаж.grb")</f>
        <v>000_(5-6)-(5-1) 19 этаж.grb</v>
      </c>
      <c r="N32" s="1" t="str">
        <f aca="false">_xlfn.CONCAT(TEXT(A32, "000")  ,"_",C32," ",D32," этаж.grb")</f>
        <v>000_(5-6)-(5-1) 19 этаж.grb</v>
      </c>
    </row>
    <row r="33" customFormat="false" ht="12.8" hidden="false" customHeight="true" outlineLevel="0" collapsed="false">
      <c r="A33" s="17"/>
      <c r="B33" s="17"/>
      <c r="C33" s="5" t="s">
        <v>7</v>
      </c>
      <c r="D33" s="1" t="n">
        <v>20</v>
      </c>
      <c r="E33" s="4" t="s">
        <v>70</v>
      </c>
      <c r="F33" s="1" t="n">
        <v>2</v>
      </c>
      <c r="G33" s="4" t="s">
        <v>73</v>
      </c>
      <c r="H33" s="1" t="s">
        <v>65</v>
      </c>
      <c r="I33" s="1" t="str">
        <f aca="false">_xlfn.CONCAT("Общий вид. Плоскость ",C33,", ",G33," ",H33)</f>
        <v>Общий вид. Плоскость (5-6)-(5-1), 20,40 этажи</v>
      </c>
      <c r="J33" s="1" t="n">
        <f aca="false">J32+K32</f>
        <v>36</v>
      </c>
      <c r="K33" s="4" t="n">
        <v>3</v>
      </c>
      <c r="L33" s="1" t="s">
        <v>97</v>
      </c>
      <c r="M33" s="1" t="str">
        <f aca="false">_xlfn.CONCAT(TEXT(A33, "000")  ,"_",C33," ",D33," этаж.grb")</f>
        <v>000_(5-6)-(5-1) 20 этаж.grb</v>
      </c>
      <c r="N33" s="1" t="str">
        <f aca="false">_xlfn.CONCAT(TEXT(A33, "000")  ,"_",C33," ",D33," этаж.grb")</f>
        <v>000_(5-6)-(5-1) 20 этаж.grb</v>
      </c>
    </row>
    <row r="34" customFormat="false" ht="12.8" hidden="false" customHeight="true" outlineLevel="0" collapsed="false">
      <c r="A34" s="17"/>
      <c r="B34" s="17"/>
      <c r="C34" s="5" t="s">
        <v>7</v>
      </c>
      <c r="D34" s="1" t="n">
        <v>57</v>
      </c>
      <c r="E34" s="4" t="s">
        <v>72</v>
      </c>
      <c r="F34" s="1" t="n">
        <v>1</v>
      </c>
      <c r="G34" s="4" t="n">
        <v>57</v>
      </c>
      <c r="H34" s="1" t="s">
        <v>62</v>
      </c>
      <c r="I34" s="1" t="str">
        <f aca="false">_xlfn.CONCAT("Общий вид. Плоскость ",C34,", ",G34," ",H34)</f>
        <v>Общий вид. Плоскость (5-6)-(5-1), 57 этаж</v>
      </c>
      <c r="J34" s="1" t="n">
        <f aca="false">J33+K33</f>
        <v>39</v>
      </c>
      <c r="K34" s="4" t="n">
        <v>3</v>
      </c>
      <c r="L34" s="1" t="s">
        <v>97</v>
      </c>
      <c r="M34" s="1" t="str">
        <f aca="false">_xlfn.CONCAT(TEXT(A34, "000")  ,"_",C34," ",D34," этаж.grb")</f>
        <v>000_(5-6)-(5-1) 57 этаж.grb</v>
      </c>
      <c r="N34" s="1" t="str">
        <f aca="false">_xlfn.CONCAT(TEXT(A34, "000")  ,"_",C34," ",D34," этаж.grb")</f>
        <v>000_(5-6)-(5-1) 57 этаж.grb</v>
      </c>
    </row>
    <row r="35" customFormat="false" ht="12.8" hidden="false" customHeight="true" outlineLevel="0" collapsed="false">
      <c r="A35" s="17"/>
      <c r="B35" s="17"/>
      <c r="C35" s="6" t="s">
        <v>8</v>
      </c>
      <c r="D35" s="1" t="n">
        <v>2</v>
      </c>
      <c r="E35" s="18" t="s">
        <v>74</v>
      </c>
      <c r="F35" s="1" t="n">
        <v>14</v>
      </c>
      <c r="G35" s="4" t="s">
        <v>75</v>
      </c>
      <c r="H35" s="1" t="s">
        <v>65</v>
      </c>
      <c r="I35" s="1" t="str">
        <f aca="false">_xlfn.CONCAT("Плоскость ",C35,", ",G35," ",H35)</f>
        <v>Плоскость (5-А)-(5-Л), Чётные 2,4,…,28 этажи</v>
      </c>
      <c r="J35" s="1" t="n">
        <f aca="false">J34+K34</f>
        <v>42</v>
      </c>
      <c r="K35" s="4" t="n">
        <v>3</v>
      </c>
      <c r="L35" s="1" t="s">
        <v>100</v>
      </c>
      <c r="M35" s="1" t="str">
        <f aca="false">_xlfn.CONCAT(TEXT(A35, "000")  ,"_",C35," ",E35," (",D35," этаж).grb")</f>
        <v>000_(5-А)-(5-Л) ВН-22-К5(а)-1 (2 этаж).grb</v>
      </c>
      <c r="N35" s="1" t="str">
        <f aca="false">_xlfn.CONCAT(TEXT(A35, "000")  ,"_",C35," ",E35," (",D35," этаж).grb")</f>
        <v>000_(5-А)-(5-Л) ВН-22-К5(а)-1 (2 этаж).grb</v>
      </c>
    </row>
    <row r="36" customFormat="false" ht="12.8" hidden="false" customHeight="true" outlineLevel="0" collapsed="false">
      <c r="A36" s="17"/>
      <c r="B36" s="17"/>
      <c r="C36" s="6" t="s">
        <v>8</v>
      </c>
      <c r="D36" s="1" t="n">
        <v>3</v>
      </c>
      <c r="E36" s="19" t="s">
        <v>76</v>
      </c>
      <c r="F36" s="1" t="n">
        <v>12</v>
      </c>
      <c r="G36" s="4" t="s">
        <v>77</v>
      </c>
      <c r="H36" s="1" t="s">
        <v>65</v>
      </c>
      <c r="I36" s="1" t="str">
        <f aca="false">_xlfn.CONCAT("Плоскость ",C36,", ",G36," ",H36)</f>
        <v>Плоскость (5-А)-(5-Л), Нечётные 3,5,…,17,21,…,29 этажи</v>
      </c>
      <c r="J36" s="1" t="n">
        <f aca="false">J35+K35</f>
        <v>45</v>
      </c>
      <c r="K36" s="4" t="n">
        <v>3</v>
      </c>
      <c r="L36" s="1" t="s">
        <v>100</v>
      </c>
      <c r="M36" s="1" t="str">
        <f aca="false">_xlfn.CONCAT(TEXT(A36, "000")  ,"_",C36," ",E36," (",D36," этаж).grb")</f>
        <v>000_(5-А)-(5-Л) ВН-23-К5(а)-1 (3 этаж).grb</v>
      </c>
      <c r="N36" s="1" t="str">
        <f aca="false">_xlfn.CONCAT(TEXT(A36, "000")  ,"_",C36," ",E36," (",D36," этаж).grb")</f>
        <v>000_(5-А)-(5-Л) ВН-23-К5(а)-1 (3 этаж).grb</v>
      </c>
    </row>
    <row r="37" customFormat="false" ht="12.8" hidden="false" customHeight="true" outlineLevel="0" collapsed="false">
      <c r="A37" s="17"/>
      <c r="B37" s="17"/>
      <c r="C37" s="6" t="s">
        <v>8</v>
      </c>
      <c r="D37" s="1" t="n">
        <v>19</v>
      </c>
      <c r="E37" s="20" t="s">
        <v>78</v>
      </c>
      <c r="F37" s="1" t="n">
        <v>1</v>
      </c>
      <c r="G37" s="4" t="n">
        <v>19</v>
      </c>
      <c r="H37" s="1" t="s">
        <v>62</v>
      </c>
      <c r="I37" s="1" t="str">
        <f aca="false">_xlfn.CONCAT("Плоскость ",C37,", ",G37," ",H37)</f>
        <v>Плоскость (5-А)-(5-Л), 19 этаж</v>
      </c>
      <c r="J37" s="1" t="n">
        <f aca="false">J36+K36</f>
        <v>48</v>
      </c>
      <c r="K37" s="4" t="n">
        <v>3</v>
      </c>
      <c r="L37" s="1" t="s">
        <v>100</v>
      </c>
      <c r="M37" s="1" t="str">
        <f aca="false">_xlfn.CONCAT(TEXT(A37, "000")  ,"_",C37," ",E37," (",D37," этаж).grb")</f>
        <v>000_(5-А)-(5-Л) ВН-23-К5(а)-2 (19 этаж).grb</v>
      </c>
      <c r="N37" s="1" t="str">
        <f aca="false">_xlfn.CONCAT(TEXT(A37, "000")  ,"_",C37," ",E37," (",D37," этаж).grb")</f>
        <v>000_(5-А)-(5-Л) ВН-23-К5(а)-2 (19 этаж).grb</v>
      </c>
    </row>
    <row r="38" customFormat="false" ht="12.8" hidden="false" customHeight="true" outlineLevel="0" collapsed="false">
      <c r="A38" s="17"/>
      <c r="B38" s="17"/>
      <c r="C38" s="6" t="s">
        <v>8</v>
      </c>
      <c r="D38" s="1" t="n">
        <v>29</v>
      </c>
      <c r="E38" s="21" t="s">
        <v>79</v>
      </c>
      <c r="F38" s="1" t="n">
        <v>13</v>
      </c>
      <c r="G38" s="4" t="s">
        <v>80</v>
      </c>
      <c r="H38" s="1" t="s">
        <v>65</v>
      </c>
      <c r="I38" s="1" t="str">
        <f aca="false">_xlfn.CONCAT("Плоскость ",C38,", ",G38," ",H38)</f>
        <v>Плоскость (5-А)-(5-Л), Нечётные 29,31,…,37,41,…,55 этажи</v>
      </c>
      <c r="J38" s="1" t="n">
        <f aca="false">J37+K37</f>
        <v>51</v>
      </c>
      <c r="K38" s="4" t="n">
        <v>3</v>
      </c>
      <c r="L38" s="1" t="s">
        <v>100</v>
      </c>
      <c r="M38" s="1" t="str">
        <f aca="false">_xlfn.CONCAT(TEXT(A38, "000")  ,"_",C38," ",E38," (",D38," этаж).grb")</f>
        <v>000_(5-А)-(5-Л) ВН-23-К5(б)-1 (29 этаж).grb</v>
      </c>
      <c r="N38" s="1" t="str">
        <f aca="false">_xlfn.CONCAT(TEXT(A38, "000")  ,"_",C38," ",E38," (",D38," этаж).grb")</f>
        <v>000_(5-А)-(5-Л) ВН-23-К5(б)-1 (29 этаж).grb</v>
      </c>
    </row>
    <row r="39" customFormat="false" ht="12.8" hidden="false" customHeight="true" outlineLevel="0" collapsed="false">
      <c r="A39" s="17"/>
      <c r="B39" s="17"/>
      <c r="C39" s="6" t="s">
        <v>8</v>
      </c>
      <c r="D39" s="1" t="n">
        <v>30</v>
      </c>
      <c r="E39" s="22" t="s">
        <v>81</v>
      </c>
      <c r="F39" s="1" t="n">
        <v>14</v>
      </c>
      <c r="G39" s="4" t="s">
        <v>82</v>
      </c>
      <c r="H39" s="1" t="s">
        <v>65</v>
      </c>
      <c r="I39" s="1" t="str">
        <f aca="false">_xlfn.CONCAT("Плоскость ",C39,", ",G39," ",H39)</f>
        <v>Плоскость (5-А)-(5-Л), Чётные 30,32,…,56 этажи</v>
      </c>
      <c r="J39" s="1" t="n">
        <f aca="false">J38+K38</f>
        <v>54</v>
      </c>
      <c r="K39" s="4" t="n">
        <v>3</v>
      </c>
      <c r="L39" s="1" t="s">
        <v>100</v>
      </c>
      <c r="M39" s="1" t="str">
        <f aca="false">_xlfn.CONCAT(TEXT(A39, "000")  ,"_",C39," ",E39," (",D39," этаж).grb")</f>
        <v>000_(5-А)-(5-Л) ВН-22-К5(б)-1 (30 этаж).grb</v>
      </c>
      <c r="N39" s="1" t="str">
        <f aca="false">_xlfn.CONCAT(TEXT(A39, "000")  ,"_",C39," ",E39," (",D39," этаж).grb")</f>
        <v>000_(5-А)-(5-Л) ВН-22-К5(б)-1 (30 этаж).grb</v>
      </c>
    </row>
    <row r="40" customFormat="false" ht="12.8" hidden="false" customHeight="true" outlineLevel="0" collapsed="false">
      <c r="A40" s="17"/>
      <c r="B40" s="17"/>
      <c r="C40" s="6" t="s">
        <v>8</v>
      </c>
      <c r="D40" s="1" t="n">
        <v>39</v>
      </c>
      <c r="E40" s="23" t="s">
        <v>83</v>
      </c>
      <c r="F40" s="1" t="n">
        <v>1</v>
      </c>
      <c r="G40" s="4" t="n">
        <v>39</v>
      </c>
      <c r="H40" s="1" t="s">
        <v>62</v>
      </c>
      <c r="I40" s="1" t="str">
        <f aca="false">_xlfn.CONCAT("Плоскость ",C40,", ",G40," ",H40)</f>
        <v>Плоскость (5-А)-(5-Л), 39 этаж</v>
      </c>
      <c r="J40" s="1" t="n">
        <f aca="false">J39+K39</f>
        <v>57</v>
      </c>
      <c r="K40" s="4" t="n">
        <v>3</v>
      </c>
      <c r="L40" s="1" t="s">
        <v>100</v>
      </c>
      <c r="M40" s="1" t="str">
        <f aca="false">_xlfn.CONCAT(TEXT(A40, "000")  ,"_",C40," ",E40," (",D40," этаж).grb")</f>
        <v>000_(5-А)-(5-Л) ВН-23-К5(б)-2 (39 этаж).grb</v>
      </c>
      <c r="N40" s="1" t="str">
        <f aca="false">_xlfn.CONCAT(TEXT(A40, "000")  ,"_",C40," ",E40," (",D40," этаж).grb")</f>
        <v>000_(5-А)-(5-Л) ВН-23-К5(б)-2 (39 этаж).grb</v>
      </c>
    </row>
    <row r="41" customFormat="false" ht="12.8" hidden="false" customHeight="true" outlineLevel="0" collapsed="false">
      <c r="A41" s="17"/>
      <c r="B41" s="17"/>
      <c r="C41" s="6" t="s">
        <v>8</v>
      </c>
      <c r="D41" s="1" t="n">
        <v>57</v>
      </c>
      <c r="E41" s="24" t="s">
        <v>84</v>
      </c>
      <c r="F41" s="1" t="n">
        <v>1</v>
      </c>
      <c r="G41" s="4" t="n">
        <v>57</v>
      </c>
      <c r="H41" s="1" t="s">
        <v>62</v>
      </c>
      <c r="I41" s="1" t="str">
        <f aca="false">_xlfn.CONCAT("Плоскость ",C41,", ",G41," ",H41)</f>
        <v>Плоскость (5-А)-(5-Л), 57 этаж</v>
      </c>
      <c r="J41" s="1" t="n">
        <f aca="false">J40+K40</f>
        <v>60</v>
      </c>
      <c r="K41" s="4" t="n">
        <v>3</v>
      </c>
      <c r="L41" s="1" t="s">
        <v>100</v>
      </c>
      <c r="M41" s="1" t="str">
        <f aca="false">_xlfn.CONCAT(TEXT(A41, "000")  ,"_",C41," ",E41," (",D41," этаж).grb")</f>
        <v>000_(5-А)-(5-Л) ВН-24-К5(б)-1 (57 этаж).grb</v>
      </c>
      <c r="N41" s="1" t="str">
        <f aca="false">_xlfn.CONCAT(TEXT(A41, "000")  ,"_",C41," ",E41," (",D41," этаж).grb")</f>
        <v>000_(5-А)-(5-Л) ВН-24-К5(б)-1 (57 этаж).grb</v>
      </c>
    </row>
    <row r="42" customFormat="false" ht="12.8" hidden="false" customHeight="true" outlineLevel="0" collapsed="false">
      <c r="A42" s="17"/>
      <c r="B42" s="17"/>
      <c r="C42" s="7" t="s">
        <v>9</v>
      </c>
      <c r="D42" s="1" t="n">
        <v>2</v>
      </c>
      <c r="E42" s="25" t="s">
        <v>85</v>
      </c>
      <c r="F42" s="1" t="n">
        <v>14</v>
      </c>
      <c r="G42" s="4" t="s">
        <v>75</v>
      </c>
      <c r="H42" s="1" t="s">
        <v>65</v>
      </c>
      <c r="I42" s="1" t="str">
        <f aca="false">_xlfn.CONCAT("Плоскость ",C42,", ",G42," ",H42)</f>
        <v>Плоскость (5-Л)-(5-А), Чётные 2,4,…,28 этажи</v>
      </c>
      <c r="J42" s="1" t="n">
        <f aca="false">J41+K41</f>
        <v>63</v>
      </c>
      <c r="K42" s="4" t="n">
        <v>3</v>
      </c>
      <c r="L42" s="1" t="s">
        <v>101</v>
      </c>
      <c r="M42" s="1" t="str">
        <f aca="false">_xlfn.CONCAT(TEXT(A42, "000")  ,"_",C42," ",E42," (",D42," этаж).grb")</f>
        <v>000_(5-Л)-(5-А) ВН-01-К5(а)-1 (2 этаж).grb</v>
      </c>
      <c r="N42" s="1" t="str">
        <f aca="false">_xlfn.CONCAT(TEXT(A42, "000")  ,"_",C42," ",E42," (",D42," этаж).grb")</f>
        <v>000_(5-Л)-(5-А) ВН-01-К5(а)-1 (2 этаж).grb</v>
      </c>
    </row>
    <row r="43" customFormat="false" ht="12.8" hidden="false" customHeight="true" outlineLevel="0" collapsed="false">
      <c r="A43" s="17"/>
      <c r="B43" s="17"/>
      <c r="C43" s="7" t="s">
        <v>9</v>
      </c>
      <c r="D43" s="1" t="n">
        <v>3</v>
      </c>
      <c r="E43" s="26" t="s">
        <v>86</v>
      </c>
      <c r="F43" s="1" t="n">
        <v>12</v>
      </c>
      <c r="G43" s="4" t="s">
        <v>77</v>
      </c>
      <c r="H43" s="1" t="s">
        <v>65</v>
      </c>
      <c r="I43" s="1" t="str">
        <f aca="false">_xlfn.CONCAT("Плоскость ",C43,", ",G43," ",H43)</f>
        <v>Плоскость (5-Л)-(5-А), Нечётные 3,5,…,17,21,…,29 этажи</v>
      </c>
      <c r="J43" s="1" t="n">
        <f aca="false">J42+K42</f>
        <v>66</v>
      </c>
      <c r="K43" s="4" t="n">
        <v>3</v>
      </c>
      <c r="L43" s="1" t="s">
        <v>101</v>
      </c>
      <c r="M43" s="1" t="str">
        <f aca="false">_xlfn.CONCAT(TEXT(A43, "000")  ,"_",C43," ",E43," (",D43," этаж).grb")</f>
        <v>000_(5-Л)-(5-А) ВН-02-К5(а)-1 (3 этаж).grb</v>
      </c>
      <c r="N43" s="1" t="str">
        <f aca="false">_xlfn.CONCAT(TEXT(A43, "000")  ,"_",C43," ",E43," (",D43," этаж).grb")</f>
        <v>000_(5-Л)-(5-А) ВН-02-К5(а)-1 (3 этаж).grb</v>
      </c>
    </row>
    <row r="44" customFormat="false" ht="12.8" hidden="false" customHeight="true" outlineLevel="0" collapsed="false">
      <c r="A44" s="17"/>
      <c r="B44" s="17"/>
      <c r="C44" s="7" t="s">
        <v>9</v>
      </c>
      <c r="D44" s="1" t="n">
        <v>19</v>
      </c>
      <c r="E44" s="20" t="s">
        <v>87</v>
      </c>
      <c r="F44" s="1" t="n">
        <v>1</v>
      </c>
      <c r="G44" s="4" t="n">
        <v>19</v>
      </c>
      <c r="H44" s="1" t="s">
        <v>62</v>
      </c>
      <c r="I44" s="1" t="str">
        <f aca="false">_xlfn.CONCAT("Плоскость ",C44,", ",G44," ",H44)</f>
        <v>Плоскость (5-Л)-(5-А), 19 этаж</v>
      </c>
      <c r="J44" s="1" t="n">
        <f aca="false">J43+K43</f>
        <v>69</v>
      </c>
      <c r="K44" s="4" t="n">
        <v>3</v>
      </c>
      <c r="L44" s="1" t="s">
        <v>101</v>
      </c>
      <c r="M44" s="1" t="str">
        <f aca="false">_xlfn.CONCAT(TEXT(A44, "000")  ,"_",C44," ",E44," (",D44," этаж).grb")</f>
        <v>000_(5-Л)-(5-А) ВН-02-К5(а)-2 (19 этаж).grb</v>
      </c>
      <c r="N44" s="1" t="str">
        <f aca="false">_xlfn.CONCAT(TEXT(A44, "000")  ,"_",C44," ",E44," (",D44," этаж).grb")</f>
        <v>000_(5-Л)-(5-А) ВН-02-К5(а)-2 (19 этаж).grb</v>
      </c>
    </row>
    <row r="45" customFormat="false" ht="12.8" hidden="false" customHeight="true" outlineLevel="0" collapsed="false">
      <c r="A45" s="17"/>
      <c r="B45" s="17"/>
      <c r="C45" s="7" t="s">
        <v>9</v>
      </c>
      <c r="D45" s="1" t="n">
        <v>29</v>
      </c>
      <c r="E45" s="27" t="s">
        <v>88</v>
      </c>
      <c r="F45" s="1" t="n">
        <v>13</v>
      </c>
      <c r="G45" s="4" t="s">
        <v>80</v>
      </c>
      <c r="H45" s="1" t="s">
        <v>65</v>
      </c>
      <c r="I45" s="1" t="str">
        <f aca="false">_xlfn.CONCAT("Плоскость ",C45,", ",G45," ",H45)</f>
        <v>Плоскость (5-Л)-(5-А), Нечётные 29,31,…,37,41,…,55 этажи</v>
      </c>
      <c r="J45" s="1" t="n">
        <f aca="false">J44+K44</f>
        <v>72</v>
      </c>
      <c r="K45" s="4" t="n">
        <v>3</v>
      </c>
      <c r="L45" s="1" t="s">
        <v>101</v>
      </c>
      <c r="M45" s="1" t="str">
        <f aca="false">_xlfn.CONCAT(TEXT(A45, "000")  ,"_",C45," ",E45," (",D45," этаж).grb")</f>
        <v>000_(5-Л)-(5-А) ВН-02-К5(б)-1  (29 этаж).grb</v>
      </c>
      <c r="N45" s="1" t="str">
        <f aca="false">_xlfn.CONCAT(TEXT(A45, "000")  ,"_",C45," ",E45," (",D45," этаж).grb")</f>
        <v>000_(5-Л)-(5-А) ВН-02-К5(б)-1  (29 этаж).grb</v>
      </c>
    </row>
    <row r="46" customFormat="false" ht="12.8" hidden="false" customHeight="true" outlineLevel="0" collapsed="false">
      <c r="A46" s="17"/>
      <c r="B46" s="17"/>
      <c r="C46" s="7" t="s">
        <v>9</v>
      </c>
      <c r="D46" s="1" t="n">
        <v>30</v>
      </c>
      <c r="E46" s="28" t="s">
        <v>89</v>
      </c>
      <c r="F46" s="1" t="n">
        <v>14</v>
      </c>
      <c r="G46" s="4" t="s">
        <v>82</v>
      </c>
      <c r="H46" s="1" t="s">
        <v>65</v>
      </c>
      <c r="I46" s="1" t="str">
        <f aca="false">_xlfn.CONCAT("Плоскость ",C46,", ",G46," ",H46)</f>
        <v>Плоскость (5-Л)-(5-А), Чётные 30,32,…,56 этажи</v>
      </c>
      <c r="J46" s="1" t="n">
        <f aca="false">J45+K45</f>
        <v>75</v>
      </c>
      <c r="K46" s="4" t="n">
        <v>3</v>
      </c>
      <c r="L46" s="1" t="s">
        <v>101</v>
      </c>
      <c r="M46" s="1" t="str">
        <f aca="false">_xlfn.CONCAT(TEXT(A46, "000")  ,"_",C46," ",E46," (",D46," этаж).grb")</f>
        <v>000_(5-Л)-(5-А) ВН-01-К5(б)-1 (30 этаж).grb</v>
      </c>
      <c r="N46" s="1" t="str">
        <f aca="false">_xlfn.CONCAT(TEXT(A46, "000")  ,"_",C46," ",E46," (",D46," этаж).grb")</f>
        <v>000_(5-Л)-(5-А) ВН-01-К5(б)-1 (30 этаж).grb</v>
      </c>
    </row>
    <row r="47" customFormat="false" ht="12.8" hidden="false" customHeight="true" outlineLevel="0" collapsed="false">
      <c r="A47" s="17"/>
      <c r="B47" s="17"/>
      <c r="C47" s="7" t="s">
        <v>9</v>
      </c>
      <c r="D47" s="1" t="n">
        <v>39</v>
      </c>
      <c r="E47" s="29" t="s">
        <v>90</v>
      </c>
      <c r="F47" s="1" t="n">
        <v>1</v>
      </c>
      <c r="G47" s="4" t="n">
        <v>39</v>
      </c>
      <c r="H47" s="1" t="s">
        <v>62</v>
      </c>
      <c r="I47" s="1" t="str">
        <f aca="false">_xlfn.CONCAT("Плоскость ",C47,", ",G47," ",H47)</f>
        <v>Плоскость (5-Л)-(5-А), 39 этаж</v>
      </c>
      <c r="J47" s="1" t="n">
        <f aca="false">J46+K46</f>
        <v>78</v>
      </c>
      <c r="K47" s="4" t="n">
        <v>3</v>
      </c>
      <c r="L47" s="1" t="s">
        <v>101</v>
      </c>
      <c r="M47" s="1" t="str">
        <f aca="false">_xlfn.CONCAT(TEXT(A47, "000")  ,"_",C47," ",E47," (",D47," этаж).grb")</f>
        <v>000_(5-Л)-(5-А) ВН-02-К5(б)-2 (39 этаж).grb</v>
      </c>
      <c r="N47" s="1" t="str">
        <f aca="false">_xlfn.CONCAT(TEXT(A47, "000")  ,"_",C47," ",E47," (",D47," этаж).grb")</f>
        <v>000_(5-Л)-(5-А) ВН-02-К5(б)-2 (39 этаж).grb</v>
      </c>
    </row>
    <row r="48" customFormat="false" ht="12.8" hidden="false" customHeight="true" outlineLevel="0" collapsed="false">
      <c r="A48" s="17"/>
      <c r="B48" s="17"/>
      <c r="C48" s="7" t="s">
        <v>9</v>
      </c>
      <c r="D48" s="1" t="n">
        <v>57</v>
      </c>
      <c r="E48" s="24" t="s">
        <v>91</v>
      </c>
      <c r="F48" s="1" t="n">
        <v>1</v>
      </c>
      <c r="G48" s="4" t="n">
        <v>57</v>
      </c>
      <c r="H48" s="1" t="s">
        <v>62</v>
      </c>
      <c r="I48" s="1" t="str">
        <f aca="false">_xlfn.CONCAT("Плоскость ",C48,", ",G48," ",H48)</f>
        <v>Плоскость (5-Л)-(5-А), 57 этаж</v>
      </c>
      <c r="J48" s="1" t="n">
        <f aca="false">J47+K47</f>
        <v>81</v>
      </c>
      <c r="K48" s="4" t="n">
        <v>3</v>
      </c>
      <c r="L48" s="1" t="s">
        <v>101</v>
      </c>
      <c r="M48" s="1" t="str">
        <f aca="false">_xlfn.CONCAT(TEXT(A48, "000")  ,"_",C48," ",E48," (",D48," этаж).grb")</f>
        <v>000_(5-Л)-(5-А) ВН-03-К5(б)-1 (57 этаж).grb</v>
      </c>
      <c r="N48" s="1" t="str">
        <f aca="false">_xlfn.CONCAT(TEXT(A48, "000")  ,"_",C48," ",E48," (",D48," этаж).grb")</f>
        <v>000_(5-Л)-(5-А) ВН-03-К5(б)-1 (57 этаж).grb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5" width="11.53"/>
    <col collapsed="false" customWidth="true" hidden="false" outlineLevel="0" max="2" min="2" style="15" width="13.11"/>
    <col collapsed="false" customWidth="true" hidden="false" outlineLevel="0" max="3" min="3" style="1" width="17.54"/>
    <col collapsed="false" customWidth="true" hidden="false" outlineLevel="0" max="4" min="4" style="1" width="8.96"/>
    <col collapsed="false" customWidth="false" hidden="false" outlineLevel="0" max="6" min="6" style="4" width="11.53"/>
    <col collapsed="false" customWidth="true" hidden="false" outlineLevel="0" max="7" min="7" style="1" width="15.37"/>
    <col collapsed="false" customWidth="true" hidden="false" outlineLevel="0" max="8" min="8" style="4" width="33.71"/>
    <col collapsed="false" customWidth="true" hidden="false" outlineLevel="0" max="9" min="9" style="1" width="21.49"/>
    <col collapsed="false" customWidth="true" hidden="false" outlineLevel="0" max="10" min="10" style="1" width="57"/>
    <col collapsed="false" customWidth="false" hidden="false" outlineLevel="0" max="12" min="12" style="4" width="11.53"/>
    <col collapsed="false" customWidth="true" hidden="false" outlineLevel="0" max="13" min="13" style="1" width="18.03"/>
    <col collapsed="false" customWidth="true" hidden="false" outlineLevel="0" max="14" min="14" style="1" width="37.71"/>
    <col collapsed="false" customWidth="true" hidden="false" outlineLevel="0" max="15" min="15" style="1" width="37.26"/>
  </cols>
  <sheetData>
    <row r="1" customFormat="false" ht="12.8" hidden="false" customHeight="true" outlineLevel="0" collapsed="false">
      <c r="A1" s="16" t="s">
        <v>102</v>
      </c>
      <c r="B1" s="30" t="s">
        <v>0</v>
      </c>
      <c r="C1" s="31" t="s">
        <v>56</v>
      </c>
      <c r="D1" s="32" t="s">
        <v>103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</row>
    <row r="2" customFormat="false" ht="12.8" hidden="false" customHeight="true" outlineLevel="0" collapsed="false">
      <c r="A2" s="17" t="e">
        <f aca="false">#REF!+1</f>
        <v>#REF!</v>
      </c>
      <c r="B2" s="3" t="s">
        <v>6</v>
      </c>
      <c r="C2" s="33" t="s">
        <v>104</v>
      </c>
      <c r="D2" s="34" t="n">
        <v>1</v>
      </c>
      <c r="E2" s="1" t="e">
        <f aca="false">#REF!+#REF!</f>
        <v>#REF!</v>
      </c>
      <c r="F2" s="4" t="n">
        <v>3</v>
      </c>
      <c r="G2" s="1" t="s">
        <v>105</v>
      </c>
      <c r="H2" s="1" t="e">
        <f aca="false">_xlfn.CONCAT(TEXT(A2, "000")  ,"_",B2," ",C2,".grb")</f>
        <v>#REF!</v>
      </c>
      <c r="I2" s="1" t="e">
        <f aca="false">_xlfn.CONCAT(TEXT(#REF!, "000")  ,"_",#REF!," ",#REF!," этаж.grb")</f>
        <v>#REF!</v>
      </c>
    </row>
    <row r="3" customFormat="false" ht="12.8" hidden="false" customHeight="true" outlineLevel="0" collapsed="false">
      <c r="A3" s="17" t="e">
        <f aca="false">A2+1</f>
        <v>#REF!</v>
      </c>
      <c r="B3" s="3" t="s">
        <v>6</v>
      </c>
      <c r="C3" s="33" t="s">
        <v>106</v>
      </c>
      <c r="D3" s="34" t="n">
        <v>1</v>
      </c>
      <c r="E3" s="1" t="e">
        <f aca="false">E2+F2</f>
        <v>#REF!</v>
      </c>
      <c r="F3" s="4" t="n">
        <v>3</v>
      </c>
      <c r="G3" s="1" t="s">
        <v>105</v>
      </c>
      <c r="H3" s="1"/>
    </row>
    <row r="4" customFormat="false" ht="12.8" hidden="false" customHeight="true" outlineLevel="0" collapsed="false">
      <c r="A4" s="17" t="e">
        <f aca="false">A3+1</f>
        <v>#REF!</v>
      </c>
      <c r="B4" s="3" t="s">
        <v>6</v>
      </c>
      <c r="C4" s="33" t="s">
        <v>107</v>
      </c>
      <c r="D4" s="34" t="n">
        <v>1</v>
      </c>
      <c r="E4" s="1" t="e">
        <f aca="false">E3+F3</f>
        <v>#REF!</v>
      </c>
      <c r="F4" s="4" t="n">
        <v>3</v>
      </c>
      <c r="G4" s="1" t="s">
        <v>105</v>
      </c>
      <c r="H4" s="1"/>
    </row>
    <row r="5" customFormat="false" ht="12.8" hidden="false" customHeight="true" outlineLevel="0" collapsed="false">
      <c r="A5" s="17" t="e">
        <f aca="false">A4+1</f>
        <v>#REF!</v>
      </c>
      <c r="B5" s="3" t="s">
        <v>6</v>
      </c>
      <c r="C5" s="33" t="s">
        <v>108</v>
      </c>
      <c r="D5" s="34" t="n">
        <v>1</v>
      </c>
      <c r="E5" s="1" t="e">
        <f aca="false">E4+F4</f>
        <v>#REF!</v>
      </c>
      <c r="F5" s="4" t="n">
        <v>3</v>
      </c>
      <c r="G5" s="1" t="s">
        <v>105</v>
      </c>
    </row>
    <row r="6" customFormat="false" ht="12.8" hidden="false" customHeight="true" outlineLevel="0" collapsed="false">
      <c r="A6" s="17" t="e">
        <f aca="false">A5+1</f>
        <v>#REF!</v>
      </c>
      <c r="B6" s="3" t="s">
        <v>6</v>
      </c>
      <c r="C6" s="33" t="s">
        <v>109</v>
      </c>
      <c r="D6" s="34" t="n">
        <v>2</v>
      </c>
      <c r="E6" s="1" t="e">
        <f aca="false">E5+F5</f>
        <v>#REF!</v>
      </c>
      <c r="F6" s="4" t="n">
        <v>3</v>
      </c>
      <c r="G6" s="1" t="s">
        <v>105</v>
      </c>
    </row>
    <row r="7" customFormat="false" ht="12.8" hidden="false" customHeight="true" outlineLevel="0" collapsed="false">
      <c r="A7" s="17" t="e">
        <f aca="false">A6+1</f>
        <v>#REF!</v>
      </c>
      <c r="B7" s="3" t="s">
        <v>6</v>
      </c>
      <c r="C7" s="33" t="s">
        <v>110</v>
      </c>
      <c r="D7" s="34" t="n">
        <v>1</v>
      </c>
      <c r="E7" s="1" t="e">
        <f aca="false">E6+F6</f>
        <v>#REF!</v>
      </c>
      <c r="F7" s="4" t="n">
        <v>3</v>
      </c>
      <c r="G7" s="1" t="s">
        <v>105</v>
      </c>
    </row>
    <row r="8" customFormat="false" ht="12.8" hidden="false" customHeight="true" outlineLevel="0" collapsed="false">
      <c r="A8" s="17" t="e">
        <f aca="false">A7+1</f>
        <v>#REF!</v>
      </c>
      <c r="B8" s="3" t="s">
        <v>6</v>
      </c>
      <c r="C8" s="33" t="s">
        <v>111</v>
      </c>
      <c r="D8" s="34" t="n">
        <v>25</v>
      </c>
      <c r="E8" s="1" t="e">
        <f aca="false">E7+F7</f>
        <v>#REF!</v>
      </c>
      <c r="F8" s="4" t="n">
        <v>3</v>
      </c>
      <c r="G8" s="1" t="s">
        <v>105</v>
      </c>
    </row>
    <row r="9" customFormat="false" ht="12.8" hidden="false" customHeight="true" outlineLevel="0" collapsed="false">
      <c r="A9" s="17" t="e">
        <f aca="false">A8+1</f>
        <v>#REF!</v>
      </c>
      <c r="B9" s="3" t="s">
        <v>6</v>
      </c>
      <c r="C9" s="33" t="s">
        <v>112</v>
      </c>
      <c r="D9" s="34" t="n">
        <v>25</v>
      </c>
      <c r="E9" s="1" t="e">
        <f aca="false">E8+F8</f>
        <v>#REF!</v>
      </c>
      <c r="F9" s="4" t="n">
        <v>3</v>
      </c>
      <c r="G9" s="1" t="s">
        <v>105</v>
      </c>
    </row>
    <row r="10" customFormat="false" ht="12.8" hidden="false" customHeight="true" outlineLevel="0" collapsed="false">
      <c r="A10" s="17" t="e">
        <f aca="false">A9+1</f>
        <v>#REF!</v>
      </c>
      <c r="B10" s="3" t="s">
        <v>6</v>
      </c>
      <c r="C10" s="33" t="s">
        <v>113</v>
      </c>
      <c r="D10" s="34" t="n">
        <v>50</v>
      </c>
      <c r="E10" s="1" t="e">
        <f aca="false">E9+F9</f>
        <v>#REF!</v>
      </c>
      <c r="F10" s="4" t="n">
        <v>3</v>
      </c>
      <c r="G10" s="1" t="s">
        <v>105</v>
      </c>
    </row>
    <row r="11" customFormat="false" ht="12.8" hidden="false" customHeight="true" outlineLevel="0" collapsed="false">
      <c r="A11" s="17" t="e">
        <f aca="false">A10+1</f>
        <v>#REF!</v>
      </c>
      <c r="B11" s="3" t="s">
        <v>6</v>
      </c>
      <c r="C11" s="33" t="s">
        <v>114</v>
      </c>
      <c r="D11" s="34" t="n">
        <v>25</v>
      </c>
      <c r="E11" s="1" t="e">
        <f aca="false">E10+F10</f>
        <v>#REF!</v>
      </c>
      <c r="F11" s="4" t="n">
        <v>3</v>
      </c>
      <c r="G11" s="1" t="s">
        <v>105</v>
      </c>
    </row>
    <row r="12" customFormat="false" ht="12.8" hidden="false" customHeight="true" outlineLevel="0" collapsed="false">
      <c r="A12" s="17" t="e">
        <f aca="false">A11+1</f>
        <v>#REF!</v>
      </c>
      <c r="B12" s="3" t="s">
        <v>6</v>
      </c>
      <c r="C12" s="33" t="s">
        <v>115</v>
      </c>
      <c r="D12" s="34" t="n">
        <v>25</v>
      </c>
      <c r="E12" s="1" t="e">
        <f aca="false">E11+F11</f>
        <v>#REF!</v>
      </c>
      <c r="F12" s="4" t="n">
        <v>3</v>
      </c>
      <c r="G12" s="1" t="s">
        <v>105</v>
      </c>
    </row>
    <row r="13" customFormat="false" ht="12.8" hidden="false" customHeight="true" outlineLevel="0" collapsed="false">
      <c r="A13" s="17" t="e">
        <f aca="false">A12+1</f>
        <v>#REF!</v>
      </c>
      <c r="B13" s="3" t="s">
        <v>6</v>
      </c>
      <c r="C13" s="33" t="s">
        <v>116</v>
      </c>
      <c r="D13" s="34" t="n">
        <v>25</v>
      </c>
      <c r="E13" s="1" t="e">
        <f aca="false">E12+F12</f>
        <v>#REF!</v>
      </c>
      <c r="F13" s="4" t="n">
        <v>3</v>
      </c>
      <c r="G13" s="1" t="s">
        <v>105</v>
      </c>
    </row>
    <row r="14" customFormat="false" ht="12.8" hidden="false" customHeight="true" outlineLevel="0" collapsed="false">
      <c r="A14" s="17" t="e">
        <f aca="false">A13+1</f>
        <v>#REF!</v>
      </c>
      <c r="B14" s="3" t="s">
        <v>6</v>
      </c>
      <c r="C14" s="33" t="s">
        <v>117</v>
      </c>
      <c r="D14" s="34" t="n">
        <v>25</v>
      </c>
      <c r="E14" s="1" t="e">
        <f aca="false">E13+F13</f>
        <v>#REF!</v>
      </c>
      <c r="F14" s="4" t="n">
        <v>3</v>
      </c>
      <c r="G14" s="1" t="s">
        <v>105</v>
      </c>
    </row>
    <row r="15" customFormat="false" ht="12.8" hidden="false" customHeight="true" outlineLevel="0" collapsed="false">
      <c r="A15" s="17" t="e">
        <f aca="false">A14+1</f>
        <v>#REF!</v>
      </c>
      <c r="B15" s="3" t="s">
        <v>6</v>
      </c>
      <c r="C15" s="33" t="s">
        <v>118</v>
      </c>
      <c r="D15" s="34" t="n">
        <v>25</v>
      </c>
      <c r="E15" s="1" t="e">
        <f aca="false">E14+F14</f>
        <v>#REF!</v>
      </c>
      <c r="F15" s="4" t="n">
        <v>3</v>
      </c>
      <c r="G15" s="1" t="s">
        <v>105</v>
      </c>
    </row>
    <row r="16" customFormat="false" ht="12.8" hidden="false" customHeight="true" outlineLevel="0" collapsed="false">
      <c r="A16" s="17" t="e">
        <f aca="false">A15+1</f>
        <v>#REF!</v>
      </c>
      <c r="B16" s="3" t="s">
        <v>6</v>
      </c>
      <c r="C16" s="33" t="s">
        <v>119</v>
      </c>
      <c r="D16" s="34" t="n">
        <v>50</v>
      </c>
      <c r="E16" s="1" t="e">
        <f aca="false">E15+F15</f>
        <v>#REF!</v>
      </c>
      <c r="F16" s="4" t="n">
        <v>3</v>
      </c>
      <c r="G16" s="1" t="s">
        <v>105</v>
      </c>
    </row>
    <row r="17" customFormat="false" ht="12.8" hidden="false" customHeight="true" outlineLevel="0" collapsed="false">
      <c r="A17" s="17" t="e">
        <f aca="false">A16+1</f>
        <v>#REF!</v>
      </c>
      <c r="B17" s="3" t="s">
        <v>6</v>
      </c>
      <c r="C17" s="33" t="s">
        <v>120</v>
      </c>
      <c r="D17" s="34" t="n">
        <v>25</v>
      </c>
      <c r="E17" s="1" t="e">
        <f aca="false">E16+F16</f>
        <v>#REF!</v>
      </c>
      <c r="F17" s="4" t="n">
        <v>3</v>
      </c>
      <c r="G17" s="1" t="s">
        <v>105</v>
      </c>
    </row>
    <row r="18" customFormat="false" ht="12.8" hidden="false" customHeight="true" outlineLevel="0" collapsed="false">
      <c r="A18" s="17" t="e">
        <f aca="false">A17+1</f>
        <v>#REF!</v>
      </c>
      <c r="B18" s="3" t="s">
        <v>6</v>
      </c>
      <c r="C18" s="33" t="s">
        <v>121</v>
      </c>
      <c r="D18" s="34" t="n">
        <v>25</v>
      </c>
      <c r="E18" s="1" t="e">
        <f aca="false">E17+F17</f>
        <v>#REF!</v>
      </c>
      <c r="F18" s="4" t="n">
        <v>3</v>
      </c>
      <c r="G18" s="1" t="s">
        <v>105</v>
      </c>
    </row>
    <row r="19" customFormat="false" ht="12.8" hidden="false" customHeight="true" outlineLevel="0" collapsed="false">
      <c r="A19" s="17" t="e">
        <f aca="false">A18+1</f>
        <v>#REF!</v>
      </c>
      <c r="B19" s="3" t="s">
        <v>6</v>
      </c>
      <c r="C19" s="33" t="s">
        <v>122</v>
      </c>
      <c r="D19" s="34" t="n">
        <v>25</v>
      </c>
      <c r="E19" s="1" t="e">
        <f aca="false">E18+F18</f>
        <v>#REF!</v>
      </c>
      <c r="F19" s="4" t="n">
        <v>3</v>
      </c>
      <c r="G19" s="1" t="s">
        <v>105</v>
      </c>
    </row>
    <row r="20" customFormat="false" ht="12.8" hidden="false" customHeight="true" outlineLevel="0" collapsed="false">
      <c r="A20" s="17" t="e">
        <f aca="false">A19+1</f>
        <v>#REF!</v>
      </c>
      <c r="B20" s="3" t="s">
        <v>6</v>
      </c>
      <c r="C20" s="33" t="s">
        <v>123</v>
      </c>
      <c r="D20" s="34" t="n">
        <v>2</v>
      </c>
      <c r="E20" s="1" t="e">
        <f aca="false">E19+F19</f>
        <v>#REF!</v>
      </c>
      <c r="F20" s="4" t="n">
        <v>3</v>
      </c>
      <c r="G20" s="1" t="s">
        <v>105</v>
      </c>
    </row>
    <row r="21" customFormat="false" ht="12.8" hidden="false" customHeight="true" outlineLevel="0" collapsed="false">
      <c r="A21" s="17" t="e">
        <f aca="false">A20+1</f>
        <v>#REF!</v>
      </c>
      <c r="B21" s="3" t="s">
        <v>6</v>
      </c>
      <c r="C21" s="33" t="s">
        <v>124</v>
      </c>
      <c r="D21" s="34" t="n">
        <v>2</v>
      </c>
      <c r="E21" s="1" t="e">
        <f aca="false">E20+F20</f>
        <v>#REF!</v>
      </c>
      <c r="F21" s="4" t="n">
        <v>3</v>
      </c>
      <c r="G21" s="1" t="s">
        <v>105</v>
      </c>
    </row>
    <row r="22" customFormat="false" ht="12.8" hidden="false" customHeight="true" outlineLevel="0" collapsed="false">
      <c r="A22" s="17" t="e">
        <f aca="false">A21+1</f>
        <v>#REF!</v>
      </c>
      <c r="B22" s="3" t="s">
        <v>6</v>
      </c>
      <c r="C22" s="33" t="s">
        <v>125</v>
      </c>
      <c r="D22" s="34" t="n">
        <v>4</v>
      </c>
      <c r="E22" s="1" t="e">
        <f aca="false">E21+F21</f>
        <v>#REF!</v>
      </c>
      <c r="F22" s="4" t="n">
        <v>3</v>
      </c>
      <c r="G22" s="1" t="s">
        <v>105</v>
      </c>
    </row>
    <row r="23" customFormat="false" ht="12.8" hidden="false" customHeight="true" outlineLevel="0" collapsed="false">
      <c r="A23" s="17" t="e">
        <f aca="false">A22+1</f>
        <v>#REF!</v>
      </c>
      <c r="B23" s="3" t="s">
        <v>6</v>
      </c>
      <c r="C23" s="33" t="s">
        <v>126</v>
      </c>
      <c r="D23" s="34" t="n">
        <v>2</v>
      </c>
      <c r="E23" s="1" t="e">
        <f aca="false">E22+F22</f>
        <v>#REF!</v>
      </c>
      <c r="F23" s="4" t="n">
        <v>3</v>
      </c>
      <c r="G23" s="1" t="s">
        <v>105</v>
      </c>
    </row>
    <row r="24" customFormat="false" ht="12.8" hidden="false" customHeight="true" outlineLevel="0" collapsed="false">
      <c r="A24" s="17" t="e">
        <f aca="false">A23+1</f>
        <v>#REF!</v>
      </c>
      <c r="B24" s="3" t="s">
        <v>6</v>
      </c>
      <c r="C24" s="33" t="s">
        <v>127</v>
      </c>
      <c r="D24" s="34" t="n">
        <v>2</v>
      </c>
      <c r="E24" s="1" t="e">
        <f aca="false">E23+F23</f>
        <v>#REF!</v>
      </c>
      <c r="F24" s="4" t="n">
        <v>3</v>
      </c>
      <c r="G24" s="1" t="s">
        <v>105</v>
      </c>
    </row>
    <row r="25" customFormat="false" ht="12.8" hidden="false" customHeight="true" outlineLevel="0" collapsed="false">
      <c r="A25" s="17" t="e">
        <f aca="false">A24+1</f>
        <v>#REF!</v>
      </c>
      <c r="B25" s="3" t="s">
        <v>6</v>
      </c>
      <c r="C25" s="33" t="s">
        <v>128</v>
      </c>
      <c r="D25" s="34" t="n">
        <v>2</v>
      </c>
      <c r="E25" s="1" t="e">
        <f aca="false">E24+F24</f>
        <v>#REF!</v>
      </c>
      <c r="F25" s="4" t="n">
        <v>3</v>
      </c>
      <c r="G25" s="1" t="s">
        <v>105</v>
      </c>
    </row>
    <row r="26" customFormat="false" ht="12.8" hidden="false" customHeight="true" outlineLevel="0" collapsed="false">
      <c r="A26" s="17" t="e">
        <f aca="false">A25+1</f>
        <v>#REF!</v>
      </c>
      <c r="B26" s="3" t="s">
        <v>6</v>
      </c>
      <c r="C26" s="33" t="s">
        <v>129</v>
      </c>
      <c r="D26" s="34" t="n">
        <v>2</v>
      </c>
      <c r="E26" s="1" t="e">
        <f aca="false">E25+F25</f>
        <v>#REF!</v>
      </c>
      <c r="F26" s="4" t="n">
        <v>3</v>
      </c>
      <c r="G26" s="1" t="s">
        <v>105</v>
      </c>
    </row>
    <row r="27" customFormat="false" ht="12.8" hidden="false" customHeight="true" outlineLevel="0" collapsed="false">
      <c r="A27" s="17" t="e">
        <f aca="false">A26+1</f>
        <v>#REF!</v>
      </c>
      <c r="B27" s="3" t="s">
        <v>6</v>
      </c>
      <c r="C27" s="33" t="s">
        <v>130</v>
      </c>
      <c r="D27" s="34" t="n">
        <v>2</v>
      </c>
      <c r="E27" s="1" t="e">
        <f aca="false">E26+F26</f>
        <v>#REF!</v>
      </c>
      <c r="F27" s="4" t="n">
        <v>3</v>
      </c>
      <c r="G27" s="1" t="s">
        <v>105</v>
      </c>
    </row>
    <row r="28" customFormat="false" ht="12.8" hidden="false" customHeight="true" outlineLevel="0" collapsed="false">
      <c r="A28" s="17" t="e">
        <f aca="false">A27+1</f>
        <v>#REF!</v>
      </c>
      <c r="B28" s="3" t="s">
        <v>6</v>
      </c>
      <c r="C28" s="33" t="s">
        <v>131</v>
      </c>
      <c r="D28" s="34" t="n">
        <v>4</v>
      </c>
      <c r="E28" s="1" t="e">
        <f aca="false">E27+F27</f>
        <v>#REF!</v>
      </c>
      <c r="F28" s="4" t="n">
        <v>3</v>
      </c>
      <c r="G28" s="1" t="s">
        <v>105</v>
      </c>
    </row>
    <row r="29" customFormat="false" ht="12.8" hidden="false" customHeight="true" outlineLevel="0" collapsed="false">
      <c r="A29" s="17" t="e">
        <f aca="false">A28+1</f>
        <v>#REF!</v>
      </c>
      <c r="B29" s="3" t="s">
        <v>6</v>
      </c>
      <c r="C29" s="33" t="s">
        <v>132</v>
      </c>
      <c r="D29" s="34" t="n">
        <v>1</v>
      </c>
      <c r="E29" s="1" t="e">
        <f aca="false">E28+F28</f>
        <v>#REF!</v>
      </c>
      <c r="F29" s="4" t="n">
        <v>3</v>
      </c>
      <c r="G29" s="1" t="s">
        <v>105</v>
      </c>
    </row>
    <row r="30" customFormat="false" ht="12.8" hidden="false" customHeight="true" outlineLevel="0" collapsed="false">
      <c r="A30" s="17" t="e">
        <f aca="false">A29+1</f>
        <v>#REF!</v>
      </c>
      <c r="B30" s="3" t="s">
        <v>6</v>
      </c>
      <c r="C30" s="33" t="s">
        <v>133</v>
      </c>
      <c r="D30" s="34" t="n">
        <v>2</v>
      </c>
      <c r="E30" s="1" t="e">
        <f aca="false">E29+F29</f>
        <v>#REF!</v>
      </c>
      <c r="F30" s="4" t="n">
        <v>3</v>
      </c>
      <c r="G30" s="1" t="s">
        <v>105</v>
      </c>
    </row>
    <row r="31" customFormat="false" ht="12.8" hidden="false" customHeight="true" outlineLevel="0" collapsed="false">
      <c r="A31" s="17" t="e">
        <f aca="false">A30+1</f>
        <v>#REF!</v>
      </c>
      <c r="B31" s="3" t="s">
        <v>6</v>
      </c>
      <c r="C31" s="33" t="s">
        <v>134</v>
      </c>
      <c r="D31" s="34" t="n">
        <v>2</v>
      </c>
      <c r="E31" s="1" t="e">
        <f aca="false">E30+F30</f>
        <v>#REF!</v>
      </c>
      <c r="F31" s="4" t="n">
        <v>3</v>
      </c>
      <c r="G31" s="1" t="s">
        <v>105</v>
      </c>
    </row>
    <row r="32" customFormat="false" ht="12.8" hidden="false" customHeight="true" outlineLevel="0" collapsed="false">
      <c r="A32" s="17" t="e">
        <f aca="false">A31+1</f>
        <v>#REF!</v>
      </c>
      <c r="B32" s="3" t="s">
        <v>6</v>
      </c>
      <c r="C32" s="33" t="s">
        <v>135</v>
      </c>
      <c r="D32" s="34" t="n">
        <v>1</v>
      </c>
      <c r="E32" s="1" t="e">
        <f aca="false">E31+F31</f>
        <v>#REF!</v>
      </c>
      <c r="F32" s="4" t="n">
        <v>3</v>
      </c>
      <c r="G32" s="1" t="s">
        <v>105</v>
      </c>
    </row>
    <row r="33" customFormat="false" ht="12.8" hidden="false" customHeight="true" outlineLevel="0" collapsed="false">
      <c r="A33" s="17" t="e">
        <f aca="false">A32+1</f>
        <v>#REF!</v>
      </c>
      <c r="B33" s="3" t="s">
        <v>6</v>
      </c>
      <c r="C33" s="33" t="s">
        <v>136</v>
      </c>
      <c r="D33" s="34" t="n">
        <v>1</v>
      </c>
      <c r="E33" s="1" t="e">
        <f aca="false">E32+F32</f>
        <v>#REF!</v>
      </c>
      <c r="F33" s="4" t="n">
        <v>3</v>
      </c>
      <c r="G33" s="1" t="s">
        <v>105</v>
      </c>
    </row>
    <row r="34" customFormat="false" ht="12.8" hidden="false" customHeight="true" outlineLevel="0" collapsed="false">
      <c r="A34" s="17" t="e">
        <f aca="false">A33+1</f>
        <v>#REF!</v>
      </c>
      <c r="B34" s="3" t="s">
        <v>6</v>
      </c>
      <c r="C34" s="33" t="s">
        <v>137</v>
      </c>
      <c r="D34" s="34" t="n">
        <v>2</v>
      </c>
      <c r="E34" s="1" t="e">
        <f aca="false">E33+F33</f>
        <v>#REF!</v>
      </c>
      <c r="F34" s="4" t="n">
        <v>3</v>
      </c>
      <c r="G34" s="1" t="s">
        <v>105</v>
      </c>
    </row>
    <row r="35" customFormat="false" ht="12.8" hidden="false" customHeight="true" outlineLevel="0" collapsed="false">
      <c r="A35" s="17" t="e">
        <f aca="false">A34+1</f>
        <v>#REF!</v>
      </c>
      <c r="B35" s="3" t="s">
        <v>6</v>
      </c>
      <c r="C35" s="33" t="s">
        <v>138</v>
      </c>
      <c r="D35" s="34" t="n">
        <v>1</v>
      </c>
      <c r="E35" s="1" t="e">
        <f aca="false">E34+F34</f>
        <v>#REF!</v>
      </c>
      <c r="F35" s="4" t="n">
        <v>3</v>
      </c>
      <c r="G35" s="1" t="s">
        <v>105</v>
      </c>
    </row>
    <row r="36" customFormat="false" ht="12.8" hidden="false" customHeight="true" outlineLevel="0" collapsed="false">
      <c r="A36" s="17" t="e">
        <f aca="false">A35+1</f>
        <v>#REF!</v>
      </c>
      <c r="B36" s="3" t="s">
        <v>6</v>
      </c>
      <c r="C36" s="33" t="s">
        <v>139</v>
      </c>
      <c r="D36" s="34" t="n">
        <v>1</v>
      </c>
      <c r="E36" s="1" t="e">
        <f aca="false">E35+F35</f>
        <v>#REF!</v>
      </c>
      <c r="F36" s="4" t="n">
        <v>3</v>
      </c>
      <c r="G36" s="1" t="s">
        <v>105</v>
      </c>
    </row>
    <row r="37" customFormat="false" ht="12.8" hidden="false" customHeight="true" outlineLevel="0" collapsed="false">
      <c r="A37" s="17" t="e">
        <f aca="false">A36+1</f>
        <v>#REF!</v>
      </c>
      <c r="B37" s="3" t="s">
        <v>6</v>
      </c>
      <c r="C37" s="33" t="s">
        <v>140</v>
      </c>
      <c r="D37" s="34" t="n">
        <v>1</v>
      </c>
      <c r="E37" s="1" t="e">
        <f aca="false">E36+F36</f>
        <v>#REF!</v>
      </c>
      <c r="F37" s="4" t="n">
        <v>3</v>
      </c>
      <c r="G37" s="1" t="s">
        <v>105</v>
      </c>
    </row>
    <row r="38" customFormat="false" ht="12.8" hidden="false" customHeight="true" outlineLevel="0" collapsed="false">
      <c r="A38" s="17" t="e">
        <f aca="false">A37+1</f>
        <v>#REF!</v>
      </c>
      <c r="B38" s="3" t="s">
        <v>6</v>
      </c>
      <c r="C38" s="33" t="s">
        <v>141</v>
      </c>
      <c r="D38" s="34" t="n">
        <v>1</v>
      </c>
      <c r="E38" s="1" t="e">
        <f aca="false">E37+F37</f>
        <v>#REF!</v>
      </c>
      <c r="F38" s="4" t="n">
        <v>3</v>
      </c>
      <c r="G38" s="1" t="s">
        <v>105</v>
      </c>
    </row>
    <row r="39" customFormat="false" ht="12.8" hidden="false" customHeight="true" outlineLevel="0" collapsed="false">
      <c r="A39" s="17" t="e">
        <f aca="false">A38+1</f>
        <v>#REF!</v>
      </c>
      <c r="B39" s="5" t="s">
        <v>7</v>
      </c>
      <c r="C39" s="33" t="s">
        <v>142</v>
      </c>
      <c r="D39" s="34" t="n">
        <v>1</v>
      </c>
      <c r="E39" s="1" t="e">
        <f aca="false">E38+F38</f>
        <v>#REF!</v>
      </c>
      <c r="F39" s="4" t="n">
        <v>3</v>
      </c>
      <c r="G39" s="1" t="s">
        <v>105</v>
      </c>
    </row>
    <row r="40" customFormat="false" ht="12.8" hidden="false" customHeight="true" outlineLevel="0" collapsed="false">
      <c r="A40" s="17" t="e">
        <f aca="false">A39+1</f>
        <v>#REF!</v>
      </c>
      <c r="B40" s="5" t="s">
        <v>7</v>
      </c>
      <c r="C40" s="33" t="s">
        <v>143</v>
      </c>
      <c r="D40" s="34" t="n">
        <v>1</v>
      </c>
      <c r="E40" s="1" t="e">
        <f aca="false">E39+F39</f>
        <v>#REF!</v>
      </c>
      <c r="F40" s="4" t="n">
        <v>3</v>
      </c>
      <c r="G40" s="1" t="s">
        <v>105</v>
      </c>
    </row>
    <row r="41" customFormat="false" ht="12.8" hidden="false" customHeight="true" outlineLevel="0" collapsed="false">
      <c r="A41" s="17" t="e">
        <f aca="false">A40+1</f>
        <v>#REF!</v>
      </c>
      <c r="B41" s="5" t="s">
        <v>7</v>
      </c>
      <c r="C41" s="33" t="s">
        <v>144</v>
      </c>
      <c r="D41" s="34" t="n">
        <v>2</v>
      </c>
      <c r="E41" s="1" t="e">
        <f aca="false">E40+F40</f>
        <v>#REF!</v>
      </c>
      <c r="F41" s="4" t="n">
        <v>3</v>
      </c>
      <c r="G41" s="1" t="s">
        <v>105</v>
      </c>
    </row>
    <row r="42" customFormat="false" ht="12.8" hidden="false" customHeight="true" outlineLevel="0" collapsed="false">
      <c r="A42" s="17" t="e">
        <f aca="false">A41+1</f>
        <v>#REF!</v>
      </c>
      <c r="B42" s="5" t="s">
        <v>7</v>
      </c>
      <c r="C42" s="33" t="s">
        <v>145</v>
      </c>
      <c r="D42" s="34" t="n">
        <v>2</v>
      </c>
      <c r="E42" s="1" t="e">
        <f aca="false">E41+F41</f>
        <v>#REF!</v>
      </c>
      <c r="F42" s="4" t="n">
        <v>3</v>
      </c>
      <c r="G42" s="1" t="s">
        <v>105</v>
      </c>
    </row>
    <row r="43" customFormat="false" ht="12.8" hidden="false" customHeight="true" outlineLevel="0" collapsed="false">
      <c r="A43" s="17" t="e">
        <f aca="false">A42+1</f>
        <v>#REF!</v>
      </c>
      <c r="B43" s="5" t="s">
        <v>7</v>
      </c>
      <c r="C43" s="33" t="s">
        <v>146</v>
      </c>
      <c r="D43" s="34" t="n">
        <v>1</v>
      </c>
      <c r="E43" s="1" t="e">
        <f aca="false">E42+F42</f>
        <v>#REF!</v>
      </c>
      <c r="F43" s="4" t="n">
        <v>3</v>
      </c>
      <c r="G43" s="1" t="s">
        <v>105</v>
      </c>
    </row>
    <row r="44" customFormat="false" ht="12.8" hidden="false" customHeight="true" outlineLevel="0" collapsed="false">
      <c r="A44" s="17" t="e">
        <f aca="false">A43+1</f>
        <v>#REF!</v>
      </c>
      <c r="B44" s="5" t="s">
        <v>7</v>
      </c>
      <c r="C44" s="33" t="s">
        <v>147</v>
      </c>
      <c r="D44" s="34" t="n">
        <v>25</v>
      </c>
      <c r="E44" s="1" t="e">
        <f aca="false">E43+F43</f>
        <v>#REF!</v>
      </c>
      <c r="F44" s="4" t="n">
        <v>3</v>
      </c>
      <c r="G44" s="1" t="s">
        <v>105</v>
      </c>
    </row>
    <row r="45" customFormat="false" ht="12.8" hidden="false" customHeight="true" outlineLevel="0" collapsed="false">
      <c r="A45" s="17" t="e">
        <f aca="false">A44+1</f>
        <v>#REF!</v>
      </c>
      <c r="B45" s="5" t="s">
        <v>7</v>
      </c>
      <c r="C45" s="33" t="s">
        <v>148</v>
      </c>
      <c r="D45" s="34" t="n">
        <v>25</v>
      </c>
      <c r="E45" s="1" t="e">
        <f aca="false">E44+F44</f>
        <v>#REF!</v>
      </c>
      <c r="F45" s="4" t="n">
        <v>3</v>
      </c>
      <c r="G45" s="1" t="s">
        <v>105</v>
      </c>
    </row>
    <row r="46" customFormat="false" ht="12.8" hidden="false" customHeight="true" outlineLevel="0" collapsed="false">
      <c r="A46" s="17" t="e">
        <f aca="false">A45+1</f>
        <v>#REF!</v>
      </c>
      <c r="B46" s="5" t="s">
        <v>7</v>
      </c>
      <c r="C46" s="33" t="s">
        <v>149</v>
      </c>
      <c r="D46" s="34" t="n">
        <v>50</v>
      </c>
      <c r="E46" s="1" t="e">
        <f aca="false">E45+F45</f>
        <v>#REF!</v>
      </c>
      <c r="F46" s="4" t="n">
        <v>3</v>
      </c>
      <c r="G46" s="1" t="s">
        <v>105</v>
      </c>
    </row>
    <row r="47" customFormat="false" ht="12.8" hidden="false" customHeight="true" outlineLevel="0" collapsed="false">
      <c r="A47" s="17" t="e">
        <f aca="false">A46+1</f>
        <v>#REF!</v>
      </c>
      <c r="B47" s="5" t="s">
        <v>7</v>
      </c>
      <c r="C47" s="33" t="s">
        <v>150</v>
      </c>
      <c r="D47" s="34" t="n">
        <v>50</v>
      </c>
      <c r="E47" s="1" t="e">
        <f aca="false">E46+F46</f>
        <v>#REF!</v>
      </c>
      <c r="F47" s="4" t="n">
        <v>3</v>
      </c>
      <c r="G47" s="1" t="s">
        <v>105</v>
      </c>
    </row>
    <row r="48" customFormat="false" ht="12.8" hidden="false" customHeight="true" outlineLevel="0" collapsed="false">
      <c r="A48" s="17" t="e">
        <f aca="false">A47+1</f>
        <v>#REF!</v>
      </c>
      <c r="B48" s="5" t="s">
        <v>7</v>
      </c>
      <c r="C48" s="33" t="s">
        <v>151</v>
      </c>
      <c r="D48" s="34" t="n">
        <v>25</v>
      </c>
      <c r="E48" s="1" t="e">
        <f aca="false">E47+F47</f>
        <v>#REF!</v>
      </c>
      <c r="F48" s="4" t="n">
        <v>3</v>
      </c>
      <c r="G48" s="1" t="s">
        <v>105</v>
      </c>
    </row>
    <row r="49" customFormat="false" ht="12.8" hidden="false" customHeight="true" outlineLevel="0" collapsed="false">
      <c r="A49" s="17" t="e">
        <f aca="false">A48+1</f>
        <v>#REF!</v>
      </c>
      <c r="B49" s="5" t="s">
        <v>7</v>
      </c>
      <c r="C49" s="33" t="s">
        <v>152</v>
      </c>
      <c r="D49" s="34" t="n">
        <v>24</v>
      </c>
      <c r="E49" s="1" t="e">
        <f aca="false">E48+F48</f>
        <v>#REF!</v>
      </c>
      <c r="F49" s="4" t="n">
        <v>3</v>
      </c>
      <c r="G49" s="1" t="s">
        <v>105</v>
      </c>
    </row>
    <row r="50" customFormat="false" ht="12.8" hidden="false" customHeight="true" outlineLevel="0" collapsed="false">
      <c r="A50" s="17" t="e">
        <f aca="false">A49+1</f>
        <v>#REF!</v>
      </c>
      <c r="B50" s="5" t="s">
        <v>7</v>
      </c>
      <c r="C50" s="33" t="s">
        <v>153</v>
      </c>
      <c r="D50" s="34" t="n">
        <v>25</v>
      </c>
      <c r="E50" s="1" t="e">
        <f aca="false">E49+F49</f>
        <v>#REF!</v>
      </c>
      <c r="F50" s="4" t="n">
        <v>3</v>
      </c>
      <c r="G50" s="1" t="s">
        <v>105</v>
      </c>
    </row>
    <row r="51" customFormat="false" ht="12.8" hidden="false" customHeight="true" outlineLevel="0" collapsed="false">
      <c r="A51" s="17" t="e">
        <f aca="false">A50+1</f>
        <v>#REF!</v>
      </c>
      <c r="B51" s="5" t="s">
        <v>7</v>
      </c>
      <c r="C51" s="33" t="s">
        <v>154</v>
      </c>
      <c r="D51" s="34" t="n">
        <v>50</v>
      </c>
      <c r="E51" s="1" t="e">
        <f aca="false">E50+F50</f>
        <v>#REF!</v>
      </c>
      <c r="F51" s="4" t="n">
        <v>3</v>
      </c>
      <c r="G51" s="1" t="s">
        <v>105</v>
      </c>
    </row>
    <row r="52" customFormat="false" ht="12.8" hidden="false" customHeight="true" outlineLevel="0" collapsed="false">
      <c r="A52" s="17" t="e">
        <f aca="false">A51+1</f>
        <v>#REF!</v>
      </c>
      <c r="B52" s="5" t="s">
        <v>7</v>
      </c>
      <c r="C52" s="33" t="s">
        <v>155</v>
      </c>
      <c r="D52" s="34" t="n">
        <v>50</v>
      </c>
      <c r="E52" s="1" t="e">
        <f aca="false">E51+F51</f>
        <v>#REF!</v>
      </c>
      <c r="F52" s="4" t="n">
        <v>3</v>
      </c>
      <c r="G52" s="1" t="s">
        <v>105</v>
      </c>
    </row>
    <row r="53" customFormat="false" ht="12.8" hidden="false" customHeight="true" outlineLevel="0" collapsed="false">
      <c r="A53" s="17" t="e">
        <f aca="false">A52+1</f>
        <v>#REF!</v>
      </c>
      <c r="B53" s="5" t="s">
        <v>7</v>
      </c>
      <c r="C53" s="33" t="s">
        <v>156</v>
      </c>
      <c r="D53" s="34" t="n">
        <v>25</v>
      </c>
      <c r="E53" s="1" t="e">
        <f aca="false">E52+F52</f>
        <v>#REF!</v>
      </c>
      <c r="F53" s="4" t="n">
        <v>3</v>
      </c>
      <c r="G53" s="1" t="s">
        <v>105</v>
      </c>
    </row>
    <row r="54" customFormat="false" ht="12.8" hidden="false" customHeight="true" outlineLevel="0" collapsed="false">
      <c r="A54" s="17" t="e">
        <f aca="false">A53+1</f>
        <v>#REF!</v>
      </c>
      <c r="B54" s="5" t="s">
        <v>7</v>
      </c>
      <c r="C54" s="33" t="s">
        <v>157</v>
      </c>
      <c r="D54" s="34" t="n">
        <v>2</v>
      </c>
      <c r="E54" s="1" t="e">
        <f aca="false">E53+F53</f>
        <v>#REF!</v>
      </c>
      <c r="F54" s="4" t="n">
        <v>3</v>
      </c>
      <c r="G54" s="1" t="s">
        <v>105</v>
      </c>
    </row>
    <row r="55" customFormat="false" ht="12.8" hidden="false" customHeight="true" outlineLevel="0" collapsed="false">
      <c r="A55" s="17" t="e">
        <f aca="false">A54+1</f>
        <v>#REF!</v>
      </c>
      <c r="B55" s="5" t="s">
        <v>7</v>
      </c>
      <c r="C55" s="33" t="s">
        <v>158</v>
      </c>
      <c r="D55" s="34" t="n">
        <v>2</v>
      </c>
      <c r="E55" s="1" t="e">
        <f aca="false">E54+F54</f>
        <v>#REF!</v>
      </c>
      <c r="F55" s="4" t="n">
        <v>3</v>
      </c>
      <c r="G55" s="1" t="s">
        <v>105</v>
      </c>
    </row>
    <row r="56" customFormat="false" ht="12.8" hidden="false" customHeight="true" outlineLevel="0" collapsed="false">
      <c r="A56" s="17" t="e">
        <f aca="false">A55+1</f>
        <v>#REF!</v>
      </c>
      <c r="B56" s="5" t="s">
        <v>7</v>
      </c>
      <c r="C56" s="33" t="s">
        <v>159</v>
      </c>
      <c r="D56" s="34" t="n">
        <v>4</v>
      </c>
      <c r="E56" s="1" t="e">
        <f aca="false">E55+F55</f>
        <v>#REF!</v>
      </c>
      <c r="F56" s="4" t="n">
        <v>3</v>
      </c>
      <c r="G56" s="1" t="s">
        <v>105</v>
      </c>
    </row>
    <row r="57" customFormat="false" ht="12.8" hidden="false" customHeight="true" outlineLevel="0" collapsed="false">
      <c r="A57" s="17" t="e">
        <f aca="false">A56+1</f>
        <v>#REF!</v>
      </c>
      <c r="B57" s="5" t="s">
        <v>7</v>
      </c>
      <c r="C57" s="33" t="s">
        <v>160</v>
      </c>
      <c r="D57" s="34" t="n">
        <v>4</v>
      </c>
      <c r="E57" s="1" t="e">
        <f aca="false">E56+F56</f>
        <v>#REF!</v>
      </c>
      <c r="F57" s="4" t="n">
        <v>3</v>
      </c>
      <c r="G57" s="1" t="s">
        <v>105</v>
      </c>
    </row>
    <row r="58" customFormat="false" ht="12.8" hidden="false" customHeight="true" outlineLevel="0" collapsed="false">
      <c r="A58" s="17" t="e">
        <f aca="false">A57+1</f>
        <v>#REF!</v>
      </c>
      <c r="B58" s="5" t="s">
        <v>7</v>
      </c>
      <c r="C58" s="33" t="s">
        <v>161</v>
      </c>
      <c r="D58" s="34" t="n">
        <v>2</v>
      </c>
      <c r="E58" s="1" t="e">
        <f aca="false">E57+F57</f>
        <v>#REF!</v>
      </c>
      <c r="F58" s="4" t="n">
        <v>3</v>
      </c>
      <c r="G58" s="1" t="s">
        <v>105</v>
      </c>
    </row>
    <row r="59" customFormat="false" ht="12.8" hidden="false" customHeight="true" outlineLevel="0" collapsed="false">
      <c r="A59" s="17" t="e">
        <f aca="false">A58+1</f>
        <v>#REF!</v>
      </c>
      <c r="B59" s="5" t="s">
        <v>7</v>
      </c>
      <c r="C59" s="33" t="s">
        <v>162</v>
      </c>
      <c r="D59" s="34" t="n">
        <v>2</v>
      </c>
      <c r="E59" s="1" t="e">
        <f aca="false">E58+F58</f>
        <v>#REF!</v>
      </c>
      <c r="F59" s="4" t="n">
        <v>3</v>
      </c>
      <c r="G59" s="1" t="s">
        <v>105</v>
      </c>
    </row>
    <row r="60" customFormat="false" ht="12.8" hidden="false" customHeight="true" outlineLevel="0" collapsed="false">
      <c r="A60" s="17" t="e">
        <f aca="false">A59+1</f>
        <v>#REF!</v>
      </c>
      <c r="B60" s="5" t="s">
        <v>7</v>
      </c>
      <c r="C60" s="33" t="s">
        <v>163</v>
      </c>
      <c r="D60" s="34" t="n">
        <v>2</v>
      </c>
      <c r="E60" s="1" t="e">
        <f aca="false">E59+F59</f>
        <v>#REF!</v>
      </c>
      <c r="F60" s="4" t="n">
        <v>3</v>
      </c>
      <c r="G60" s="1" t="s">
        <v>105</v>
      </c>
    </row>
    <row r="61" customFormat="false" ht="12.8" hidden="false" customHeight="true" outlineLevel="0" collapsed="false">
      <c r="A61" s="17" t="e">
        <f aca="false">A60+1</f>
        <v>#REF!</v>
      </c>
      <c r="B61" s="5" t="s">
        <v>7</v>
      </c>
      <c r="C61" s="33" t="s">
        <v>164</v>
      </c>
      <c r="D61" s="34" t="n">
        <v>4</v>
      </c>
      <c r="E61" s="1" t="e">
        <f aca="false">E60+F60</f>
        <v>#REF!</v>
      </c>
      <c r="F61" s="4" t="n">
        <v>3</v>
      </c>
      <c r="G61" s="1" t="s">
        <v>105</v>
      </c>
    </row>
    <row r="62" customFormat="false" ht="12.8" hidden="false" customHeight="true" outlineLevel="0" collapsed="false">
      <c r="A62" s="17" t="e">
        <f aca="false">A61+1</f>
        <v>#REF!</v>
      </c>
      <c r="B62" s="5" t="s">
        <v>7</v>
      </c>
      <c r="C62" s="33" t="s">
        <v>165</v>
      </c>
      <c r="D62" s="34" t="n">
        <v>4</v>
      </c>
      <c r="E62" s="1" t="e">
        <f aca="false">E61+F61</f>
        <v>#REF!</v>
      </c>
      <c r="F62" s="4" t="n">
        <v>3</v>
      </c>
      <c r="G62" s="1" t="s">
        <v>105</v>
      </c>
    </row>
    <row r="63" customFormat="false" ht="12.8" hidden="false" customHeight="true" outlineLevel="0" collapsed="false">
      <c r="A63" s="17" t="e">
        <f aca="false">A62+1</f>
        <v>#REF!</v>
      </c>
      <c r="B63" s="5" t="s">
        <v>7</v>
      </c>
      <c r="C63" s="33" t="s">
        <v>166</v>
      </c>
      <c r="D63" s="34" t="n">
        <v>2</v>
      </c>
      <c r="E63" s="1" t="e">
        <f aca="false">E62+F62</f>
        <v>#REF!</v>
      </c>
      <c r="F63" s="4" t="n">
        <v>3</v>
      </c>
      <c r="G63" s="1" t="s">
        <v>105</v>
      </c>
    </row>
    <row r="64" customFormat="false" ht="12.8" hidden="false" customHeight="true" outlineLevel="0" collapsed="false">
      <c r="A64" s="17" t="e">
        <f aca="false">A63+1</f>
        <v>#REF!</v>
      </c>
      <c r="B64" s="5" t="s">
        <v>7</v>
      </c>
      <c r="C64" s="33" t="s">
        <v>167</v>
      </c>
      <c r="D64" s="34" t="n">
        <v>1</v>
      </c>
      <c r="E64" s="1" t="e">
        <f aca="false">E63+F63</f>
        <v>#REF!</v>
      </c>
      <c r="F64" s="4" t="n">
        <v>3</v>
      </c>
      <c r="G64" s="1" t="s">
        <v>105</v>
      </c>
    </row>
    <row r="65" customFormat="false" ht="12.8" hidden="false" customHeight="true" outlineLevel="0" collapsed="false">
      <c r="A65" s="17" t="e">
        <f aca="false">A64+1</f>
        <v>#REF!</v>
      </c>
      <c r="B65" s="5" t="s">
        <v>7</v>
      </c>
      <c r="C65" s="33" t="s">
        <v>168</v>
      </c>
      <c r="D65" s="34" t="n">
        <v>2</v>
      </c>
      <c r="E65" s="1" t="e">
        <f aca="false">E64+F64</f>
        <v>#REF!</v>
      </c>
      <c r="F65" s="4" t="n">
        <v>3</v>
      </c>
      <c r="G65" s="1" t="s">
        <v>105</v>
      </c>
    </row>
    <row r="66" customFormat="false" ht="12.8" hidden="false" customHeight="true" outlineLevel="0" collapsed="false">
      <c r="A66" s="17" t="e">
        <f aca="false">A65+1</f>
        <v>#REF!</v>
      </c>
      <c r="B66" s="5" t="s">
        <v>7</v>
      </c>
      <c r="C66" s="33" t="s">
        <v>169</v>
      </c>
      <c r="D66" s="34" t="n">
        <v>2</v>
      </c>
      <c r="E66" s="1" t="e">
        <f aca="false">E65+F65</f>
        <v>#REF!</v>
      </c>
      <c r="F66" s="4" t="n">
        <v>3</v>
      </c>
      <c r="G66" s="1" t="s">
        <v>105</v>
      </c>
    </row>
    <row r="67" customFormat="false" ht="12.8" hidden="false" customHeight="true" outlineLevel="0" collapsed="false">
      <c r="A67" s="17" t="e">
        <f aca="false">A66+1</f>
        <v>#REF!</v>
      </c>
      <c r="B67" s="5" t="s">
        <v>7</v>
      </c>
      <c r="C67" s="33" t="s">
        <v>170</v>
      </c>
      <c r="D67" s="34" t="n">
        <v>2</v>
      </c>
      <c r="E67" s="1" t="e">
        <f aca="false">E66+F66</f>
        <v>#REF!</v>
      </c>
      <c r="F67" s="4" t="n">
        <v>3</v>
      </c>
      <c r="G67" s="1" t="s">
        <v>105</v>
      </c>
    </row>
    <row r="68" customFormat="false" ht="12.8" hidden="false" customHeight="true" outlineLevel="0" collapsed="false">
      <c r="A68" s="17" t="e">
        <f aca="false">A67+1</f>
        <v>#REF!</v>
      </c>
      <c r="B68" s="5" t="s">
        <v>7</v>
      </c>
      <c r="C68" s="33" t="s">
        <v>171</v>
      </c>
      <c r="D68" s="34" t="n">
        <v>1</v>
      </c>
      <c r="E68" s="1" t="e">
        <f aca="false">E67+F67</f>
        <v>#REF!</v>
      </c>
      <c r="F68" s="4" t="n">
        <v>3</v>
      </c>
      <c r="G68" s="1" t="s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1"/>
    <col collapsed="false" customWidth="true" hidden="false" outlineLevel="0" max="2" min="2" style="1" width="6.36"/>
    <col collapsed="false" customWidth="true" hidden="false" outlineLevel="0" max="3" min="3" style="1" width="6.99"/>
    <col collapsed="false" customWidth="true" hidden="false" outlineLevel="0" max="4" min="4" style="1" width="6.18"/>
    <col collapsed="false" customWidth="true" hidden="false" outlineLevel="0" max="5" min="5" style="1" width="6.63"/>
    <col collapsed="false" customWidth="true" hidden="false" outlineLevel="0" max="6" min="6" style="1" width="7.99"/>
    <col collapsed="false" customWidth="true" hidden="false" outlineLevel="0" max="7" min="7" style="1" width="7.54"/>
    <col collapsed="false" customWidth="true" hidden="false" outlineLevel="0" max="8" min="8" style="1" width="8.89"/>
    <col collapsed="false" customWidth="true" hidden="false" outlineLevel="0" max="9" min="9" style="1" width="7.09"/>
    <col collapsed="false" customWidth="true" hidden="false" outlineLevel="0" max="10" min="10" style="1" width="7.72"/>
    <col collapsed="false" customWidth="true" hidden="false" outlineLevel="0" max="11" min="11" style="1" width="7.9"/>
    <col collapsed="false" customWidth="true" hidden="false" outlineLevel="0" max="12" min="12" style="1" width="8.26"/>
    <col collapsed="false" customWidth="true" hidden="false" outlineLevel="0" max="13" min="13" style="1" width="7.36"/>
    <col collapsed="false" customWidth="true" hidden="false" outlineLevel="0" max="14" min="14" style="1" width="7.81"/>
    <col collapsed="false" customWidth="true" hidden="false" outlineLevel="0" max="15" min="15" style="1" width="8.17"/>
  </cols>
  <sheetData>
    <row r="1" s="36" customFormat="true" ht="207.8" hidden="false" customHeight="true" outlineLevel="0" collapsed="false">
      <c r="A1" s="35" t="s">
        <v>172</v>
      </c>
      <c r="B1" s="35" t="s">
        <v>173</v>
      </c>
      <c r="C1" s="35" t="s">
        <v>174</v>
      </c>
      <c r="D1" s="35" t="s">
        <v>175</v>
      </c>
      <c r="E1" s="35" t="s">
        <v>176</v>
      </c>
      <c r="F1" s="35" t="s">
        <v>177</v>
      </c>
      <c r="G1" s="35" t="s">
        <v>178</v>
      </c>
      <c r="H1" s="35" t="s">
        <v>179</v>
      </c>
      <c r="I1" s="35" t="s">
        <v>180</v>
      </c>
      <c r="J1" s="35" t="s">
        <v>181</v>
      </c>
      <c r="K1" s="35" t="s">
        <v>182</v>
      </c>
      <c r="L1" s="35" t="s">
        <v>183</v>
      </c>
      <c r="M1" s="35" t="s">
        <v>184</v>
      </c>
      <c r="N1" s="35" t="s">
        <v>185</v>
      </c>
      <c r="O1" s="35" t="s">
        <v>186</v>
      </c>
    </row>
    <row r="2" customFormat="false" ht="12.8" hidden="false" customHeight="false" outlineLevel="0" collapsed="false">
      <c r="A2" s="1" t="s">
        <v>187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0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</row>
    <row r="3" customFormat="false" ht="12.8" hidden="false" customHeight="false" outlineLevel="0" collapsed="false">
      <c r="A3" s="1" t="s">
        <v>188</v>
      </c>
      <c r="B3" s="1" t="n">
        <v>0</v>
      </c>
      <c r="C3" s="1" t="n">
        <v>1</v>
      </c>
      <c r="D3" s="1" t="n">
        <v>1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1</v>
      </c>
      <c r="M3" s="1" t="n">
        <v>0</v>
      </c>
      <c r="N3" s="1" t="n">
        <v>1</v>
      </c>
      <c r="O3" s="1" t="n">
        <v>1</v>
      </c>
    </row>
    <row r="4" customFormat="false" ht="12.8" hidden="false" customHeight="false" outlineLevel="0" collapsed="false">
      <c r="A4" s="1" t="s">
        <v>189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1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33" activeCellId="0" sqref="L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94"/>
    <col collapsed="false" customWidth="true" hidden="false" outlineLevel="0" max="2" min="2" style="1" width="16.37"/>
    <col collapsed="false" customWidth="true" hidden="false" outlineLevel="0" max="4" min="4" style="1" width="15.61"/>
    <col collapsed="false" customWidth="true" hidden="false" outlineLevel="0" max="5" min="5" style="1" width="16.37"/>
    <col collapsed="false" customWidth="true" hidden="false" outlineLevel="0" max="6" min="6" style="4" width="22.98"/>
  </cols>
  <sheetData>
    <row r="1" customFormat="false" ht="12.8" hidden="false" customHeight="false" outlineLevel="0" collapsed="false">
      <c r="A1" s="8" t="s">
        <v>190</v>
      </c>
      <c r="B1" s="8" t="s">
        <v>191</v>
      </c>
      <c r="C1" s="8" t="s">
        <v>192</v>
      </c>
      <c r="D1" s="8" t="s">
        <v>193</v>
      </c>
      <c r="E1" s="8" t="s">
        <v>56</v>
      </c>
      <c r="F1" s="8" t="s">
        <v>194</v>
      </c>
      <c r="G1" s="8" t="s">
        <v>195</v>
      </c>
    </row>
    <row r="2" customFormat="false" ht="12.8" hidden="false" customHeight="false" outlineLevel="0" collapsed="false">
      <c r="A2" s="1" t="n">
        <v>0</v>
      </c>
      <c r="B2" s="1" t="n">
        <v>0</v>
      </c>
      <c r="C2" s="37" t="n">
        <v>0</v>
      </c>
      <c r="D2" s="1" t="n">
        <v>0</v>
      </c>
      <c r="F2" s="12"/>
      <c r="G2" s="1" t="n">
        <v>0</v>
      </c>
      <c r="J2" s="1"/>
      <c r="K2" s="1"/>
      <c r="L2" s="37"/>
      <c r="M2" s="1"/>
    </row>
    <row r="3" customFormat="false" ht="12.8" hidden="false" customHeight="false" outlineLevel="0" collapsed="false">
      <c r="A3" s="1" t="s">
        <v>196</v>
      </c>
      <c r="B3" s="1" t="s">
        <v>196</v>
      </c>
      <c r="C3" s="37" t="n">
        <v>67.52</v>
      </c>
      <c r="D3" s="1" t="n">
        <v>68</v>
      </c>
      <c r="F3" s="12"/>
      <c r="G3" s="1" t="n">
        <v>185</v>
      </c>
      <c r="J3" s="1"/>
      <c r="K3" s="1"/>
      <c r="L3" s="37"/>
      <c r="M3" s="1"/>
    </row>
    <row r="4" customFormat="false" ht="12.8" hidden="false" customHeight="false" outlineLevel="0" collapsed="false">
      <c r="A4" s="1" t="s">
        <v>197</v>
      </c>
      <c r="B4" s="1" t="s">
        <v>197</v>
      </c>
      <c r="C4" s="37" t="n">
        <v>62</v>
      </c>
      <c r="D4" s="1" t="n">
        <v>62</v>
      </c>
      <c r="F4" s="12"/>
      <c r="G4" s="1" t="n">
        <v>175</v>
      </c>
      <c r="J4" s="1"/>
      <c r="K4" s="1"/>
      <c r="L4" s="37"/>
      <c r="M4" s="1"/>
    </row>
    <row r="5" customFormat="false" ht="12.8" hidden="false" customHeight="false" outlineLevel="0" collapsed="false">
      <c r="A5" s="1" t="s">
        <v>198</v>
      </c>
      <c r="B5" s="1" t="s">
        <v>198</v>
      </c>
      <c r="C5" s="37" t="n">
        <v>60.76</v>
      </c>
      <c r="D5" s="1" t="n">
        <v>60</v>
      </c>
      <c r="F5" s="12"/>
      <c r="G5" s="1" t="n">
        <v>57</v>
      </c>
      <c r="J5" s="1"/>
      <c r="K5" s="1"/>
      <c r="L5" s="37"/>
      <c r="M5" s="1"/>
    </row>
    <row r="6" customFormat="false" ht="12.8" hidden="false" customHeight="false" outlineLevel="0" collapsed="false">
      <c r="A6" s="1" t="s">
        <v>199</v>
      </c>
      <c r="B6" s="1" t="s">
        <v>199</v>
      </c>
      <c r="C6" s="37" t="n">
        <v>56</v>
      </c>
      <c r="D6" s="1" t="n">
        <v>56</v>
      </c>
      <c r="F6" s="12"/>
      <c r="G6" s="1" t="n">
        <v>137</v>
      </c>
      <c r="J6" s="1"/>
      <c r="K6" s="1"/>
      <c r="L6" s="37"/>
      <c r="M6" s="1"/>
    </row>
    <row r="7" customFormat="false" ht="12.8" hidden="false" customHeight="false" outlineLevel="0" collapsed="false">
      <c r="A7" s="1" t="s">
        <v>200</v>
      </c>
      <c r="B7" s="1" t="s">
        <v>200</v>
      </c>
      <c r="C7" s="37" t="n">
        <v>58.76</v>
      </c>
      <c r="D7" s="1" t="n">
        <v>58</v>
      </c>
      <c r="F7" s="12"/>
      <c r="G7" s="1" t="n">
        <v>67</v>
      </c>
      <c r="J7" s="1"/>
      <c r="K7" s="1"/>
      <c r="L7" s="37"/>
      <c r="M7" s="1"/>
    </row>
    <row r="8" customFormat="false" ht="12.8" hidden="false" customHeight="false" outlineLevel="0" collapsed="false">
      <c r="A8" s="1" t="s">
        <v>201</v>
      </c>
      <c r="B8" s="1" t="s">
        <v>201</v>
      </c>
      <c r="C8" s="37" t="n">
        <v>52</v>
      </c>
      <c r="D8" s="1" t="n">
        <v>52</v>
      </c>
      <c r="F8" s="12"/>
      <c r="G8" s="1" t="n">
        <v>13</v>
      </c>
      <c r="J8" s="1"/>
      <c r="K8" s="1"/>
      <c r="L8" s="37"/>
      <c r="M8" s="1"/>
    </row>
    <row r="9" customFormat="false" ht="12.8" hidden="false" customHeight="false" outlineLevel="0" collapsed="false">
      <c r="A9" s="1" t="s">
        <v>202</v>
      </c>
      <c r="B9" s="1" t="s">
        <v>202</v>
      </c>
      <c r="C9" s="37" t="n">
        <v>58.76</v>
      </c>
      <c r="D9" s="1" t="n">
        <v>58</v>
      </c>
      <c r="F9" s="12"/>
      <c r="G9" s="1" t="n">
        <v>11</v>
      </c>
      <c r="J9" s="1"/>
      <c r="K9" s="1"/>
      <c r="L9" s="37"/>
      <c r="M9" s="1"/>
    </row>
    <row r="10" customFormat="false" ht="12.8" hidden="false" customHeight="false" outlineLevel="0" collapsed="false">
      <c r="A10" s="1" t="s">
        <v>203</v>
      </c>
      <c r="B10" s="1" t="s">
        <v>203</v>
      </c>
      <c r="C10" s="37" t="n">
        <v>48</v>
      </c>
      <c r="D10" s="1" t="n">
        <v>48</v>
      </c>
      <c r="F10" s="12"/>
      <c r="G10" s="1" t="n">
        <v>174</v>
      </c>
      <c r="J10" s="1"/>
      <c r="K10" s="1"/>
      <c r="L10" s="37"/>
      <c r="M10" s="1"/>
    </row>
    <row r="11" customFormat="false" ht="12.8" hidden="false" customHeight="false" outlineLevel="0" collapsed="false">
      <c r="A11" s="1" t="s">
        <v>204</v>
      </c>
      <c r="B11" s="1" t="s">
        <v>204</v>
      </c>
      <c r="C11" s="37" t="n">
        <v>36</v>
      </c>
      <c r="D11" s="1" t="n">
        <v>36</v>
      </c>
      <c r="F11" s="12"/>
      <c r="G11" s="1" t="n">
        <v>244</v>
      </c>
      <c r="J11" s="1"/>
      <c r="K11" s="1"/>
      <c r="L11" s="37"/>
      <c r="M11" s="1"/>
    </row>
    <row r="12" customFormat="false" ht="12.8" hidden="false" customHeight="false" outlineLevel="0" collapsed="false">
      <c r="A12" s="1" t="s">
        <v>205</v>
      </c>
      <c r="B12" s="1" t="s">
        <v>205</v>
      </c>
      <c r="C12" s="37" t="n">
        <v>30</v>
      </c>
      <c r="D12" s="1" t="n">
        <v>30</v>
      </c>
      <c r="F12" s="12"/>
      <c r="G12" s="1" t="n">
        <v>0</v>
      </c>
      <c r="J12" s="1"/>
      <c r="K12" s="1"/>
      <c r="L12" s="37"/>
      <c r="M12" s="1"/>
    </row>
    <row r="13" customFormat="false" ht="12.8" hidden="false" customHeight="false" outlineLevel="0" collapsed="false">
      <c r="A13" s="1" t="s">
        <v>206</v>
      </c>
      <c r="B13" s="1" t="s">
        <v>206</v>
      </c>
      <c r="C13" s="37" t="n">
        <v>30</v>
      </c>
      <c r="D13" s="1" t="n">
        <v>30</v>
      </c>
      <c r="F13" s="12"/>
      <c r="G13" s="1" t="n">
        <v>251</v>
      </c>
      <c r="J13" s="1"/>
      <c r="K13" s="1"/>
      <c r="L13" s="37"/>
      <c r="M13" s="1"/>
    </row>
    <row r="14" customFormat="false" ht="12.8" hidden="false" customHeight="false" outlineLevel="0" collapsed="false">
      <c r="A14" s="1" t="s">
        <v>207</v>
      </c>
      <c r="B14" s="1" t="s">
        <v>207</v>
      </c>
      <c r="C14" s="38" t="n">
        <v>46</v>
      </c>
      <c r="D14" s="39" t="n">
        <v>46</v>
      </c>
      <c r="E14" s="4" t="s">
        <v>207</v>
      </c>
      <c r="F14" s="12"/>
      <c r="G14" s="1" t="n">
        <v>194</v>
      </c>
      <c r="J14" s="1"/>
      <c r="K14" s="1"/>
      <c r="L14" s="37"/>
      <c r="M14" s="1"/>
    </row>
    <row r="15" customFormat="false" ht="12.8" hidden="false" customHeight="false" outlineLevel="0" collapsed="false">
      <c r="A15" s="1" t="s">
        <v>208</v>
      </c>
      <c r="B15" s="1" t="s">
        <v>208</v>
      </c>
      <c r="C15" s="37" t="n">
        <v>54</v>
      </c>
      <c r="D15" s="1" t="n">
        <v>54</v>
      </c>
      <c r="F15" s="12"/>
      <c r="G15" s="1" t="n">
        <v>202</v>
      </c>
      <c r="J15" s="1"/>
      <c r="K15" s="1"/>
      <c r="L15" s="37"/>
      <c r="M15" s="1"/>
    </row>
    <row r="16" customFormat="false" ht="12.8" hidden="false" customHeight="false" outlineLevel="0" collapsed="false">
      <c r="A16" s="1" t="s">
        <v>209</v>
      </c>
      <c r="B16" s="1" t="s">
        <v>209</v>
      </c>
      <c r="C16" s="37" t="n">
        <v>2</v>
      </c>
      <c r="D16" s="1" t="n">
        <v>2</v>
      </c>
      <c r="F16" s="12"/>
      <c r="G16" s="1" t="n">
        <v>0</v>
      </c>
      <c r="J16" s="1"/>
      <c r="K16" s="1"/>
      <c r="L16" s="37"/>
      <c r="M16" s="1"/>
    </row>
    <row r="17" customFormat="false" ht="12.8" hidden="false" customHeight="false" outlineLevel="0" collapsed="false">
      <c r="A17" s="1" t="s">
        <v>210</v>
      </c>
      <c r="B17" s="1" t="s">
        <v>210</v>
      </c>
      <c r="C17" s="37" t="n">
        <v>1</v>
      </c>
      <c r="D17" s="1" t="n">
        <v>1</v>
      </c>
      <c r="F17" s="12"/>
      <c r="G17" s="1" t="n">
        <v>0</v>
      </c>
      <c r="J17" s="1"/>
      <c r="K17" s="1"/>
      <c r="L17" s="37"/>
      <c r="M17" s="1"/>
    </row>
    <row r="18" customFormat="false" ht="12.8" hidden="false" customHeight="false" outlineLevel="0" collapsed="false">
      <c r="A18" s="1" t="s">
        <v>211</v>
      </c>
      <c r="B18" s="1" t="s">
        <v>211</v>
      </c>
      <c r="C18" s="40" t="n">
        <v>46</v>
      </c>
      <c r="D18" s="1" t="n">
        <v>46</v>
      </c>
      <c r="E18" s="4" t="s">
        <v>211</v>
      </c>
      <c r="F18" s="12" t="s">
        <v>212</v>
      </c>
      <c r="G18" s="1" t="n">
        <v>194</v>
      </c>
      <c r="J18" s="1"/>
      <c r="K18" s="1"/>
      <c r="L18" s="37"/>
      <c r="M18" s="1"/>
    </row>
    <row r="19" customFormat="false" ht="12.8" hidden="false" customHeight="false" outlineLevel="0" collapsed="false">
      <c r="A19" s="1" t="s">
        <v>213</v>
      </c>
      <c r="B19" s="37" t="s">
        <v>213</v>
      </c>
      <c r="C19" s="40" t="n">
        <v>46</v>
      </c>
      <c r="D19" s="1" t="n">
        <v>46</v>
      </c>
      <c r="E19" s="4" t="s">
        <v>213</v>
      </c>
      <c r="F19" s="12" t="s">
        <v>203</v>
      </c>
      <c r="G19" s="1" t="n">
        <v>196</v>
      </c>
      <c r="J19" s="1"/>
      <c r="K19" s="1"/>
      <c r="L19" s="37"/>
      <c r="M19" s="1"/>
    </row>
    <row r="21" customFormat="false" ht="12.8" hidden="false" customHeight="false" outlineLevel="0" collapsed="false">
      <c r="A21" s="1" t="s">
        <v>214</v>
      </c>
      <c r="B21" s="1" t="s">
        <v>210</v>
      </c>
      <c r="C21" s="37" t="n">
        <v>1</v>
      </c>
      <c r="D21" s="1" t="n">
        <v>1</v>
      </c>
      <c r="F21" s="12"/>
      <c r="G21" s="1" t="n">
        <v>0</v>
      </c>
      <c r="J21" s="1"/>
      <c r="K21" s="1"/>
      <c r="L21" s="37"/>
      <c r="M21" s="1"/>
    </row>
    <row r="22" customFormat="false" ht="12.8" hidden="false" customHeight="false" outlineLevel="0" collapsed="false">
      <c r="A22" s="1" t="s">
        <v>215</v>
      </c>
      <c r="B22" s="1" t="s">
        <v>209</v>
      </c>
      <c r="C22" s="37" t="n">
        <v>2</v>
      </c>
      <c r="D22" s="1" t="n">
        <v>2</v>
      </c>
      <c r="F22" s="12"/>
      <c r="G22" s="1" t="n">
        <v>0</v>
      </c>
      <c r="J22" s="1"/>
      <c r="K22" s="1"/>
      <c r="L22" s="37"/>
      <c r="M22" s="1"/>
    </row>
    <row r="23" customFormat="false" ht="12.8" hidden="false" customHeight="false" outlineLevel="0" collapsed="false">
      <c r="A23" s="1" t="s">
        <v>216</v>
      </c>
      <c r="B23" s="1" t="s">
        <v>217</v>
      </c>
      <c r="C23" s="37" t="n">
        <v>68</v>
      </c>
      <c r="D23" s="1" t="n">
        <v>68</v>
      </c>
      <c r="G23" s="1" t="n">
        <v>238</v>
      </c>
      <c r="J23" s="1"/>
      <c r="K23" s="1"/>
      <c r="L23" s="1"/>
      <c r="M23" s="1"/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50" activeCellId="0" sqref="F5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3"/>
    <col collapsed="false" customWidth="true" hidden="false" outlineLevel="0" max="2" min="2" style="1" width="14.52"/>
    <col collapsed="false" customWidth="true" hidden="false" outlineLevel="0" max="3" min="3" style="1" width="14.41"/>
    <col collapsed="false" customWidth="true" hidden="false" outlineLevel="0" max="4" min="4" style="1" width="28.41"/>
    <col collapsed="false" customWidth="true" hidden="false" outlineLevel="0" max="10" min="10" style="1" width="22.66"/>
    <col collapsed="false" customWidth="true" hidden="false" outlineLevel="0" max="11" min="11" style="1" width="22.98"/>
    <col collapsed="false" customWidth="true" hidden="false" outlineLevel="0" max="12" min="12" style="1" width="22.01"/>
  </cols>
  <sheetData>
    <row r="1" customFormat="false" ht="12.8" hidden="false" customHeight="false" outlineLevel="0" collapsed="false">
      <c r="A1" s="41" t="s">
        <v>218</v>
      </c>
      <c r="B1" s="42" t="s">
        <v>219</v>
      </c>
      <c r="C1" s="42" t="s">
        <v>220</v>
      </c>
      <c r="D1" s="42" t="s">
        <v>221</v>
      </c>
      <c r="E1" s="42" t="s">
        <v>222</v>
      </c>
      <c r="F1" s="42" t="s">
        <v>223</v>
      </c>
      <c r="G1" s="42" t="s">
        <v>224</v>
      </c>
      <c r="H1" s="42" t="s">
        <v>225</v>
      </c>
      <c r="I1" s="42" t="s">
        <v>226</v>
      </c>
      <c r="J1" s="42" t="s">
        <v>227</v>
      </c>
      <c r="K1" s="42" t="s">
        <v>228</v>
      </c>
      <c r="L1" s="42" t="s">
        <v>229</v>
      </c>
    </row>
    <row r="2" customFormat="false" ht="12.8" hidden="false" customHeight="false" outlineLevel="0" collapsed="false">
      <c r="A2" s="37" t="n">
        <v>0</v>
      </c>
      <c r="B2" s="43" t="n">
        <v>0</v>
      </c>
      <c r="C2" s="44" t="s">
        <v>230</v>
      </c>
      <c r="D2" s="44"/>
      <c r="E2" s="44"/>
      <c r="F2" s="44"/>
      <c r="G2" s="44"/>
      <c r="H2" s="44"/>
      <c r="I2" s="44"/>
      <c r="J2" s="44"/>
      <c r="K2" s="44"/>
      <c r="L2" s="44"/>
    </row>
    <row r="3" customFormat="false" ht="12.8" hidden="false" customHeight="false" outlineLevel="0" collapsed="false">
      <c r="A3" s="37" t="n">
        <v>0</v>
      </c>
      <c r="B3" s="45" t="n">
        <v>0</v>
      </c>
      <c r="C3" s="46" t="s">
        <v>231</v>
      </c>
      <c r="D3" s="46"/>
      <c r="E3" s="46"/>
      <c r="F3" s="46"/>
      <c r="G3" s="46"/>
      <c r="H3" s="46"/>
      <c r="I3" s="46"/>
      <c r="J3" s="46"/>
      <c r="K3" s="46"/>
      <c r="L3" s="46"/>
    </row>
    <row r="4" customFormat="false" ht="12.8" hidden="false" customHeight="false" outlineLevel="0" collapsed="false">
      <c r="A4" s="1" t="s">
        <v>196</v>
      </c>
      <c r="B4" s="44" t="s">
        <v>196</v>
      </c>
      <c r="C4" s="44" t="s">
        <v>230</v>
      </c>
      <c r="D4" s="44"/>
      <c r="E4" s="44"/>
      <c r="F4" s="44"/>
      <c r="G4" s="44"/>
      <c r="H4" s="44"/>
      <c r="I4" s="44" t="s">
        <v>232</v>
      </c>
      <c r="J4" s="44"/>
      <c r="K4" s="44"/>
      <c r="L4" s="44"/>
    </row>
    <row r="5" customFormat="false" ht="12.8" hidden="false" customHeight="false" outlineLevel="0" collapsed="false">
      <c r="A5" s="1" t="s">
        <v>196</v>
      </c>
      <c r="B5" s="46" t="s">
        <v>196</v>
      </c>
      <c r="C5" s="46" t="s">
        <v>231</v>
      </c>
      <c r="D5" s="46"/>
      <c r="E5" s="46"/>
      <c r="F5" s="46"/>
      <c r="G5" s="46"/>
      <c r="H5" s="46"/>
      <c r="I5" s="46" t="s">
        <v>233</v>
      </c>
      <c r="J5" s="46"/>
      <c r="K5" s="46"/>
      <c r="L5" s="46"/>
    </row>
    <row r="6" customFormat="false" ht="12.8" hidden="false" customHeight="false" outlineLevel="0" collapsed="false">
      <c r="A6" s="1" t="s">
        <v>197</v>
      </c>
      <c r="B6" s="44" t="s">
        <v>197</v>
      </c>
      <c r="C6" s="44" t="s">
        <v>230</v>
      </c>
      <c r="D6" s="44" t="s">
        <v>234</v>
      </c>
      <c r="E6" s="44" t="s">
        <v>235</v>
      </c>
      <c r="F6" s="44"/>
      <c r="G6" s="44"/>
      <c r="H6" s="44"/>
      <c r="I6" s="44" t="s">
        <v>232</v>
      </c>
      <c r="J6" s="44" t="s">
        <v>236</v>
      </c>
      <c r="K6" s="44"/>
      <c r="L6" s="44"/>
    </row>
    <row r="7" customFormat="false" ht="12.8" hidden="false" customHeight="false" outlineLevel="0" collapsed="false">
      <c r="A7" s="1" t="s">
        <v>197</v>
      </c>
      <c r="B7" s="46" t="s">
        <v>197</v>
      </c>
      <c r="C7" s="46" t="s">
        <v>231</v>
      </c>
      <c r="D7" s="46"/>
      <c r="E7" s="46"/>
      <c r="F7" s="46"/>
      <c r="G7" s="46"/>
      <c r="H7" s="46"/>
      <c r="I7" s="46" t="s">
        <v>232</v>
      </c>
      <c r="J7" s="46"/>
      <c r="K7" s="46"/>
      <c r="L7" s="46"/>
    </row>
    <row r="8" customFormat="false" ht="12.8" hidden="false" customHeight="false" outlineLevel="0" collapsed="false">
      <c r="A8" s="1" t="s">
        <v>198</v>
      </c>
      <c r="B8" s="44" t="s">
        <v>198</v>
      </c>
      <c r="C8" s="44" t="s">
        <v>230</v>
      </c>
      <c r="D8" s="44" t="s">
        <v>234</v>
      </c>
      <c r="E8" s="44" t="s">
        <v>235</v>
      </c>
      <c r="F8" s="44"/>
      <c r="G8" s="44"/>
      <c r="H8" s="44"/>
      <c r="I8" s="44" t="s">
        <v>237</v>
      </c>
      <c r="J8" s="44" t="s">
        <v>236</v>
      </c>
      <c r="K8" s="44"/>
      <c r="L8" s="44"/>
    </row>
    <row r="9" customFormat="false" ht="12.8" hidden="false" customHeight="false" outlineLevel="0" collapsed="false">
      <c r="A9" s="1" t="s">
        <v>198</v>
      </c>
      <c r="B9" s="46" t="s">
        <v>198</v>
      </c>
      <c r="C9" s="46" t="s">
        <v>231</v>
      </c>
      <c r="D9" s="46"/>
      <c r="E9" s="46"/>
      <c r="F9" s="46"/>
      <c r="G9" s="46"/>
      <c r="H9" s="46"/>
      <c r="I9" s="46" t="s">
        <v>237</v>
      </c>
      <c r="J9" s="46"/>
      <c r="K9" s="46"/>
      <c r="L9" s="46"/>
    </row>
    <row r="10" customFormat="false" ht="12.8" hidden="false" customHeight="false" outlineLevel="0" collapsed="false">
      <c r="A10" s="1" t="s">
        <v>199</v>
      </c>
      <c r="B10" s="44" t="s">
        <v>199</v>
      </c>
      <c r="C10" s="44" t="s">
        <v>230</v>
      </c>
      <c r="D10" s="44" t="s">
        <v>234</v>
      </c>
      <c r="E10" s="44" t="s">
        <v>238</v>
      </c>
      <c r="F10" s="44"/>
      <c r="G10" s="44"/>
      <c r="H10" s="44"/>
      <c r="I10" s="44" t="s">
        <v>232</v>
      </c>
      <c r="J10" s="44" t="s">
        <v>236</v>
      </c>
      <c r="K10" s="44"/>
      <c r="L10" s="44"/>
    </row>
    <row r="11" customFormat="false" ht="12.8" hidden="false" customHeight="false" outlineLevel="0" collapsed="false">
      <c r="A11" s="1" t="s">
        <v>199</v>
      </c>
      <c r="B11" s="46" t="s">
        <v>199</v>
      </c>
      <c r="C11" s="46" t="s">
        <v>231</v>
      </c>
      <c r="D11" s="46" t="s">
        <v>239</v>
      </c>
      <c r="E11" s="46" t="s">
        <v>235</v>
      </c>
      <c r="F11" s="46"/>
      <c r="G11" s="46"/>
      <c r="H11" s="46"/>
      <c r="I11" s="46" t="s">
        <v>232</v>
      </c>
      <c r="J11" s="46" t="s">
        <v>236</v>
      </c>
      <c r="K11" s="46"/>
      <c r="L11" s="46"/>
    </row>
    <row r="12" customFormat="false" ht="12.8" hidden="false" customHeight="false" outlineLevel="0" collapsed="false">
      <c r="A12" s="1" t="s">
        <v>200</v>
      </c>
      <c r="B12" s="44" t="s">
        <v>200</v>
      </c>
      <c r="C12" s="44" t="s">
        <v>230</v>
      </c>
      <c r="D12" s="44" t="s">
        <v>234</v>
      </c>
      <c r="E12" s="44" t="s">
        <v>235</v>
      </c>
      <c r="F12" s="44"/>
      <c r="G12" s="44"/>
      <c r="H12" s="44"/>
      <c r="I12" s="44" t="s">
        <v>240</v>
      </c>
      <c r="J12" s="44" t="s">
        <v>236</v>
      </c>
      <c r="K12" s="44"/>
      <c r="L12" s="44"/>
    </row>
    <row r="13" customFormat="false" ht="12.8" hidden="false" customHeight="false" outlineLevel="0" collapsed="false">
      <c r="A13" s="1" t="s">
        <v>200</v>
      </c>
      <c r="B13" s="46" t="s">
        <v>200</v>
      </c>
      <c r="C13" s="46" t="s">
        <v>231</v>
      </c>
      <c r="D13" s="46"/>
      <c r="E13" s="46"/>
      <c r="F13" s="46"/>
      <c r="G13" s="46"/>
      <c r="H13" s="46"/>
      <c r="I13" s="46" t="s">
        <v>240</v>
      </c>
      <c r="J13" s="46"/>
      <c r="K13" s="46"/>
      <c r="L13" s="46"/>
    </row>
    <row r="14" customFormat="false" ht="12.8" hidden="false" customHeight="false" outlineLevel="0" collapsed="false">
      <c r="A14" s="1" t="s">
        <v>201</v>
      </c>
      <c r="B14" s="44" t="s">
        <v>201</v>
      </c>
      <c r="C14" s="44" t="s">
        <v>230</v>
      </c>
      <c r="D14" s="44" t="s">
        <v>234</v>
      </c>
      <c r="E14" s="44" t="s">
        <v>238</v>
      </c>
      <c r="F14" s="44"/>
      <c r="G14" s="44"/>
      <c r="H14" s="44"/>
      <c r="I14" s="44" t="s">
        <v>240</v>
      </c>
      <c r="J14" s="44" t="s">
        <v>236</v>
      </c>
      <c r="K14" s="44"/>
      <c r="L14" s="44"/>
    </row>
    <row r="15" customFormat="false" ht="12.8" hidden="false" customHeight="false" outlineLevel="0" collapsed="false">
      <c r="A15" s="1" t="s">
        <v>201</v>
      </c>
      <c r="B15" s="46" t="s">
        <v>201</v>
      </c>
      <c r="C15" s="46" t="s">
        <v>231</v>
      </c>
      <c r="D15" s="46" t="s">
        <v>239</v>
      </c>
      <c r="E15" s="46" t="s">
        <v>235</v>
      </c>
      <c r="F15" s="46"/>
      <c r="G15" s="46"/>
      <c r="H15" s="46"/>
      <c r="I15" s="46" t="s">
        <v>240</v>
      </c>
      <c r="J15" s="46" t="s">
        <v>236</v>
      </c>
      <c r="K15" s="46"/>
      <c r="L15" s="46"/>
    </row>
    <row r="16" customFormat="false" ht="12.8" hidden="false" customHeight="false" outlineLevel="0" collapsed="false">
      <c r="A16" s="1" t="s">
        <v>202</v>
      </c>
      <c r="B16" s="44" t="s">
        <v>202</v>
      </c>
      <c r="C16" s="44" t="s">
        <v>230</v>
      </c>
      <c r="D16" s="44" t="s">
        <v>234</v>
      </c>
      <c r="E16" s="44" t="s">
        <v>235</v>
      </c>
      <c r="F16" s="44"/>
      <c r="G16" s="44"/>
      <c r="H16" s="44"/>
      <c r="I16" s="44" t="s">
        <v>240</v>
      </c>
      <c r="J16" s="44" t="s">
        <v>236</v>
      </c>
      <c r="K16" s="44"/>
      <c r="L16" s="44"/>
    </row>
    <row r="17" customFormat="false" ht="12.8" hidden="false" customHeight="false" outlineLevel="0" collapsed="false">
      <c r="A17" s="1" t="s">
        <v>202</v>
      </c>
      <c r="B17" s="46" t="s">
        <v>202</v>
      </c>
      <c r="C17" s="46" t="s">
        <v>231</v>
      </c>
      <c r="D17" s="46"/>
      <c r="E17" s="46"/>
      <c r="F17" s="46"/>
      <c r="G17" s="46"/>
      <c r="H17" s="46"/>
      <c r="I17" s="46" t="s">
        <v>240</v>
      </c>
      <c r="J17" s="46"/>
      <c r="K17" s="46"/>
      <c r="L17" s="46"/>
    </row>
    <row r="18" customFormat="false" ht="12.8" hidden="false" customHeight="false" outlineLevel="0" collapsed="false">
      <c r="A18" s="1" t="s">
        <v>203</v>
      </c>
      <c r="B18" s="44" t="s">
        <v>203</v>
      </c>
      <c r="C18" s="44" t="s">
        <v>230</v>
      </c>
      <c r="D18" s="44" t="s">
        <v>234</v>
      </c>
      <c r="E18" s="44" t="s">
        <v>241</v>
      </c>
      <c r="F18" s="44"/>
      <c r="G18" s="44"/>
      <c r="H18" s="44"/>
      <c r="I18" s="44" t="s">
        <v>242</v>
      </c>
      <c r="J18" s="44" t="s">
        <v>243</v>
      </c>
      <c r="K18" s="44"/>
      <c r="L18" s="44"/>
    </row>
    <row r="19" customFormat="false" ht="12.8" hidden="false" customHeight="false" outlineLevel="0" collapsed="false">
      <c r="A19" s="1" t="s">
        <v>203</v>
      </c>
      <c r="B19" s="46" t="s">
        <v>203</v>
      </c>
      <c r="C19" s="46" t="s">
        <v>231</v>
      </c>
      <c r="D19" s="46" t="s">
        <v>239</v>
      </c>
      <c r="E19" s="46" t="s">
        <v>244</v>
      </c>
      <c r="F19" s="46"/>
      <c r="G19" s="46"/>
      <c r="H19" s="46"/>
      <c r="I19" s="46" t="s">
        <v>242</v>
      </c>
      <c r="J19" s="46" t="s">
        <v>236</v>
      </c>
      <c r="K19" s="46"/>
      <c r="L19" s="46"/>
    </row>
    <row r="20" customFormat="false" ht="12.8" hidden="false" customHeight="false" outlineLevel="0" collapsed="false">
      <c r="A20" s="1" t="s">
        <v>204</v>
      </c>
      <c r="B20" s="44" t="s">
        <v>204</v>
      </c>
      <c r="C20" s="44" t="s">
        <v>230</v>
      </c>
      <c r="D20" s="44" t="s">
        <v>234</v>
      </c>
      <c r="E20" s="44"/>
      <c r="F20" s="44" t="s">
        <v>245</v>
      </c>
      <c r="G20" s="44"/>
      <c r="H20" s="44"/>
      <c r="I20" s="44" t="s">
        <v>237</v>
      </c>
      <c r="J20" s="44" t="s">
        <v>246</v>
      </c>
      <c r="K20" s="44"/>
      <c r="L20" s="44"/>
    </row>
    <row r="21" customFormat="false" ht="12.8" hidden="false" customHeight="false" outlineLevel="0" collapsed="false">
      <c r="A21" s="1" t="s">
        <v>204</v>
      </c>
      <c r="B21" s="46" t="s">
        <v>204</v>
      </c>
      <c r="C21" s="46" t="s">
        <v>231</v>
      </c>
      <c r="D21" s="46" t="s">
        <v>239</v>
      </c>
      <c r="E21" s="46"/>
      <c r="F21" s="46" t="s">
        <v>247</v>
      </c>
      <c r="G21" s="46"/>
      <c r="H21" s="46"/>
      <c r="I21" s="46" t="s">
        <v>237</v>
      </c>
      <c r="J21" s="46" t="s">
        <v>243</v>
      </c>
      <c r="K21" s="46"/>
      <c r="L21" s="46"/>
    </row>
    <row r="22" customFormat="false" ht="12.8" hidden="false" customHeight="false" outlineLevel="0" collapsed="false">
      <c r="A22" s="1" t="s">
        <v>205</v>
      </c>
      <c r="B22" s="44" t="s">
        <v>205</v>
      </c>
      <c r="C22" s="44" t="s">
        <v>230</v>
      </c>
      <c r="D22" s="44" t="s">
        <v>234</v>
      </c>
      <c r="E22" s="44"/>
      <c r="F22" s="44" t="s">
        <v>247</v>
      </c>
      <c r="G22" s="44" t="s">
        <v>248</v>
      </c>
      <c r="H22" s="44"/>
      <c r="I22" s="44" t="s">
        <v>242</v>
      </c>
      <c r="J22" s="44" t="s">
        <v>249</v>
      </c>
      <c r="K22" s="44"/>
      <c r="L22" s="44" t="s">
        <v>243</v>
      </c>
    </row>
    <row r="23" customFormat="false" ht="12.8" hidden="false" customHeight="false" outlineLevel="0" collapsed="false">
      <c r="A23" s="1" t="s">
        <v>205</v>
      </c>
      <c r="B23" s="46" t="s">
        <v>205</v>
      </c>
      <c r="C23" s="46" t="s">
        <v>231</v>
      </c>
      <c r="D23" s="46" t="s">
        <v>239</v>
      </c>
      <c r="E23" s="46"/>
      <c r="F23" s="46" t="s">
        <v>248</v>
      </c>
      <c r="G23" s="46" t="s">
        <v>248</v>
      </c>
      <c r="H23" s="46"/>
      <c r="I23" s="46" t="s">
        <v>242</v>
      </c>
      <c r="J23" s="46" t="s">
        <v>250</v>
      </c>
      <c r="K23" s="46"/>
      <c r="L23" s="46" t="s">
        <v>251</v>
      </c>
    </row>
    <row r="24" customFormat="false" ht="12.8" hidden="false" customHeight="false" outlineLevel="0" collapsed="false">
      <c r="A24" s="1" t="s">
        <v>206</v>
      </c>
      <c r="B24" s="44" t="s">
        <v>206</v>
      </c>
      <c r="C24" s="44" t="s">
        <v>230</v>
      </c>
      <c r="D24" s="44" t="s">
        <v>234</v>
      </c>
      <c r="E24" s="44"/>
      <c r="F24" s="44" t="s">
        <v>247</v>
      </c>
      <c r="G24" s="44" t="s">
        <v>248</v>
      </c>
      <c r="H24" s="44"/>
      <c r="I24" s="44" t="s">
        <v>242</v>
      </c>
      <c r="J24" s="44" t="s">
        <v>249</v>
      </c>
      <c r="K24" s="44"/>
      <c r="L24" s="44" t="s">
        <v>243</v>
      </c>
    </row>
    <row r="25" customFormat="false" ht="12.8" hidden="false" customHeight="false" outlineLevel="0" collapsed="false">
      <c r="A25" s="1" t="s">
        <v>206</v>
      </c>
      <c r="B25" s="46" t="s">
        <v>206</v>
      </c>
      <c r="C25" s="46" t="s">
        <v>231</v>
      </c>
      <c r="D25" s="46" t="s">
        <v>239</v>
      </c>
      <c r="E25" s="46"/>
      <c r="F25" s="46" t="s">
        <v>248</v>
      </c>
      <c r="G25" s="46" t="s">
        <v>248</v>
      </c>
      <c r="H25" s="46"/>
      <c r="I25" s="46" t="s">
        <v>242</v>
      </c>
      <c r="J25" s="46" t="s">
        <v>250</v>
      </c>
      <c r="K25" s="46"/>
      <c r="L25" s="46" t="s">
        <v>251</v>
      </c>
    </row>
    <row r="26" customFormat="false" ht="12.8" hidden="false" customHeight="false" outlineLevel="0" collapsed="false">
      <c r="A26" s="1" t="s">
        <v>207</v>
      </c>
      <c r="B26" s="44" t="s">
        <v>207</v>
      </c>
      <c r="C26" s="44" t="s">
        <v>230</v>
      </c>
      <c r="D26" s="44" t="s">
        <v>234</v>
      </c>
      <c r="E26" s="44" t="s">
        <v>241</v>
      </c>
      <c r="F26" s="44"/>
      <c r="G26" s="44"/>
      <c r="H26" s="44"/>
      <c r="I26" s="44" t="s">
        <v>252</v>
      </c>
      <c r="J26" s="44" t="s">
        <v>243</v>
      </c>
      <c r="K26" s="44"/>
      <c r="L26" s="44"/>
    </row>
    <row r="27" customFormat="false" ht="12.8" hidden="false" customHeight="false" outlineLevel="0" collapsed="false">
      <c r="A27" s="1" t="s">
        <v>207</v>
      </c>
      <c r="B27" s="46" t="s">
        <v>207</v>
      </c>
      <c r="C27" s="46" t="s">
        <v>231</v>
      </c>
      <c r="D27" s="46" t="s">
        <v>239</v>
      </c>
      <c r="E27" s="46" t="s">
        <v>253</v>
      </c>
      <c r="F27" s="46"/>
      <c r="G27" s="46"/>
      <c r="H27" s="46"/>
      <c r="I27" s="46" t="s">
        <v>252</v>
      </c>
      <c r="J27" s="46" t="s">
        <v>236</v>
      </c>
      <c r="K27" s="46"/>
      <c r="L27" s="46"/>
    </row>
    <row r="28" customFormat="false" ht="12.8" hidden="false" customHeight="false" outlineLevel="0" collapsed="false">
      <c r="A28" s="1" t="s">
        <v>208</v>
      </c>
      <c r="B28" s="44" t="s">
        <v>208</v>
      </c>
      <c r="C28" s="44" t="s">
        <v>230</v>
      </c>
      <c r="D28" s="44" t="s">
        <v>234</v>
      </c>
      <c r="E28" s="44"/>
      <c r="F28" s="44" t="s">
        <v>248</v>
      </c>
      <c r="G28" s="44"/>
      <c r="H28" s="44"/>
      <c r="I28" s="44" t="s">
        <v>242</v>
      </c>
      <c r="J28" s="44" t="s">
        <v>251</v>
      </c>
      <c r="K28" s="44"/>
      <c r="L28" s="44"/>
    </row>
    <row r="29" customFormat="false" ht="12.8" hidden="false" customHeight="false" outlineLevel="0" collapsed="false">
      <c r="A29" s="1" t="s">
        <v>208</v>
      </c>
      <c r="B29" s="46" t="s">
        <v>208</v>
      </c>
      <c r="C29" s="46" t="s">
        <v>231</v>
      </c>
      <c r="D29" s="46" t="s">
        <v>239</v>
      </c>
      <c r="E29" s="46"/>
      <c r="F29" s="46" t="s">
        <v>254</v>
      </c>
      <c r="G29" s="46"/>
      <c r="H29" s="46"/>
      <c r="I29" s="46" t="s">
        <v>237</v>
      </c>
      <c r="J29" s="46" t="s">
        <v>236</v>
      </c>
      <c r="K29" s="46"/>
      <c r="L29" s="46"/>
    </row>
    <row r="30" customFormat="false" ht="12.8" hidden="false" customHeight="false" outlineLevel="0" collapsed="false">
      <c r="A30" s="1" t="s">
        <v>209</v>
      </c>
      <c r="B30" s="44" t="s">
        <v>209</v>
      </c>
      <c r="C30" s="44" t="s">
        <v>230</v>
      </c>
      <c r="D30" s="44" t="s">
        <v>234</v>
      </c>
      <c r="E30" s="44"/>
      <c r="F30" s="44" t="s">
        <v>245</v>
      </c>
      <c r="G30" s="44" t="s">
        <v>245</v>
      </c>
      <c r="H30" s="44" t="s">
        <v>254</v>
      </c>
      <c r="I30" s="44" t="s">
        <v>232</v>
      </c>
      <c r="J30" s="44" t="s">
        <v>255</v>
      </c>
      <c r="K30" s="44" t="s">
        <v>256</v>
      </c>
      <c r="L30" s="44" t="s">
        <v>246</v>
      </c>
    </row>
    <row r="31" customFormat="false" ht="12.8" hidden="false" customHeight="false" outlineLevel="0" collapsed="false">
      <c r="A31" s="1" t="s">
        <v>209</v>
      </c>
      <c r="B31" s="46" t="s">
        <v>209</v>
      </c>
      <c r="C31" s="46" t="s">
        <v>231</v>
      </c>
      <c r="D31" s="46" t="s">
        <v>239</v>
      </c>
      <c r="E31" s="46"/>
      <c r="F31" s="46" t="s">
        <v>245</v>
      </c>
      <c r="G31" s="46" t="s">
        <v>245</v>
      </c>
      <c r="H31" s="46"/>
      <c r="I31" s="46" t="s">
        <v>232</v>
      </c>
      <c r="J31" s="46" t="s">
        <v>255</v>
      </c>
      <c r="K31" s="46"/>
      <c r="L31" s="46" t="s">
        <v>246</v>
      </c>
    </row>
    <row r="32" customFormat="false" ht="12.8" hidden="false" customHeight="false" outlineLevel="0" collapsed="false">
      <c r="A32" s="1" t="s">
        <v>210</v>
      </c>
      <c r="B32" s="44" t="s">
        <v>210</v>
      </c>
      <c r="C32" s="44" t="s">
        <v>230</v>
      </c>
      <c r="D32" s="44" t="s">
        <v>234</v>
      </c>
      <c r="E32" s="44"/>
      <c r="F32" s="44" t="s">
        <v>245</v>
      </c>
      <c r="G32" s="44" t="s">
        <v>245</v>
      </c>
      <c r="H32" s="44" t="s">
        <v>254</v>
      </c>
      <c r="I32" s="44" t="s">
        <v>237</v>
      </c>
      <c r="J32" s="44" t="s">
        <v>255</v>
      </c>
      <c r="K32" s="44" t="s">
        <v>255</v>
      </c>
      <c r="L32" s="44" t="s">
        <v>246</v>
      </c>
    </row>
    <row r="33" customFormat="false" ht="12.8" hidden="false" customHeight="false" outlineLevel="0" collapsed="false">
      <c r="A33" s="1" t="s">
        <v>210</v>
      </c>
      <c r="B33" s="46" t="s">
        <v>210</v>
      </c>
      <c r="C33" s="46" t="s">
        <v>231</v>
      </c>
      <c r="D33" s="46" t="s">
        <v>239</v>
      </c>
      <c r="E33" s="46"/>
      <c r="F33" s="46" t="s">
        <v>245</v>
      </c>
      <c r="G33" s="46" t="s">
        <v>245</v>
      </c>
      <c r="H33" s="46"/>
      <c r="I33" s="46" t="s">
        <v>237</v>
      </c>
      <c r="J33" s="46" t="s">
        <v>255</v>
      </c>
      <c r="K33" s="46"/>
      <c r="L33" s="46" t="s">
        <v>246</v>
      </c>
    </row>
    <row r="34" customFormat="false" ht="12.8" hidden="false" customHeight="false" outlineLevel="0" collapsed="false">
      <c r="A34" s="1" t="s">
        <v>211</v>
      </c>
      <c r="B34" s="44" t="s">
        <v>211</v>
      </c>
      <c r="C34" s="44" t="s">
        <v>230</v>
      </c>
      <c r="D34" s="44" t="s">
        <v>234</v>
      </c>
      <c r="E34" s="44" t="s">
        <v>241</v>
      </c>
      <c r="F34" s="44"/>
      <c r="G34" s="44"/>
      <c r="H34" s="44"/>
      <c r="I34" s="44" t="s">
        <v>252</v>
      </c>
      <c r="J34" s="44" t="s">
        <v>243</v>
      </c>
      <c r="K34" s="44"/>
      <c r="L34" s="44"/>
    </row>
    <row r="35" customFormat="false" ht="12.8" hidden="false" customHeight="false" outlineLevel="0" collapsed="false">
      <c r="A35" s="1" t="s">
        <v>211</v>
      </c>
      <c r="B35" s="46" t="s">
        <v>211</v>
      </c>
      <c r="C35" s="46" t="s">
        <v>231</v>
      </c>
      <c r="D35" s="46" t="s">
        <v>239</v>
      </c>
      <c r="E35" s="46" t="s">
        <v>253</v>
      </c>
      <c r="F35" s="46"/>
      <c r="G35" s="46"/>
      <c r="H35" s="46"/>
      <c r="I35" s="46" t="s">
        <v>252</v>
      </c>
      <c r="J35" s="46" t="s">
        <v>236</v>
      </c>
      <c r="K35" s="46"/>
      <c r="L35" s="46"/>
    </row>
    <row r="36" customFormat="false" ht="12.8" hidden="false" customHeight="false" outlineLevel="0" collapsed="false">
      <c r="A36" s="1" t="s">
        <v>213</v>
      </c>
      <c r="B36" s="44" t="s">
        <v>213</v>
      </c>
      <c r="C36" s="44" t="s">
        <v>230</v>
      </c>
      <c r="D36" s="44" t="s">
        <v>234</v>
      </c>
      <c r="E36" s="44" t="s">
        <v>241</v>
      </c>
      <c r="F36" s="44"/>
      <c r="G36" s="44"/>
      <c r="H36" s="44"/>
      <c r="I36" s="44" t="s">
        <v>252</v>
      </c>
      <c r="J36" s="44" t="s">
        <v>243</v>
      </c>
      <c r="K36" s="44"/>
      <c r="L36" s="44"/>
    </row>
    <row r="37" customFormat="false" ht="12.8" hidden="false" customHeight="false" outlineLevel="0" collapsed="false">
      <c r="A37" s="1" t="s">
        <v>213</v>
      </c>
      <c r="B37" s="46" t="s">
        <v>213</v>
      </c>
      <c r="C37" s="46" t="s">
        <v>231</v>
      </c>
      <c r="D37" s="46" t="s">
        <v>239</v>
      </c>
      <c r="E37" s="46" t="s">
        <v>253</v>
      </c>
      <c r="F37" s="46"/>
      <c r="G37" s="46"/>
      <c r="H37" s="46"/>
      <c r="I37" s="46" t="s">
        <v>252</v>
      </c>
      <c r="J37" s="46" t="s">
        <v>236</v>
      </c>
      <c r="K37" s="46"/>
      <c r="L37" s="46"/>
    </row>
    <row r="38" customFormat="false" ht="12.8" hidden="false" customHeight="false" outlineLevel="0" collapsed="false">
      <c r="A38" s="1" t="s">
        <v>214</v>
      </c>
      <c r="B38" s="44" t="s">
        <v>210</v>
      </c>
      <c r="C38" s="44" t="s">
        <v>230</v>
      </c>
      <c r="D38" s="44" t="s">
        <v>234</v>
      </c>
      <c r="E38" s="44"/>
      <c r="F38" s="44" t="s">
        <v>245</v>
      </c>
      <c r="G38" s="44" t="s">
        <v>245</v>
      </c>
      <c r="H38" s="44" t="s">
        <v>254</v>
      </c>
      <c r="I38" s="44" t="s">
        <v>237</v>
      </c>
      <c r="J38" s="44" t="s">
        <v>255</v>
      </c>
      <c r="K38" s="44" t="s">
        <v>255</v>
      </c>
      <c r="L38" s="44" t="s">
        <v>246</v>
      </c>
    </row>
    <row r="39" customFormat="false" ht="12.8" hidden="false" customHeight="false" outlineLevel="0" collapsed="false">
      <c r="A39" s="1" t="s">
        <v>214</v>
      </c>
      <c r="B39" s="46" t="s">
        <v>210</v>
      </c>
      <c r="C39" s="46" t="s">
        <v>231</v>
      </c>
      <c r="D39" s="46" t="s">
        <v>239</v>
      </c>
      <c r="E39" s="46"/>
      <c r="F39" s="46" t="s">
        <v>245</v>
      </c>
      <c r="G39" s="46" t="s">
        <v>245</v>
      </c>
      <c r="H39" s="46"/>
      <c r="I39" s="46" t="s">
        <v>237</v>
      </c>
      <c r="J39" s="46" t="s">
        <v>255</v>
      </c>
      <c r="K39" s="46"/>
      <c r="L39" s="46" t="s">
        <v>246</v>
      </c>
    </row>
    <row r="40" customFormat="false" ht="12.8" hidden="false" customHeight="false" outlineLevel="0" collapsed="false">
      <c r="A40" s="1" t="s">
        <v>215</v>
      </c>
      <c r="B40" s="44" t="s">
        <v>209</v>
      </c>
      <c r="C40" s="44" t="s">
        <v>230</v>
      </c>
      <c r="D40" s="44" t="s">
        <v>234</v>
      </c>
      <c r="E40" s="44"/>
      <c r="F40" s="44" t="s">
        <v>245</v>
      </c>
      <c r="G40" s="44" t="s">
        <v>245</v>
      </c>
      <c r="H40" s="44" t="s">
        <v>254</v>
      </c>
      <c r="I40" s="44" t="s">
        <v>232</v>
      </c>
      <c r="J40" s="44" t="s">
        <v>255</v>
      </c>
      <c r="K40" s="44" t="s">
        <v>256</v>
      </c>
      <c r="L40" s="44" t="s">
        <v>246</v>
      </c>
    </row>
    <row r="41" customFormat="false" ht="12.8" hidden="false" customHeight="false" outlineLevel="0" collapsed="false">
      <c r="A41" s="1" t="s">
        <v>215</v>
      </c>
      <c r="B41" s="46" t="s">
        <v>209</v>
      </c>
      <c r="C41" s="46" t="s">
        <v>231</v>
      </c>
      <c r="D41" s="46" t="s">
        <v>239</v>
      </c>
      <c r="E41" s="46"/>
      <c r="F41" s="46" t="s">
        <v>245</v>
      </c>
      <c r="G41" s="46" t="s">
        <v>245</v>
      </c>
      <c r="H41" s="46"/>
      <c r="I41" s="46" t="s">
        <v>232</v>
      </c>
      <c r="J41" s="46" t="s">
        <v>255</v>
      </c>
      <c r="K41" s="46"/>
      <c r="L41" s="46" t="s">
        <v>246</v>
      </c>
    </row>
    <row r="42" customFormat="false" ht="12.8" hidden="false" customHeight="false" outlineLevel="0" collapsed="false">
      <c r="A42" s="1" t="s">
        <v>216</v>
      </c>
      <c r="B42" s="44" t="s">
        <v>217</v>
      </c>
      <c r="C42" s="44" t="s">
        <v>230</v>
      </c>
      <c r="D42" s="44"/>
      <c r="E42" s="44"/>
      <c r="F42" s="44"/>
      <c r="G42" s="44"/>
      <c r="H42" s="44"/>
      <c r="I42" s="44" t="s">
        <v>232</v>
      </c>
      <c r="J42" s="44"/>
      <c r="K42" s="44"/>
      <c r="L42" s="44"/>
    </row>
    <row r="43" customFormat="false" ht="12.8" hidden="false" customHeight="false" outlineLevel="0" collapsed="false">
      <c r="A43" s="1" t="s">
        <v>216</v>
      </c>
      <c r="B43" s="46" t="s">
        <v>217</v>
      </c>
      <c r="C43" s="46" t="s">
        <v>231</v>
      </c>
      <c r="D43" s="46"/>
      <c r="E43" s="46"/>
      <c r="F43" s="46"/>
      <c r="G43" s="46"/>
      <c r="H43" s="46"/>
      <c r="I43" s="46" t="s">
        <v>233</v>
      </c>
      <c r="J43" s="46"/>
      <c r="K43" s="46"/>
      <c r="L43" s="46"/>
    </row>
  </sheetData>
  <sheetProtection sheet="true" objects="true" scenarios="true"/>
  <autoFilter ref="A1:L4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5"/>
  <sheetViews>
    <sheetView showFormulas="false" showGridLines="tru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2.59"/>
    <col collapsed="false" customWidth="true" hidden="false" outlineLevel="0" max="2" min="2" style="1" width="191.99"/>
  </cols>
  <sheetData>
    <row r="3" customFormat="false" ht="12.8" hidden="false" customHeight="false" outlineLevel="0" collapsed="false">
      <c r="A3" s="1" t="s">
        <v>257</v>
      </c>
      <c r="B3" s="47" t="s">
        <v>258</v>
      </c>
    </row>
    <row r="5" customFormat="false" ht="12.8" hidden="false" customHeight="false" outlineLevel="0" collapsed="false">
      <c r="A5" s="1" t="s">
        <v>259</v>
      </c>
      <c r="B5" s="47" t="s">
        <v>260</v>
      </c>
    </row>
    <row r="7" customFormat="false" ht="12.8" hidden="false" customHeight="false" outlineLevel="0" collapsed="false">
      <c r="A7" s="1" t="s">
        <v>261</v>
      </c>
      <c r="B7" s="47" t="s">
        <v>262</v>
      </c>
    </row>
    <row r="9" customFormat="false" ht="12.8" hidden="false" customHeight="true" outlineLevel="0" collapsed="false">
      <c r="A9" s="47" t="s">
        <v>263</v>
      </c>
      <c r="B9" s="1" t="s">
        <v>264</v>
      </c>
    </row>
    <row r="15" customFormat="false" ht="12.8" hidden="false" customHeight="true" outlineLevel="0" collapsed="false">
      <c r="B15" s="4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6" min="6" style="4" width="11.53"/>
    <col collapsed="false" customWidth="true" hidden="false" outlineLevel="0" max="7" min="7" style="4" width="13.66"/>
    <col collapsed="false" customWidth="true" hidden="false" outlineLevel="0" max="8" min="8" style="1" width="71.56"/>
    <col collapsed="false" customWidth="true" hidden="false" outlineLevel="0" max="10" min="10" style="1" width="26.12"/>
  </cols>
  <sheetData>
    <row r="1" customFormat="false" ht="12.8" hidden="false" customHeight="false" outlineLevel="0" collapsed="false">
      <c r="A1" s="8" t="s">
        <v>0</v>
      </c>
      <c r="B1" s="8" t="s">
        <v>1</v>
      </c>
      <c r="C1" s="8" t="s">
        <v>265</v>
      </c>
      <c r="D1" s="8" t="s">
        <v>266</v>
      </c>
      <c r="E1" s="8" t="s">
        <v>267</v>
      </c>
      <c r="F1" s="8" t="s">
        <v>268</v>
      </c>
      <c r="G1" s="8" t="s">
        <v>269</v>
      </c>
      <c r="H1" s="8" t="s">
        <v>270</v>
      </c>
      <c r="I1" s="8" t="s">
        <v>103</v>
      </c>
      <c r="J1" s="8" t="s">
        <v>271</v>
      </c>
    </row>
    <row r="2" customFormat="false" ht="12.8" hidden="false" customHeight="false" outlineLevel="0" collapsed="false">
      <c r="A2" s="1" t="s">
        <v>6</v>
      </c>
      <c r="B2" s="1" t="n">
        <v>2</v>
      </c>
      <c r="C2" s="1" t="n">
        <v>1</v>
      </c>
      <c r="D2" s="1" t="s">
        <v>210</v>
      </c>
      <c r="E2" s="1" t="s">
        <v>206</v>
      </c>
      <c r="F2" s="1" t="n">
        <v>3770</v>
      </c>
      <c r="G2" s="4" t="n">
        <v>0</v>
      </c>
      <c r="H2" s="1" t="s">
        <v>272</v>
      </c>
      <c r="I2" s="4" t="n">
        <v>1</v>
      </c>
      <c r="J2" s="1" t="str">
        <f aca="false">_xlfn.CONCAT("с",F2," ",D2,"/",E2,IF(G2=0,"","-" &amp; G2))</f>
        <v>с3770 Лист 1 мм/Тип 10</v>
      </c>
    </row>
    <row r="3" customFormat="false" ht="12.8" hidden="false" customHeight="false" outlineLevel="0" collapsed="false">
      <c r="A3" s="1" t="s">
        <v>6</v>
      </c>
      <c r="B3" s="1" t="n">
        <v>2</v>
      </c>
      <c r="C3" s="1" t="n">
        <v>2</v>
      </c>
      <c r="D3" s="1" t="s">
        <v>206</v>
      </c>
      <c r="E3" s="1" t="s">
        <v>198</v>
      </c>
      <c r="F3" s="1" t="n">
        <v>3770</v>
      </c>
      <c r="G3" s="4" t="n">
        <v>0</v>
      </c>
      <c r="H3" s="1" t="s">
        <v>273</v>
      </c>
      <c r="I3" s="4" t="n">
        <v>1</v>
      </c>
      <c r="J3" s="1" t="str">
        <f aca="false">_xlfn.CONCAT("с",F3," ",D3,"/",E3,IF(G3=0,"","-" &amp; G3))</f>
        <v>с3770 Тип 10/3а</v>
      </c>
    </row>
    <row r="4" customFormat="false" ht="12.8" hidden="false" customHeight="false" outlineLevel="0" collapsed="false">
      <c r="A4" s="1" t="s">
        <v>6</v>
      </c>
      <c r="B4" s="1" t="n">
        <v>2</v>
      </c>
      <c r="C4" s="1" t="n">
        <v>3</v>
      </c>
      <c r="D4" s="1" t="s">
        <v>198</v>
      </c>
      <c r="E4" s="1" t="s">
        <v>207</v>
      </c>
      <c r="F4" s="1" t="n">
        <v>3770</v>
      </c>
      <c r="G4" s="4" t="n">
        <v>0</v>
      </c>
      <c r="H4" s="1" t="s">
        <v>274</v>
      </c>
      <c r="I4" s="4" t="n">
        <v>1</v>
      </c>
      <c r="J4" s="1" t="str">
        <f aca="false">_xlfn.CONCAT("с",F4," ",D4,"/",E4,IF(G4=0,"","-" &amp; G4))</f>
        <v>с3770 3а/ВС</v>
      </c>
    </row>
    <row r="5" customFormat="false" ht="12.8" hidden="false" customHeight="false" outlineLevel="0" collapsed="false">
      <c r="A5" s="1" t="s">
        <v>6</v>
      </c>
      <c r="B5" s="1" t="n">
        <v>2</v>
      </c>
      <c r="C5" s="1" t="n">
        <v>4</v>
      </c>
      <c r="D5" s="1" t="s">
        <v>207</v>
      </c>
      <c r="E5" s="1" t="s">
        <v>208</v>
      </c>
      <c r="F5" s="1" t="n">
        <v>3770</v>
      </c>
      <c r="G5" s="4" t="n">
        <v>0</v>
      </c>
      <c r="H5" s="1" t="s">
        <v>275</v>
      </c>
      <c r="I5" s="4" t="n">
        <v>1</v>
      </c>
      <c r="J5" s="1" t="str">
        <f aca="false">_xlfn.CONCAT("с",F5," ",D5,"/",E5,IF(G5=0,"","-" &amp; G5))</f>
        <v>с3770 ВС/СН</v>
      </c>
    </row>
    <row r="6" customFormat="false" ht="12.8" hidden="false" customHeight="false" outlineLevel="0" collapsed="false">
      <c r="A6" s="1" t="s">
        <v>6</v>
      </c>
      <c r="B6" s="1" t="n">
        <v>2</v>
      </c>
      <c r="C6" s="1" t="n">
        <v>5</v>
      </c>
      <c r="D6" s="1" t="s">
        <v>208</v>
      </c>
      <c r="E6" s="1" t="s">
        <v>206</v>
      </c>
      <c r="F6" s="1" t="n">
        <v>3770</v>
      </c>
      <c r="G6" s="4" t="n">
        <v>0</v>
      </c>
      <c r="H6" s="1" t="s">
        <v>276</v>
      </c>
      <c r="I6" s="4" t="n">
        <v>1</v>
      </c>
      <c r="J6" s="1" t="str">
        <f aca="false">_xlfn.CONCAT("с",F6," ",D6,"/",E6,IF(G6=0,"","-" &amp; G6))</f>
        <v>с3770 СН/Тип 10</v>
      </c>
    </row>
    <row r="7" customFormat="false" ht="12.8" hidden="false" customHeight="false" outlineLevel="0" collapsed="false">
      <c r="A7" s="1" t="s">
        <v>6</v>
      </c>
      <c r="B7" s="1" t="n">
        <v>2</v>
      </c>
      <c r="C7" s="1" t="n">
        <v>6</v>
      </c>
      <c r="D7" s="1" t="s">
        <v>206</v>
      </c>
      <c r="E7" s="1" t="s">
        <v>198</v>
      </c>
      <c r="F7" s="1" t="n">
        <v>3770</v>
      </c>
      <c r="G7" s="4" t="n">
        <v>0</v>
      </c>
      <c r="H7" s="1" t="s">
        <v>273</v>
      </c>
      <c r="I7" s="4" t="n">
        <v>1</v>
      </c>
      <c r="J7" s="1" t="str">
        <f aca="false">_xlfn.CONCAT("с",F7," ",D7,"/",E7,IF(G7=0,"","-" &amp; G7))</f>
        <v>с3770 Тип 10/3а</v>
      </c>
    </row>
    <row r="8" customFormat="false" ht="12.8" hidden="false" customHeight="false" outlineLevel="0" collapsed="false">
      <c r="A8" s="1" t="s">
        <v>6</v>
      </c>
      <c r="B8" s="1" t="n">
        <v>2</v>
      </c>
      <c r="C8" s="1" t="n">
        <v>7</v>
      </c>
      <c r="D8" s="1" t="s">
        <v>198</v>
      </c>
      <c r="E8" s="1" t="s">
        <v>207</v>
      </c>
      <c r="F8" s="1" t="n">
        <v>3770</v>
      </c>
      <c r="G8" s="4" t="n">
        <v>0</v>
      </c>
      <c r="H8" s="1" t="s">
        <v>274</v>
      </c>
      <c r="I8" s="4" t="n">
        <v>1</v>
      </c>
      <c r="J8" s="1" t="str">
        <f aca="false">_xlfn.CONCAT("с",F8," ",D8,"/",E8,IF(G8=0,"","-" &amp; G8))</f>
        <v>с3770 3а/ВС</v>
      </c>
    </row>
    <row r="9" customFormat="false" ht="12.8" hidden="false" customHeight="false" outlineLevel="0" collapsed="false">
      <c r="A9" s="1" t="s">
        <v>6</v>
      </c>
      <c r="B9" s="1" t="n">
        <v>2</v>
      </c>
      <c r="C9" s="1" t="n">
        <v>8</v>
      </c>
      <c r="D9" s="1" t="s">
        <v>207</v>
      </c>
      <c r="E9" s="1" t="s">
        <v>208</v>
      </c>
      <c r="F9" s="1" t="n">
        <v>3770</v>
      </c>
      <c r="G9" s="4" t="n">
        <v>0</v>
      </c>
      <c r="H9" s="1" t="s">
        <v>275</v>
      </c>
      <c r="I9" s="4" t="n">
        <v>1</v>
      </c>
      <c r="J9" s="1" t="str">
        <f aca="false">_xlfn.CONCAT("с",F9," ",D9,"/",E9,IF(G9=0,"","-" &amp; G9))</f>
        <v>с3770 ВС/СН</v>
      </c>
    </row>
    <row r="10" customFormat="false" ht="12.8" hidden="false" customHeight="false" outlineLevel="0" collapsed="false">
      <c r="A10" s="1" t="s">
        <v>6</v>
      </c>
      <c r="B10" s="1" t="n">
        <v>2</v>
      </c>
      <c r="C10" s="1" t="n">
        <v>9</v>
      </c>
      <c r="D10" s="1" t="s">
        <v>208</v>
      </c>
      <c r="E10" s="1" t="s">
        <v>206</v>
      </c>
      <c r="F10" s="1" t="n">
        <v>3770</v>
      </c>
      <c r="G10" s="4" t="n">
        <v>0</v>
      </c>
      <c r="H10" s="1" t="s">
        <v>276</v>
      </c>
      <c r="I10" s="4" t="n">
        <v>1</v>
      </c>
      <c r="J10" s="1" t="str">
        <f aca="false">_xlfn.CONCAT("с",F10," ",D10,"/",E10,IF(G10=0,"","-" &amp; G10))</f>
        <v>с3770 СН/Тип 10</v>
      </c>
    </row>
    <row r="11" customFormat="false" ht="12.8" hidden="false" customHeight="false" outlineLevel="0" collapsed="false">
      <c r="A11" s="1" t="s">
        <v>6</v>
      </c>
      <c r="B11" s="1" t="n">
        <v>2</v>
      </c>
      <c r="C11" s="1" t="n">
        <v>10</v>
      </c>
      <c r="D11" s="1" t="s">
        <v>206</v>
      </c>
      <c r="E11" s="1" t="s">
        <v>200</v>
      </c>
      <c r="F11" s="1" t="n">
        <v>3770</v>
      </c>
      <c r="G11" s="4" t="n">
        <v>0</v>
      </c>
      <c r="H11" s="1" t="s">
        <v>277</v>
      </c>
      <c r="I11" s="4" t="n">
        <v>1</v>
      </c>
      <c r="J11" s="1" t="str">
        <f aca="false">_xlfn.CONCAT("с",F11," ",D11,"/",E11,IF(G11=0,"","-" &amp; G11))</f>
        <v>с3770 Тип 10/5а</v>
      </c>
    </row>
    <row r="12" customFormat="false" ht="12.8" hidden="false" customHeight="false" outlineLevel="0" collapsed="false">
      <c r="A12" s="1" t="s">
        <v>6</v>
      </c>
      <c r="B12" s="1" t="n">
        <v>2</v>
      </c>
      <c r="C12" s="1" t="n">
        <v>11</v>
      </c>
      <c r="D12" s="1" t="s">
        <v>200</v>
      </c>
      <c r="E12" s="1" t="s">
        <v>207</v>
      </c>
      <c r="F12" s="1" t="n">
        <v>3770</v>
      </c>
      <c r="G12" s="4" t="n">
        <v>0</v>
      </c>
      <c r="H12" s="1" t="s">
        <v>278</v>
      </c>
      <c r="I12" s="4" t="n">
        <v>1</v>
      </c>
      <c r="J12" s="1" t="str">
        <f aca="false">_xlfn.CONCAT("с",F12," ",D12,"/",E12,IF(G12=0,"","-" &amp; G12))</f>
        <v>с3770 5а/ВС</v>
      </c>
    </row>
    <row r="13" customFormat="false" ht="12.8" hidden="false" customHeight="false" outlineLevel="0" collapsed="false">
      <c r="A13" s="1" t="s">
        <v>6</v>
      </c>
      <c r="B13" s="1" t="n">
        <v>2</v>
      </c>
      <c r="C13" s="1" t="n">
        <v>12</v>
      </c>
      <c r="D13" s="1" t="s">
        <v>207</v>
      </c>
      <c r="E13" s="1" t="s">
        <v>206</v>
      </c>
      <c r="F13" s="1" t="n">
        <v>3770</v>
      </c>
      <c r="G13" s="4" t="n">
        <v>0</v>
      </c>
      <c r="H13" s="1" t="s">
        <v>279</v>
      </c>
      <c r="I13" s="4" t="n">
        <v>1</v>
      </c>
      <c r="J13" s="1" t="str">
        <f aca="false">_xlfn.CONCAT("с",F13," ",D13,"/",E13,IF(G13=0,"","-" &amp; G13))</f>
        <v>с3770 ВС/Тип 10</v>
      </c>
    </row>
    <row r="14" customFormat="false" ht="12.8" hidden="false" customHeight="false" outlineLevel="0" collapsed="false">
      <c r="A14" s="1" t="s">
        <v>6</v>
      </c>
      <c r="B14" s="1" t="n">
        <v>2</v>
      </c>
      <c r="C14" s="1" t="n">
        <v>13</v>
      </c>
      <c r="D14" s="1" t="s">
        <v>206</v>
      </c>
      <c r="E14" s="1" t="s">
        <v>208</v>
      </c>
      <c r="F14" s="1" t="n">
        <v>3770</v>
      </c>
      <c r="G14" s="4" t="n">
        <v>0</v>
      </c>
      <c r="H14" s="1" t="s">
        <v>280</v>
      </c>
      <c r="I14" s="4" t="n">
        <v>1</v>
      </c>
      <c r="J14" s="1" t="str">
        <f aca="false">_xlfn.CONCAT("с",F14," ",D14,"/",E14,IF(G14=0,"","-" &amp; G14))</f>
        <v>с3770 Тип 10/СН</v>
      </c>
    </row>
    <row r="15" customFormat="false" ht="12.8" hidden="false" customHeight="false" outlineLevel="0" collapsed="false">
      <c r="A15" s="1" t="s">
        <v>6</v>
      </c>
      <c r="B15" s="1" t="n">
        <v>2</v>
      </c>
      <c r="C15" s="1" t="n">
        <v>14</v>
      </c>
      <c r="D15" s="1" t="s">
        <v>208</v>
      </c>
      <c r="E15" s="1" t="s">
        <v>196</v>
      </c>
      <c r="F15" s="1" t="n">
        <v>3770</v>
      </c>
      <c r="G15" s="4" t="n">
        <v>0</v>
      </c>
      <c r="H15" s="1" t="s">
        <v>281</v>
      </c>
      <c r="I15" s="4" t="n">
        <v>1</v>
      </c>
      <c r="J15" s="1" t="str">
        <f aca="false">_xlfn.CONCAT("с",F15," ",D15,"/",E15,IF(G15=0,"","-" &amp; G15))</f>
        <v>с3770 СН/1а</v>
      </c>
    </row>
    <row r="16" customFormat="false" ht="12.8" hidden="false" customHeight="false" outlineLevel="0" collapsed="false">
      <c r="A16" s="1" t="s">
        <v>6</v>
      </c>
      <c r="B16" s="1" t="n">
        <v>2</v>
      </c>
      <c r="C16" s="1" t="n">
        <v>15</v>
      </c>
      <c r="D16" s="1" t="s">
        <v>196</v>
      </c>
      <c r="E16" s="1" t="s">
        <v>207</v>
      </c>
      <c r="F16" s="1" t="n">
        <v>3770</v>
      </c>
      <c r="G16" s="4" t="n">
        <v>0</v>
      </c>
      <c r="H16" s="1" t="s">
        <v>282</v>
      </c>
      <c r="I16" s="4" t="n">
        <v>1</v>
      </c>
      <c r="J16" s="1" t="str">
        <f aca="false">_xlfn.CONCAT("с",F16," ",D16,"/",E16,IF(G16=0,"","-" &amp; G16))</f>
        <v>с3770 1а/ВС</v>
      </c>
    </row>
    <row r="17" customFormat="false" ht="12.8" hidden="false" customHeight="false" outlineLevel="0" collapsed="false">
      <c r="A17" s="1" t="s">
        <v>6</v>
      </c>
      <c r="B17" s="1" t="n">
        <v>2</v>
      </c>
      <c r="C17" s="1" t="n">
        <v>16</v>
      </c>
      <c r="D17" s="1" t="s">
        <v>207</v>
      </c>
      <c r="E17" s="1" t="s">
        <v>208</v>
      </c>
      <c r="F17" s="1" t="n">
        <v>3770</v>
      </c>
      <c r="G17" s="4" t="n">
        <v>0</v>
      </c>
      <c r="H17" s="1" t="s">
        <v>275</v>
      </c>
      <c r="I17" s="4" t="n">
        <v>1</v>
      </c>
      <c r="J17" s="1" t="str">
        <f aca="false">_xlfn.CONCAT("с",F17," ",D17,"/",E17,IF(G17=0,"","-" &amp; G17))</f>
        <v>с3770 ВС/СН</v>
      </c>
    </row>
    <row r="18" customFormat="false" ht="12.8" hidden="false" customHeight="false" outlineLevel="0" collapsed="false">
      <c r="A18" s="1" t="s">
        <v>6</v>
      </c>
      <c r="B18" s="1" t="n">
        <v>2</v>
      </c>
      <c r="C18" s="1" t="n">
        <v>17</v>
      </c>
      <c r="D18" s="1" t="s">
        <v>208</v>
      </c>
      <c r="E18" s="1" t="s">
        <v>206</v>
      </c>
      <c r="F18" s="1" t="n">
        <v>3770</v>
      </c>
      <c r="G18" s="4" t="n">
        <v>0</v>
      </c>
      <c r="H18" s="1" t="s">
        <v>276</v>
      </c>
      <c r="I18" s="4" t="n">
        <v>1</v>
      </c>
      <c r="J18" s="1" t="str">
        <f aca="false">_xlfn.CONCAT("с",F18," ",D18,"/",E18,IF(G18=0,"","-" &amp; G18))</f>
        <v>с3770 СН/Тип 10</v>
      </c>
    </row>
    <row r="19" customFormat="false" ht="12.8" hidden="false" customHeight="false" outlineLevel="0" collapsed="false">
      <c r="A19" s="1" t="s">
        <v>6</v>
      </c>
      <c r="B19" s="1" t="n">
        <v>2</v>
      </c>
      <c r="C19" s="1" t="n">
        <v>18</v>
      </c>
      <c r="D19" s="1" t="s">
        <v>206</v>
      </c>
      <c r="E19" s="1" t="s">
        <v>200</v>
      </c>
      <c r="F19" s="1" t="n">
        <v>3770</v>
      </c>
      <c r="G19" s="4" t="n">
        <v>0</v>
      </c>
      <c r="H19" s="1" t="s">
        <v>277</v>
      </c>
      <c r="I19" s="4" t="n">
        <v>1</v>
      </c>
      <c r="J19" s="1" t="str">
        <f aca="false">_xlfn.CONCAT("с",F19," ",D19,"/",E19,IF(G19=0,"","-" &amp; G19))</f>
        <v>с3770 Тип 10/5а</v>
      </c>
    </row>
    <row r="20" customFormat="false" ht="12.8" hidden="false" customHeight="false" outlineLevel="0" collapsed="false">
      <c r="A20" s="1" t="s">
        <v>6</v>
      </c>
      <c r="B20" s="1" t="n">
        <v>2</v>
      </c>
      <c r="C20" s="1" t="n">
        <v>19</v>
      </c>
      <c r="D20" s="1" t="s">
        <v>200</v>
      </c>
      <c r="E20" s="1" t="s">
        <v>207</v>
      </c>
      <c r="F20" s="1" t="n">
        <v>3770</v>
      </c>
      <c r="G20" s="4" t="n">
        <v>0</v>
      </c>
      <c r="H20" s="1" t="s">
        <v>278</v>
      </c>
      <c r="I20" s="4" t="n">
        <v>1</v>
      </c>
      <c r="J20" s="1" t="str">
        <f aca="false">_xlfn.CONCAT("с",F20," ",D20,"/",E20,IF(G20=0,"","-" &amp; G20))</f>
        <v>с3770 5а/ВС</v>
      </c>
    </row>
    <row r="21" customFormat="false" ht="12.8" hidden="false" customHeight="false" outlineLevel="0" collapsed="false">
      <c r="A21" s="1" t="s">
        <v>6</v>
      </c>
      <c r="B21" s="1" t="n">
        <v>2</v>
      </c>
      <c r="C21" s="1" t="n">
        <v>20</v>
      </c>
      <c r="D21" s="1" t="s">
        <v>207</v>
      </c>
      <c r="E21" s="1" t="s">
        <v>206</v>
      </c>
      <c r="F21" s="1" t="n">
        <v>3770</v>
      </c>
      <c r="G21" s="4" t="n">
        <v>0</v>
      </c>
      <c r="H21" s="1" t="s">
        <v>279</v>
      </c>
      <c r="I21" s="4" t="n">
        <v>1</v>
      </c>
      <c r="J21" s="1" t="str">
        <f aca="false">_xlfn.CONCAT("с",F21," ",D21,"/",E21,IF(G21=0,"","-" &amp; G21))</f>
        <v>с3770 ВС/Тип 10</v>
      </c>
    </row>
    <row r="22" customFormat="false" ht="12.8" hidden="false" customHeight="false" outlineLevel="0" collapsed="false">
      <c r="A22" s="1" t="s">
        <v>6</v>
      </c>
      <c r="B22" s="1" t="n">
        <v>2</v>
      </c>
      <c r="C22" s="1" t="n">
        <v>21</v>
      </c>
      <c r="D22" s="1" t="s">
        <v>206</v>
      </c>
      <c r="E22" s="1" t="s">
        <v>208</v>
      </c>
      <c r="F22" s="1" t="n">
        <v>3770</v>
      </c>
      <c r="G22" s="4" t="n">
        <v>0</v>
      </c>
      <c r="H22" s="1" t="s">
        <v>280</v>
      </c>
      <c r="I22" s="4" t="n">
        <v>1</v>
      </c>
      <c r="J22" s="1" t="str">
        <f aca="false">_xlfn.CONCAT("с",F22," ",D22,"/",E22,IF(G22=0,"","-" &amp; G22))</f>
        <v>с3770 Тип 10/СН</v>
      </c>
    </row>
    <row r="23" customFormat="false" ht="12.8" hidden="false" customHeight="false" outlineLevel="0" collapsed="false">
      <c r="A23" s="1" t="s">
        <v>6</v>
      </c>
      <c r="B23" s="1" t="n">
        <v>2</v>
      </c>
      <c r="C23" s="1" t="n">
        <v>22</v>
      </c>
      <c r="D23" s="1" t="s">
        <v>208</v>
      </c>
      <c r="E23" s="1" t="s">
        <v>198</v>
      </c>
      <c r="F23" s="1" t="n">
        <v>3770</v>
      </c>
      <c r="G23" s="4" t="n">
        <v>0</v>
      </c>
      <c r="H23" s="1" t="s">
        <v>283</v>
      </c>
      <c r="I23" s="4" t="n">
        <v>1</v>
      </c>
      <c r="J23" s="1" t="str">
        <f aca="false">_xlfn.CONCAT("с",F23," ",D23,"/",E23,IF(G23=0,"","-" &amp; G23))</f>
        <v>с3770 СН/3а</v>
      </c>
    </row>
    <row r="24" customFormat="false" ht="12.8" hidden="false" customHeight="false" outlineLevel="0" collapsed="false">
      <c r="A24" s="1" t="s">
        <v>6</v>
      </c>
      <c r="B24" s="1" t="n">
        <v>2</v>
      </c>
      <c r="C24" s="1" t="n">
        <v>23</v>
      </c>
      <c r="D24" s="1" t="s">
        <v>198</v>
      </c>
      <c r="E24" s="1" t="s">
        <v>207</v>
      </c>
      <c r="F24" s="1" t="n">
        <v>3770</v>
      </c>
      <c r="G24" s="4" t="n">
        <v>0</v>
      </c>
      <c r="H24" s="1" t="s">
        <v>274</v>
      </c>
      <c r="I24" s="4" t="n">
        <v>1</v>
      </c>
      <c r="J24" s="1" t="str">
        <f aca="false">_xlfn.CONCAT("с",F24," ",D24,"/",E24,IF(G24=0,"","-" &amp; G24))</f>
        <v>с3770 3а/ВС</v>
      </c>
    </row>
    <row r="25" customFormat="false" ht="12.8" hidden="false" customHeight="false" outlineLevel="0" collapsed="false">
      <c r="A25" s="1" t="s">
        <v>6</v>
      </c>
      <c r="B25" s="1" t="n">
        <v>2</v>
      </c>
      <c r="C25" s="1" t="n">
        <v>24</v>
      </c>
      <c r="D25" s="1" t="s">
        <v>207</v>
      </c>
      <c r="E25" s="1" t="s">
        <v>206</v>
      </c>
      <c r="F25" s="1" t="n">
        <v>3770</v>
      </c>
      <c r="G25" s="4" t="n">
        <v>0</v>
      </c>
      <c r="H25" s="1" t="s">
        <v>279</v>
      </c>
      <c r="I25" s="4" t="n">
        <v>1</v>
      </c>
      <c r="J25" s="1" t="str">
        <f aca="false">_xlfn.CONCAT("с",F25," ",D25,"/",E25,IF(G25=0,"","-" &amp; G25))</f>
        <v>с3770 ВС/Тип 10</v>
      </c>
    </row>
    <row r="26" customFormat="false" ht="12.8" hidden="false" customHeight="false" outlineLevel="0" collapsed="false">
      <c r="A26" s="1" t="s">
        <v>6</v>
      </c>
      <c r="B26" s="1" t="n">
        <v>2</v>
      </c>
      <c r="C26" s="1" t="n">
        <v>25</v>
      </c>
      <c r="D26" s="1" t="s">
        <v>206</v>
      </c>
      <c r="E26" s="1" t="s">
        <v>208</v>
      </c>
      <c r="F26" s="1" t="n">
        <v>3770</v>
      </c>
      <c r="G26" s="4" t="n">
        <v>0</v>
      </c>
      <c r="H26" s="1" t="s">
        <v>280</v>
      </c>
      <c r="I26" s="4" t="n">
        <v>1</v>
      </c>
      <c r="J26" s="1" t="str">
        <f aca="false">_xlfn.CONCAT("с",F26," ",D26,"/",E26,IF(G26=0,"","-" &amp; G26))</f>
        <v>с3770 Тип 10/СН</v>
      </c>
    </row>
    <row r="27" customFormat="false" ht="12.8" hidden="false" customHeight="false" outlineLevel="0" collapsed="false">
      <c r="A27" s="1" t="s">
        <v>6</v>
      </c>
      <c r="B27" s="1" t="n">
        <v>2</v>
      </c>
      <c r="C27" s="1" t="n">
        <v>26</v>
      </c>
      <c r="D27" s="1" t="s">
        <v>208</v>
      </c>
      <c r="E27" s="1" t="s">
        <v>198</v>
      </c>
      <c r="F27" s="1" t="n">
        <v>3770</v>
      </c>
      <c r="G27" s="4" t="n">
        <v>0</v>
      </c>
      <c r="H27" s="1" t="s">
        <v>283</v>
      </c>
      <c r="I27" s="4" t="n">
        <v>1</v>
      </c>
      <c r="J27" s="1" t="str">
        <f aca="false">_xlfn.CONCAT("с",F27," ",D27,"/",E27,IF(G27=0,"","-" &amp; G27))</f>
        <v>с3770 СН/3а</v>
      </c>
    </row>
    <row r="28" customFormat="false" ht="12.8" hidden="false" customHeight="false" outlineLevel="0" collapsed="false">
      <c r="A28" s="1" t="s">
        <v>6</v>
      </c>
      <c r="B28" s="1" t="n">
        <v>2</v>
      </c>
      <c r="C28" s="1" t="n">
        <v>27</v>
      </c>
      <c r="D28" s="1" t="s">
        <v>198</v>
      </c>
      <c r="E28" s="1" t="s">
        <v>207</v>
      </c>
      <c r="F28" s="1" t="n">
        <v>3770</v>
      </c>
      <c r="G28" s="4" t="n">
        <v>0</v>
      </c>
      <c r="H28" s="1" t="s">
        <v>274</v>
      </c>
      <c r="I28" s="4" t="n">
        <v>1</v>
      </c>
      <c r="J28" s="1" t="str">
        <f aca="false">_xlfn.CONCAT("с",F28," ",D28,"/",E28,IF(G28=0,"","-" &amp; G28))</f>
        <v>с3770 3а/ВС</v>
      </c>
    </row>
    <row r="29" customFormat="false" ht="12.8" hidden="false" customHeight="false" outlineLevel="0" collapsed="false">
      <c r="A29" s="1" t="s">
        <v>6</v>
      </c>
      <c r="B29" s="1" t="n">
        <v>2</v>
      </c>
      <c r="C29" s="1" t="n">
        <v>28</v>
      </c>
      <c r="D29" s="1" t="s">
        <v>207</v>
      </c>
      <c r="E29" s="1" t="s">
        <v>206</v>
      </c>
      <c r="F29" s="1" t="n">
        <v>3770</v>
      </c>
      <c r="G29" s="4" t="n">
        <v>0</v>
      </c>
      <c r="H29" s="1" t="s">
        <v>279</v>
      </c>
      <c r="I29" s="4" t="n">
        <v>1</v>
      </c>
      <c r="J29" s="1" t="str">
        <f aca="false">_xlfn.CONCAT("с",F29," ",D29,"/",E29,IF(G29=0,"","-" &amp; G29))</f>
        <v>с3770 ВС/Тип 10</v>
      </c>
    </row>
    <row r="30" customFormat="false" ht="12.8" hidden="false" customHeight="false" outlineLevel="0" collapsed="false">
      <c r="A30" s="1" t="s">
        <v>6</v>
      </c>
      <c r="B30" s="1" t="n">
        <v>2</v>
      </c>
      <c r="C30" s="1" t="n">
        <v>29</v>
      </c>
      <c r="D30" s="1" t="s">
        <v>206</v>
      </c>
      <c r="E30" s="1" t="s">
        <v>210</v>
      </c>
      <c r="F30" s="1" t="n">
        <v>3770</v>
      </c>
      <c r="G30" s="4" t="n">
        <v>0</v>
      </c>
      <c r="H30" s="1" t="s">
        <v>284</v>
      </c>
      <c r="I30" s="4" t="n">
        <v>1</v>
      </c>
      <c r="J30" s="1" t="str">
        <f aca="false">_xlfn.CONCAT("с",F30," ",D30,"/",E30,IF(G30=0,"","-" &amp; G30))</f>
        <v>с3770 Тип 10/Лист 1 мм</v>
      </c>
    </row>
    <row r="31" customFormat="false" ht="12.8" hidden="false" customHeight="false" outlineLevel="0" collapsed="false">
      <c r="A31" s="1" t="s">
        <v>6</v>
      </c>
      <c r="B31" s="1" t="n">
        <v>3</v>
      </c>
      <c r="C31" s="1" t="n">
        <v>1</v>
      </c>
      <c r="D31" s="1" t="s">
        <v>210</v>
      </c>
      <c r="E31" s="1" t="s">
        <v>206</v>
      </c>
      <c r="F31" s="1" t="n">
        <v>3350</v>
      </c>
      <c r="G31" s="4" t="n">
        <v>0</v>
      </c>
      <c r="H31" s="1" t="s">
        <v>285</v>
      </c>
      <c r="I31" s="4" t="n">
        <v>1</v>
      </c>
      <c r="J31" s="1" t="str">
        <f aca="false">_xlfn.CONCAT("с",F31," ",D31,"/",E31,IF(G31=0,"","-" &amp; G31))</f>
        <v>с3350 Лист 1 мм/Тип 10</v>
      </c>
    </row>
    <row r="32" customFormat="false" ht="12.8" hidden="false" customHeight="false" outlineLevel="0" collapsed="false">
      <c r="A32" s="1" t="s">
        <v>6</v>
      </c>
      <c r="B32" s="1" t="n">
        <v>3</v>
      </c>
      <c r="C32" s="1" t="n">
        <v>2</v>
      </c>
      <c r="D32" s="1" t="s">
        <v>206</v>
      </c>
      <c r="E32" s="1" t="s">
        <v>207</v>
      </c>
      <c r="F32" s="1" t="n">
        <v>3350</v>
      </c>
      <c r="G32" s="4" t="n">
        <v>0</v>
      </c>
      <c r="H32" s="1" t="s">
        <v>286</v>
      </c>
      <c r="I32" s="4" t="n">
        <v>1</v>
      </c>
      <c r="J32" s="1" t="str">
        <f aca="false">_xlfn.CONCAT("с",F32," ",D32,"/",E32,IF(G32=0,"","-" &amp; G32))</f>
        <v>с3350 Тип 10/ВС</v>
      </c>
    </row>
    <row r="33" customFormat="false" ht="12.8" hidden="false" customHeight="false" outlineLevel="0" collapsed="false">
      <c r="A33" s="1" t="s">
        <v>6</v>
      </c>
      <c r="B33" s="1" t="n">
        <v>3</v>
      </c>
      <c r="C33" s="1" t="n">
        <v>3</v>
      </c>
      <c r="D33" s="1" t="s">
        <v>207</v>
      </c>
      <c r="E33" s="1" t="s">
        <v>198</v>
      </c>
      <c r="F33" s="1" t="n">
        <v>3350</v>
      </c>
      <c r="G33" s="4" t="n">
        <v>0</v>
      </c>
      <c r="H33" s="1" t="s">
        <v>287</v>
      </c>
      <c r="I33" s="4" t="n">
        <v>1</v>
      </c>
      <c r="J33" s="1" t="str">
        <f aca="false">_xlfn.CONCAT("с",F33," ",D33,"/",E33,IF(G33=0,"","-" &amp; G33))</f>
        <v>с3350 ВС/3а</v>
      </c>
    </row>
    <row r="34" customFormat="false" ht="12.8" hidden="false" customHeight="false" outlineLevel="0" collapsed="false">
      <c r="A34" s="1" t="s">
        <v>6</v>
      </c>
      <c r="B34" s="1" t="n">
        <v>3</v>
      </c>
      <c r="C34" s="1" t="n">
        <v>4</v>
      </c>
      <c r="D34" s="1" t="s">
        <v>198</v>
      </c>
      <c r="E34" s="1" t="s">
        <v>208</v>
      </c>
      <c r="F34" s="1" t="n">
        <v>3350</v>
      </c>
      <c r="G34" s="4" t="n">
        <v>0</v>
      </c>
      <c r="H34" s="1" t="s">
        <v>288</v>
      </c>
      <c r="I34" s="4" t="n">
        <v>1</v>
      </c>
      <c r="J34" s="1" t="str">
        <f aca="false">_xlfn.CONCAT("с",F34," ",D34,"/",E34,IF(G34=0,"","-" &amp; G34))</f>
        <v>с3350 3а/СН</v>
      </c>
    </row>
    <row r="35" customFormat="false" ht="12.8" hidden="false" customHeight="false" outlineLevel="0" collapsed="false">
      <c r="A35" s="1" t="s">
        <v>6</v>
      </c>
      <c r="B35" s="1" t="n">
        <v>3</v>
      </c>
      <c r="C35" s="1" t="n">
        <v>5</v>
      </c>
      <c r="D35" s="1" t="s">
        <v>208</v>
      </c>
      <c r="E35" s="1" t="s">
        <v>206</v>
      </c>
      <c r="F35" s="1" t="n">
        <v>3350</v>
      </c>
      <c r="G35" s="4" t="n">
        <v>0</v>
      </c>
      <c r="H35" s="1" t="s">
        <v>289</v>
      </c>
      <c r="I35" s="4" t="n">
        <v>1</v>
      </c>
      <c r="J35" s="1" t="str">
        <f aca="false">_xlfn.CONCAT("с",F35," ",D35,"/",E35,IF(G35=0,"","-" &amp; G35))</f>
        <v>с3350 СН/Тип 10</v>
      </c>
    </row>
    <row r="36" customFormat="false" ht="12.8" hidden="false" customHeight="false" outlineLevel="0" collapsed="false">
      <c r="A36" s="1" t="s">
        <v>6</v>
      </c>
      <c r="B36" s="1" t="n">
        <v>3</v>
      </c>
      <c r="C36" s="1" t="n">
        <v>6</v>
      </c>
      <c r="D36" s="1" t="s">
        <v>206</v>
      </c>
      <c r="E36" s="1" t="s">
        <v>207</v>
      </c>
      <c r="F36" s="1" t="n">
        <v>3350</v>
      </c>
      <c r="G36" s="4" t="n">
        <v>0</v>
      </c>
      <c r="H36" s="1" t="s">
        <v>286</v>
      </c>
      <c r="I36" s="4" t="n">
        <v>1</v>
      </c>
      <c r="J36" s="1" t="str">
        <f aca="false">_xlfn.CONCAT("с",F36," ",D36,"/",E36,IF(G36=0,"","-" &amp; G36))</f>
        <v>с3350 Тип 10/ВС</v>
      </c>
    </row>
    <row r="37" customFormat="false" ht="12.8" hidden="false" customHeight="false" outlineLevel="0" collapsed="false">
      <c r="A37" s="1" t="s">
        <v>6</v>
      </c>
      <c r="B37" s="1" t="n">
        <v>3</v>
      </c>
      <c r="C37" s="1" t="n">
        <v>7</v>
      </c>
      <c r="D37" s="1" t="s">
        <v>207</v>
      </c>
      <c r="E37" s="1" t="s">
        <v>198</v>
      </c>
      <c r="F37" s="1" t="n">
        <v>3350</v>
      </c>
      <c r="G37" s="4" t="n">
        <v>0</v>
      </c>
      <c r="H37" s="1" t="s">
        <v>287</v>
      </c>
      <c r="I37" s="4" t="n">
        <v>1</v>
      </c>
      <c r="J37" s="1" t="str">
        <f aca="false">_xlfn.CONCAT("с",F37," ",D37,"/",E37,IF(G37=0,"","-" &amp; G37))</f>
        <v>с3350 ВС/3а</v>
      </c>
    </row>
    <row r="38" customFormat="false" ht="12.8" hidden="false" customHeight="false" outlineLevel="0" collapsed="false">
      <c r="A38" s="1" t="s">
        <v>6</v>
      </c>
      <c r="B38" s="1" t="n">
        <v>3</v>
      </c>
      <c r="C38" s="1" t="n">
        <v>8</v>
      </c>
      <c r="D38" s="1" t="s">
        <v>198</v>
      </c>
      <c r="E38" s="1" t="s">
        <v>208</v>
      </c>
      <c r="F38" s="1" t="n">
        <v>3350</v>
      </c>
      <c r="G38" s="4" t="n">
        <v>0</v>
      </c>
      <c r="H38" s="1" t="s">
        <v>288</v>
      </c>
      <c r="I38" s="4" t="n">
        <v>1</v>
      </c>
      <c r="J38" s="1" t="str">
        <f aca="false">_xlfn.CONCAT("с",F38," ",D38,"/",E38,IF(G38=0,"","-" &amp; G38))</f>
        <v>с3350 3а/СН</v>
      </c>
    </row>
    <row r="39" customFormat="false" ht="12.8" hidden="false" customHeight="false" outlineLevel="0" collapsed="false">
      <c r="A39" s="1" t="s">
        <v>6</v>
      </c>
      <c r="B39" s="1" t="n">
        <v>3</v>
      </c>
      <c r="C39" s="1" t="n">
        <v>9</v>
      </c>
      <c r="D39" s="1" t="s">
        <v>208</v>
      </c>
      <c r="E39" s="1" t="s">
        <v>206</v>
      </c>
      <c r="F39" s="1" t="n">
        <v>3350</v>
      </c>
      <c r="G39" s="4" t="n">
        <v>0</v>
      </c>
      <c r="H39" s="1" t="s">
        <v>289</v>
      </c>
      <c r="I39" s="4" t="n">
        <v>1</v>
      </c>
      <c r="J39" s="1" t="str">
        <f aca="false">_xlfn.CONCAT("с",F39," ",D39,"/",E39,IF(G39=0,"","-" &amp; G39))</f>
        <v>с3350 СН/Тип 10</v>
      </c>
    </row>
    <row r="40" customFormat="false" ht="12.8" hidden="false" customHeight="false" outlineLevel="0" collapsed="false">
      <c r="A40" s="1" t="s">
        <v>6</v>
      </c>
      <c r="B40" s="1" t="n">
        <v>3</v>
      </c>
      <c r="C40" s="1" t="n">
        <v>10</v>
      </c>
      <c r="D40" s="1" t="s">
        <v>206</v>
      </c>
      <c r="E40" s="1" t="s">
        <v>207</v>
      </c>
      <c r="F40" s="1" t="n">
        <v>3350</v>
      </c>
      <c r="G40" s="4" t="n">
        <v>0</v>
      </c>
      <c r="H40" s="1" t="s">
        <v>286</v>
      </c>
      <c r="I40" s="4" t="n">
        <v>1</v>
      </c>
      <c r="J40" s="1" t="str">
        <f aca="false">_xlfn.CONCAT("с",F40," ",D40,"/",E40,IF(G40=0,"","-" &amp; G40))</f>
        <v>с3350 Тип 10/ВС</v>
      </c>
    </row>
    <row r="41" customFormat="false" ht="12.8" hidden="false" customHeight="false" outlineLevel="0" collapsed="false">
      <c r="A41" s="1" t="s">
        <v>6</v>
      </c>
      <c r="B41" s="1" t="n">
        <v>3</v>
      </c>
      <c r="C41" s="1" t="n">
        <v>11</v>
      </c>
      <c r="D41" s="1" t="s">
        <v>207</v>
      </c>
      <c r="E41" s="1" t="s">
        <v>200</v>
      </c>
      <c r="F41" s="1" t="n">
        <v>3350</v>
      </c>
      <c r="G41" s="4" t="n">
        <v>0</v>
      </c>
      <c r="H41" s="1" t="s">
        <v>290</v>
      </c>
      <c r="I41" s="4" t="n">
        <v>1</v>
      </c>
      <c r="J41" s="1" t="str">
        <f aca="false">_xlfn.CONCAT("с",F41," ",D41,"/",E41,IF(G41=0,"","-" &amp; G41))</f>
        <v>с3350 ВС/5а</v>
      </c>
    </row>
    <row r="42" customFormat="false" ht="12.8" hidden="false" customHeight="false" outlineLevel="0" collapsed="false">
      <c r="A42" s="1" t="s">
        <v>6</v>
      </c>
      <c r="B42" s="1" t="n">
        <v>3</v>
      </c>
      <c r="C42" s="1" t="n">
        <v>12</v>
      </c>
      <c r="D42" s="1" t="s">
        <v>200</v>
      </c>
      <c r="E42" s="1" t="s">
        <v>206</v>
      </c>
      <c r="F42" s="1" t="n">
        <v>3350</v>
      </c>
      <c r="G42" s="4" t="n">
        <v>0</v>
      </c>
      <c r="H42" s="1" t="s">
        <v>291</v>
      </c>
      <c r="I42" s="4" t="n">
        <v>1</v>
      </c>
      <c r="J42" s="1" t="str">
        <f aca="false">_xlfn.CONCAT("с",F42," ",D42,"/",E42,IF(G42=0,"","-" &amp; G42))</f>
        <v>с3350 5а/Тип 10</v>
      </c>
    </row>
    <row r="43" customFormat="false" ht="12.8" hidden="false" customHeight="false" outlineLevel="0" collapsed="false">
      <c r="A43" s="1" t="s">
        <v>6</v>
      </c>
      <c r="B43" s="1" t="n">
        <v>3</v>
      </c>
      <c r="C43" s="1" t="n">
        <v>13</v>
      </c>
      <c r="D43" s="1" t="s">
        <v>206</v>
      </c>
      <c r="E43" s="1" t="s">
        <v>208</v>
      </c>
      <c r="F43" s="1" t="n">
        <v>3350</v>
      </c>
      <c r="G43" s="4" t="n">
        <v>0</v>
      </c>
      <c r="H43" s="1" t="s">
        <v>292</v>
      </c>
      <c r="I43" s="4" t="n">
        <v>1</v>
      </c>
      <c r="J43" s="1" t="str">
        <f aca="false">_xlfn.CONCAT("с",F43," ",D43,"/",E43,IF(G43=0,"","-" &amp; G43))</f>
        <v>с3350 Тип 10/СН</v>
      </c>
    </row>
    <row r="44" customFormat="false" ht="12.8" hidden="false" customHeight="false" outlineLevel="0" collapsed="false">
      <c r="A44" s="1" t="s">
        <v>6</v>
      </c>
      <c r="B44" s="1" t="n">
        <v>3</v>
      </c>
      <c r="C44" s="1" t="n">
        <v>14</v>
      </c>
      <c r="D44" s="1" t="s">
        <v>208</v>
      </c>
      <c r="E44" s="1" t="s">
        <v>207</v>
      </c>
      <c r="F44" s="1" t="n">
        <v>3350</v>
      </c>
      <c r="G44" s="4" t="n">
        <v>0</v>
      </c>
      <c r="H44" s="1" t="s">
        <v>293</v>
      </c>
      <c r="I44" s="4" t="n">
        <v>1</v>
      </c>
      <c r="J44" s="1" t="str">
        <f aca="false">_xlfn.CONCAT("с",F44," ",D44,"/",E44,IF(G44=0,"","-" &amp; G44))</f>
        <v>с3350 СН/ВС</v>
      </c>
    </row>
    <row r="45" customFormat="false" ht="12.8" hidden="false" customHeight="false" outlineLevel="0" collapsed="false">
      <c r="A45" s="1" t="s">
        <v>6</v>
      </c>
      <c r="B45" s="1" t="n">
        <v>3</v>
      </c>
      <c r="C45" s="1" t="n">
        <v>15</v>
      </c>
      <c r="D45" s="1" t="s">
        <v>207</v>
      </c>
      <c r="E45" s="1" t="s">
        <v>196</v>
      </c>
      <c r="F45" s="1" t="n">
        <v>3350</v>
      </c>
      <c r="G45" s="4" t="n">
        <v>0</v>
      </c>
      <c r="H45" s="1" t="s">
        <v>294</v>
      </c>
      <c r="I45" s="4" t="n">
        <v>1</v>
      </c>
      <c r="J45" s="1" t="str">
        <f aca="false">_xlfn.CONCAT("с",F45," ",D45,"/",E45,IF(G45=0,"","-" &amp; G45))</f>
        <v>с3350 ВС/1а</v>
      </c>
    </row>
    <row r="46" customFormat="false" ht="12.8" hidden="false" customHeight="false" outlineLevel="0" collapsed="false">
      <c r="A46" s="1" t="s">
        <v>6</v>
      </c>
      <c r="B46" s="1" t="n">
        <v>3</v>
      </c>
      <c r="C46" s="1" t="n">
        <v>16</v>
      </c>
      <c r="D46" s="1" t="s">
        <v>196</v>
      </c>
      <c r="E46" s="1" t="s">
        <v>208</v>
      </c>
      <c r="F46" s="1" t="n">
        <v>3350</v>
      </c>
      <c r="G46" s="4" t="n">
        <v>0</v>
      </c>
      <c r="H46" s="1" t="s">
        <v>295</v>
      </c>
      <c r="I46" s="4" t="n">
        <v>1</v>
      </c>
      <c r="J46" s="1" t="str">
        <f aca="false">_xlfn.CONCAT("с",F46," ",D46,"/",E46,IF(G46=0,"","-" &amp; G46))</f>
        <v>с3350 1а/СН</v>
      </c>
    </row>
    <row r="47" customFormat="false" ht="12.8" hidden="false" customHeight="false" outlineLevel="0" collapsed="false">
      <c r="A47" s="1" t="s">
        <v>6</v>
      </c>
      <c r="B47" s="1" t="n">
        <v>3</v>
      </c>
      <c r="C47" s="1" t="n">
        <v>17</v>
      </c>
      <c r="D47" s="1" t="s">
        <v>208</v>
      </c>
      <c r="E47" s="1" t="s">
        <v>206</v>
      </c>
      <c r="F47" s="1" t="n">
        <v>3350</v>
      </c>
      <c r="G47" s="4" t="n">
        <v>0</v>
      </c>
      <c r="H47" s="1" t="s">
        <v>289</v>
      </c>
      <c r="I47" s="4" t="n">
        <v>1</v>
      </c>
      <c r="J47" s="1" t="str">
        <f aca="false">_xlfn.CONCAT("с",F47," ",D47,"/",E47,IF(G47=0,"","-" &amp; G47))</f>
        <v>с3350 СН/Тип 10</v>
      </c>
    </row>
    <row r="48" customFormat="false" ht="12.8" hidden="false" customHeight="false" outlineLevel="0" collapsed="false">
      <c r="A48" s="1" t="s">
        <v>6</v>
      </c>
      <c r="B48" s="1" t="n">
        <v>3</v>
      </c>
      <c r="C48" s="1" t="n">
        <v>18</v>
      </c>
      <c r="D48" s="1" t="s">
        <v>206</v>
      </c>
      <c r="E48" s="1" t="s">
        <v>207</v>
      </c>
      <c r="F48" s="1" t="n">
        <v>3350</v>
      </c>
      <c r="G48" s="4" t="n">
        <v>0</v>
      </c>
      <c r="H48" s="1" t="s">
        <v>286</v>
      </c>
      <c r="I48" s="4" t="n">
        <v>1</v>
      </c>
      <c r="J48" s="1" t="str">
        <f aca="false">_xlfn.CONCAT("с",F48," ",D48,"/",E48,IF(G48=0,"","-" &amp; G48))</f>
        <v>с3350 Тип 10/ВС</v>
      </c>
    </row>
    <row r="49" customFormat="false" ht="12.8" hidden="false" customHeight="false" outlineLevel="0" collapsed="false">
      <c r="A49" s="1" t="s">
        <v>6</v>
      </c>
      <c r="B49" s="1" t="n">
        <v>3</v>
      </c>
      <c r="C49" s="1" t="n">
        <v>19</v>
      </c>
      <c r="D49" s="1" t="s">
        <v>207</v>
      </c>
      <c r="E49" s="1" t="s">
        <v>200</v>
      </c>
      <c r="F49" s="1" t="n">
        <v>3350</v>
      </c>
      <c r="G49" s="4" t="n">
        <v>0</v>
      </c>
      <c r="H49" s="1" t="s">
        <v>290</v>
      </c>
      <c r="I49" s="4" t="n">
        <v>1</v>
      </c>
      <c r="J49" s="1" t="str">
        <f aca="false">_xlfn.CONCAT("с",F49," ",D49,"/",E49,IF(G49=0,"","-" &amp; G49))</f>
        <v>с3350 ВС/5а</v>
      </c>
    </row>
    <row r="50" customFormat="false" ht="12.8" hidden="false" customHeight="false" outlineLevel="0" collapsed="false">
      <c r="A50" s="1" t="s">
        <v>6</v>
      </c>
      <c r="B50" s="1" t="n">
        <v>3</v>
      </c>
      <c r="C50" s="1" t="n">
        <v>20</v>
      </c>
      <c r="D50" s="1" t="s">
        <v>200</v>
      </c>
      <c r="E50" s="1" t="s">
        <v>206</v>
      </c>
      <c r="F50" s="1" t="n">
        <v>3350</v>
      </c>
      <c r="G50" s="4" t="n">
        <v>0</v>
      </c>
      <c r="H50" s="1" t="s">
        <v>291</v>
      </c>
      <c r="I50" s="4" t="n">
        <v>1</v>
      </c>
      <c r="J50" s="1" t="str">
        <f aca="false">_xlfn.CONCAT("с",F50," ",D50,"/",E50,IF(G50=0,"","-" &amp; G50))</f>
        <v>с3350 5а/Тип 10</v>
      </c>
    </row>
    <row r="51" customFormat="false" ht="12.8" hidden="false" customHeight="false" outlineLevel="0" collapsed="false">
      <c r="A51" s="1" t="s">
        <v>6</v>
      </c>
      <c r="B51" s="1" t="n">
        <v>3</v>
      </c>
      <c r="C51" s="1" t="n">
        <v>21</v>
      </c>
      <c r="D51" s="1" t="s">
        <v>206</v>
      </c>
      <c r="E51" s="1" t="s">
        <v>208</v>
      </c>
      <c r="F51" s="1" t="n">
        <v>3350</v>
      </c>
      <c r="G51" s="4" t="n">
        <v>0</v>
      </c>
      <c r="H51" s="1" t="s">
        <v>292</v>
      </c>
      <c r="I51" s="4" t="n">
        <v>1</v>
      </c>
      <c r="J51" s="1" t="str">
        <f aca="false">_xlfn.CONCAT("с",F51," ",D51,"/",E51,IF(G51=0,"","-" &amp; G51))</f>
        <v>с3350 Тип 10/СН</v>
      </c>
    </row>
    <row r="52" customFormat="false" ht="12.8" hidden="false" customHeight="false" outlineLevel="0" collapsed="false">
      <c r="A52" s="1" t="s">
        <v>6</v>
      </c>
      <c r="B52" s="1" t="n">
        <v>3</v>
      </c>
      <c r="C52" s="1" t="n">
        <v>22</v>
      </c>
      <c r="D52" s="1" t="s">
        <v>208</v>
      </c>
      <c r="E52" s="1" t="s">
        <v>207</v>
      </c>
      <c r="F52" s="1" t="n">
        <v>3350</v>
      </c>
      <c r="G52" s="4" t="n">
        <v>0</v>
      </c>
      <c r="H52" s="1" t="s">
        <v>293</v>
      </c>
      <c r="I52" s="4" t="n">
        <v>1</v>
      </c>
      <c r="J52" s="1" t="str">
        <f aca="false">_xlfn.CONCAT("с",F52," ",D52,"/",E52,IF(G52=0,"","-" &amp; G52))</f>
        <v>с3350 СН/ВС</v>
      </c>
    </row>
    <row r="53" customFormat="false" ht="12.8" hidden="false" customHeight="false" outlineLevel="0" collapsed="false">
      <c r="A53" s="1" t="s">
        <v>6</v>
      </c>
      <c r="B53" s="1" t="n">
        <v>3</v>
      </c>
      <c r="C53" s="1" t="n">
        <v>23</v>
      </c>
      <c r="D53" s="1" t="s">
        <v>207</v>
      </c>
      <c r="E53" s="1" t="s">
        <v>198</v>
      </c>
      <c r="F53" s="1" t="n">
        <v>3350</v>
      </c>
      <c r="G53" s="4" t="n">
        <v>0</v>
      </c>
      <c r="H53" s="1" t="s">
        <v>287</v>
      </c>
      <c r="I53" s="4" t="n">
        <v>1</v>
      </c>
      <c r="J53" s="1" t="str">
        <f aca="false">_xlfn.CONCAT("с",F53," ",D53,"/",E53,IF(G53=0,"","-" &amp; G53))</f>
        <v>с3350 ВС/3а</v>
      </c>
    </row>
    <row r="54" customFormat="false" ht="12.8" hidden="false" customHeight="false" outlineLevel="0" collapsed="false">
      <c r="A54" s="1" t="s">
        <v>6</v>
      </c>
      <c r="B54" s="1" t="n">
        <v>3</v>
      </c>
      <c r="C54" s="1" t="n">
        <v>24</v>
      </c>
      <c r="D54" s="1" t="s">
        <v>198</v>
      </c>
      <c r="E54" s="1" t="s">
        <v>206</v>
      </c>
      <c r="F54" s="1" t="n">
        <v>3350</v>
      </c>
      <c r="G54" s="4" t="n">
        <v>0</v>
      </c>
      <c r="H54" s="1" t="s">
        <v>296</v>
      </c>
      <c r="I54" s="4" t="n">
        <v>1</v>
      </c>
      <c r="J54" s="1" t="str">
        <f aca="false">_xlfn.CONCAT("с",F54," ",D54,"/",E54,IF(G54=0,"","-" &amp; G54))</f>
        <v>с3350 3а/Тип 10</v>
      </c>
    </row>
    <row r="55" customFormat="false" ht="12.8" hidden="false" customHeight="false" outlineLevel="0" collapsed="false">
      <c r="A55" s="1" t="s">
        <v>6</v>
      </c>
      <c r="B55" s="1" t="n">
        <v>3</v>
      </c>
      <c r="C55" s="1" t="n">
        <v>25</v>
      </c>
      <c r="D55" s="1" t="s">
        <v>206</v>
      </c>
      <c r="E55" s="1" t="s">
        <v>208</v>
      </c>
      <c r="F55" s="1" t="n">
        <v>3350</v>
      </c>
      <c r="G55" s="4" t="n">
        <v>0</v>
      </c>
      <c r="H55" s="1" t="s">
        <v>292</v>
      </c>
      <c r="I55" s="4" t="n">
        <v>1</v>
      </c>
      <c r="J55" s="1" t="str">
        <f aca="false">_xlfn.CONCAT("с",F55," ",D55,"/",E55,IF(G55=0,"","-" &amp; G55))</f>
        <v>с3350 Тип 10/СН</v>
      </c>
    </row>
    <row r="56" customFormat="false" ht="12.8" hidden="false" customHeight="false" outlineLevel="0" collapsed="false">
      <c r="A56" s="1" t="s">
        <v>6</v>
      </c>
      <c r="B56" s="1" t="n">
        <v>3</v>
      </c>
      <c r="C56" s="1" t="n">
        <v>26</v>
      </c>
      <c r="D56" s="1" t="s">
        <v>208</v>
      </c>
      <c r="E56" s="1" t="s">
        <v>207</v>
      </c>
      <c r="F56" s="1" t="n">
        <v>3350</v>
      </c>
      <c r="G56" s="4" t="n">
        <v>0</v>
      </c>
      <c r="H56" s="1" t="s">
        <v>293</v>
      </c>
      <c r="I56" s="4" t="n">
        <v>1</v>
      </c>
      <c r="J56" s="1" t="str">
        <f aca="false">_xlfn.CONCAT("с",F56," ",D56,"/",E56,IF(G56=0,"","-" &amp; G56))</f>
        <v>с3350 СН/ВС</v>
      </c>
    </row>
    <row r="57" customFormat="false" ht="12.8" hidden="false" customHeight="false" outlineLevel="0" collapsed="false">
      <c r="A57" s="1" t="s">
        <v>6</v>
      </c>
      <c r="B57" s="1" t="n">
        <v>3</v>
      </c>
      <c r="C57" s="1" t="n">
        <v>27</v>
      </c>
      <c r="D57" s="1" t="s">
        <v>207</v>
      </c>
      <c r="E57" s="1" t="s">
        <v>198</v>
      </c>
      <c r="F57" s="1" t="n">
        <v>3350</v>
      </c>
      <c r="G57" s="4" t="n">
        <v>0</v>
      </c>
      <c r="H57" s="1" t="s">
        <v>287</v>
      </c>
      <c r="I57" s="4" t="n">
        <v>1</v>
      </c>
      <c r="J57" s="1" t="str">
        <f aca="false">_xlfn.CONCAT("с",F57," ",D57,"/",E57,IF(G57=0,"","-" &amp; G57))</f>
        <v>с3350 ВС/3а</v>
      </c>
    </row>
    <row r="58" customFormat="false" ht="12.8" hidden="false" customHeight="false" outlineLevel="0" collapsed="false">
      <c r="A58" s="1" t="s">
        <v>6</v>
      </c>
      <c r="B58" s="1" t="n">
        <v>3</v>
      </c>
      <c r="C58" s="1" t="n">
        <v>28</v>
      </c>
      <c r="D58" s="1" t="s">
        <v>198</v>
      </c>
      <c r="E58" s="1" t="s">
        <v>206</v>
      </c>
      <c r="F58" s="1" t="n">
        <v>3350</v>
      </c>
      <c r="G58" s="4" t="n">
        <v>0</v>
      </c>
      <c r="H58" s="1" t="s">
        <v>296</v>
      </c>
      <c r="I58" s="4" t="n">
        <v>1</v>
      </c>
      <c r="J58" s="1" t="str">
        <f aca="false">_xlfn.CONCAT("с",F58," ",D58,"/",E58,IF(G58=0,"","-" &amp; G58))</f>
        <v>с3350 3а/Тип 10</v>
      </c>
    </row>
    <row r="59" customFormat="false" ht="12.8" hidden="false" customHeight="false" outlineLevel="0" collapsed="false">
      <c r="A59" s="1" t="s">
        <v>6</v>
      </c>
      <c r="B59" s="1" t="n">
        <v>3</v>
      </c>
      <c r="C59" s="1" t="n">
        <v>29</v>
      </c>
      <c r="D59" s="1" t="s">
        <v>206</v>
      </c>
      <c r="E59" s="1" t="s">
        <v>210</v>
      </c>
      <c r="F59" s="1" t="n">
        <v>3350</v>
      </c>
      <c r="G59" s="4" t="n">
        <v>0</v>
      </c>
      <c r="H59" s="1" t="s">
        <v>297</v>
      </c>
      <c r="I59" s="4" t="n">
        <v>1</v>
      </c>
      <c r="J59" s="1" t="str">
        <f aca="false">_xlfn.CONCAT("с",F59," ",D59,"/",E59,IF(G59=0,"","-" &amp; G59))</f>
        <v>с3350 Тип 10/Лист 1 мм</v>
      </c>
    </row>
    <row r="60" customFormat="false" ht="12.8" hidden="false" customHeight="false" outlineLevel="0" collapsed="false">
      <c r="A60" s="1" t="s">
        <v>6</v>
      </c>
      <c r="B60" s="1" t="n">
        <v>4</v>
      </c>
      <c r="C60" s="1" t="n">
        <v>1</v>
      </c>
      <c r="D60" s="1" t="s">
        <v>210</v>
      </c>
      <c r="E60" s="1" t="s">
        <v>206</v>
      </c>
      <c r="F60" s="1" t="n">
        <v>3350</v>
      </c>
      <c r="G60" s="4" t="n">
        <v>0</v>
      </c>
      <c r="H60" s="1" t="s">
        <v>285</v>
      </c>
      <c r="I60" s="4" t="n">
        <v>1</v>
      </c>
      <c r="J60" s="1" t="str">
        <f aca="false">_xlfn.CONCAT("с",F60," ",D60,"/",E60,IF(G60=0,"","-" &amp; G60))</f>
        <v>с3350 Лист 1 мм/Тип 10</v>
      </c>
    </row>
    <row r="61" customFormat="false" ht="12.8" hidden="false" customHeight="false" outlineLevel="0" collapsed="false">
      <c r="A61" s="1" t="s">
        <v>6</v>
      </c>
      <c r="B61" s="1" t="n">
        <v>4</v>
      </c>
      <c r="C61" s="1" t="n">
        <v>2</v>
      </c>
      <c r="D61" s="1" t="s">
        <v>206</v>
      </c>
      <c r="E61" s="1" t="s">
        <v>198</v>
      </c>
      <c r="F61" s="1" t="n">
        <v>3350</v>
      </c>
      <c r="G61" s="4" t="n">
        <v>0</v>
      </c>
      <c r="H61" s="1" t="s">
        <v>298</v>
      </c>
      <c r="I61" s="4" t="n">
        <v>1</v>
      </c>
      <c r="J61" s="1" t="str">
        <f aca="false">_xlfn.CONCAT("с",F61," ",D61,"/",E61,IF(G61=0,"","-" &amp; G61))</f>
        <v>с3350 Тип 10/3а</v>
      </c>
    </row>
    <row r="62" customFormat="false" ht="12.8" hidden="false" customHeight="false" outlineLevel="0" collapsed="false">
      <c r="A62" s="1" t="s">
        <v>6</v>
      </c>
      <c r="B62" s="1" t="n">
        <v>4</v>
      </c>
      <c r="C62" s="1" t="n">
        <v>3</v>
      </c>
      <c r="D62" s="1" t="s">
        <v>198</v>
      </c>
      <c r="E62" s="1" t="s">
        <v>207</v>
      </c>
      <c r="F62" s="1" t="n">
        <v>3350</v>
      </c>
      <c r="G62" s="4" t="n">
        <v>0</v>
      </c>
      <c r="H62" s="1" t="s">
        <v>299</v>
      </c>
      <c r="I62" s="4" t="n">
        <v>1</v>
      </c>
      <c r="J62" s="1" t="str">
        <f aca="false">_xlfn.CONCAT("с",F62," ",D62,"/",E62,IF(G62=0,"","-" &amp; G62))</f>
        <v>с3350 3а/ВС</v>
      </c>
    </row>
    <row r="63" customFormat="false" ht="12.8" hidden="false" customHeight="false" outlineLevel="0" collapsed="false">
      <c r="A63" s="1" t="s">
        <v>6</v>
      </c>
      <c r="B63" s="1" t="n">
        <v>4</v>
      </c>
      <c r="C63" s="1" t="n">
        <v>4</v>
      </c>
      <c r="D63" s="1" t="s">
        <v>207</v>
      </c>
      <c r="E63" s="1" t="s">
        <v>208</v>
      </c>
      <c r="F63" s="1" t="n">
        <v>3350</v>
      </c>
      <c r="G63" s="4" t="n">
        <v>0</v>
      </c>
      <c r="H63" s="1" t="s">
        <v>300</v>
      </c>
      <c r="I63" s="4" t="n">
        <v>1</v>
      </c>
      <c r="J63" s="1" t="str">
        <f aca="false">_xlfn.CONCAT("с",F63," ",D63,"/",E63,IF(G63=0,"","-" &amp; G63))</f>
        <v>с3350 ВС/СН</v>
      </c>
    </row>
    <row r="64" customFormat="false" ht="12.8" hidden="false" customHeight="false" outlineLevel="0" collapsed="false">
      <c r="A64" s="1" t="s">
        <v>6</v>
      </c>
      <c r="B64" s="1" t="n">
        <v>4</v>
      </c>
      <c r="C64" s="1" t="n">
        <v>5</v>
      </c>
      <c r="D64" s="1" t="s">
        <v>208</v>
      </c>
      <c r="E64" s="1" t="s">
        <v>206</v>
      </c>
      <c r="F64" s="1" t="n">
        <v>3350</v>
      </c>
      <c r="G64" s="4" t="n">
        <v>0</v>
      </c>
      <c r="H64" s="1" t="s">
        <v>289</v>
      </c>
      <c r="I64" s="4" t="n">
        <v>1</v>
      </c>
      <c r="J64" s="1" t="str">
        <f aca="false">_xlfn.CONCAT("с",F64," ",D64,"/",E64,IF(G64=0,"","-" &amp; G64))</f>
        <v>с3350 СН/Тип 10</v>
      </c>
    </row>
    <row r="65" customFormat="false" ht="12.8" hidden="false" customHeight="false" outlineLevel="0" collapsed="false">
      <c r="A65" s="1" t="s">
        <v>6</v>
      </c>
      <c r="B65" s="1" t="n">
        <v>4</v>
      </c>
      <c r="C65" s="1" t="n">
        <v>6</v>
      </c>
      <c r="D65" s="1" t="s">
        <v>206</v>
      </c>
      <c r="E65" s="1" t="s">
        <v>198</v>
      </c>
      <c r="F65" s="1" t="n">
        <v>3350</v>
      </c>
      <c r="G65" s="4" t="n">
        <v>0</v>
      </c>
      <c r="H65" s="1" t="s">
        <v>298</v>
      </c>
      <c r="I65" s="4" t="n">
        <v>1</v>
      </c>
      <c r="J65" s="1" t="str">
        <f aca="false">_xlfn.CONCAT("с",F65," ",D65,"/",E65,IF(G65=0,"","-" &amp; G65))</f>
        <v>с3350 Тип 10/3а</v>
      </c>
    </row>
    <row r="66" customFormat="false" ht="12.8" hidden="false" customHeight="false" outlineLevel="0" collapsed="false">
      <c r="A66" s="1" t="s">
        <v>6</v>
      </c>
      <c r="B66" s="1" t="n">
        <v>4</v>
      </c>
      <c r="C66" s="1" t="n">
        <v>7</v>
      </c>
      <c r="D66" s="1" t="s">
        <v>198</v>
      </c>
      <c r="E66" s="1" t="s">
        <v>207</v>
      </c>
      <c r="F66" s="1" t="n">
        <v>3350</v>
      </c>
      <c r="G66" s="4" t="n">
        <v>0</v>
      </c>
      <c r="H66" s="1" t="s">
        <v>299</v>
      </c>
      <c r="I66" s="4" t="n">
        <v>1</v>
      </c>
      <c r="J66" s="1" t="str">
        <f aca="false">_xlfn.CONCAT("с",F66," ",D66,"/",E66,IF(G66=0,"","-" &amp; G66))</f>
        <v>с3350 3а/ВС</v>
      </c>
    </row>
    <row r="67" customFormat="false" ht="12.8" hidden="false" customHeight="false" outlineLevel="0" collapsed="false">
      <c r="A67" s="1" t="s">
        <v>6</v>
      </c>
      <c r="B67" s="1" t="n">
        <v>4</v>
      </c>
      <c r="C67" s="1" t="n">
        <v>8</v>
      </c>
      <c r="D67" s="1" t="s">
        <v>207</v>
      </c>
      <c r="E67" s="1" t="s">
        <v>208</v>
      </c>
      <c r="F67" s="1" t="n">
        <v>3350</v>
      </c>
      <c r="G67" s="4" t="n">
        <v>0</v>
      </c>
      <c r="H67" s="1" t="s">
        <v>300</v>
      </c>
      <c r="I67" s="4" t="n">
        <v>1</v>
      </c>
      <c r="J67" s="1" t="str">
        <f aca="false">_xlfn.CONCAT("с",F67," ",D67,"/",E67,IF(G67=0,"","-" &amp; G67))</f>
        <v>с3350 ВС/СН</v>
      </c>
    </row>
    <row r="68" customFormat="false" ht="12.8" hidden="false" customHeight="false" outlineLevel="0" collapsed="false">
      <c r="A68" s="1" t="s">
        <v>6</v>
      </c>
      <c r="B68" s="1" t="n">
        <v>4</v>
      </c>
      <c r="C68" s="1" t="n">
        <v>9</v>
      </c>
      <c r="D68" s="1" t="s">
        <v>208</v>
      </c>
      <c r="E68" s="1" t="s">
        <v>206</v>
      </c>
      <c r="F68" s="1" t="n">
        <v>3350</v>
      </c>
      <c r="G68" s="4" t="n">
        <v>0</v>
      </c>
      <c r="H68" s="1" t="s">
        <v>289</v>
      </c>
      <c r="I68" s="4" t="n">
        <v>1</v>
      </c>
      <c r="J68" s="1" t="str">
        <f aca="false">_xlfn.CONCAT("с",F68," ",D68,"/",E68,IF(G68=0,"","-" &amp; G68))</f>
        <v>с3350 СН/Тип 10</v>
      </c>
    </row>
    <row r="69" customFormat="false" ht="12.8" hidden="false" customHeight="false" outlineLevel="0" collapsed="false">
      <c r="A69" s="1" t="s">
        <v>6</v>
      </c>
      <c r="B69" s="1" t="n">
        <v>4</v>
      </c>
      <c r="C69" s="1" t="n">
        <v>10</v>
      </c>
      <c r="D69" s="1" t="s">
        <v>206</v>
      </c>
      <c r="E69" s="1" t="s">
        <v>200</v>
      </c>
      <c r="F69" s="1" t="n">
        <v>3350</v>
      </c>
      <c r="G69" s="4" t="n">
        <v>0</v>
      </c>
      <c r="H69" s="1" t="s">
        <v>301</v>
      </c>
      <c r="I69" s="4" t="n">
        <v>1</v>
      </c>
      <c r="J69" s="1" t="str">
        <f aca="false">_xlfn.CONCAT("с",F69," ",D69,"/",E69,IF(G69=0,"","-" &amp; G69))</f>
        <v>с3350 Тип 10/5а</v>
      </c>
    </row>
    <row r="70" customFormat="false" ht="12.8" hidden="false" customHeight="false" outlineLevel="0" collapsed="false">
      <c r="A70" s="1" t="s">
        <v>6</v>
      </c>
      <c r="B70" s="1" t="n">
        <v>4</v>
      </c>
      <c r="C70" s="1" t="n">
        <v>11</v>
      </c>
      <c r="D70" s="1" t="s">
        <v>200</v>
      </c>
      <c r="E70" s="1" t="s">
        <v>207</v>
      </c>
      <c r="F70" s="1" t="n">
        <v>3350</v>
      </c>
      <c r="G70" s="4" t="n">
        <v>0</v>
      </c>
      <c r="H70" s="1" t="s">
        <v>302</v>
      </c>
      <c r="I70" s="4" t="n">
        <v>1</v>
      </c>
      <c r="J70" s="1" t="str">
        <f aca="false">_xlfn.CONCAT("с",F70," ",D70,"/",E70,IF(G70=0,"","-" &amp; G70))</f>
        <v>с3350 5а/ВС</v>
      </c>
    </row>
    <row r="71" customFormat="false" ht="12.8" hidden="false" customHeight="false" outlineLevel="0" collapsed="false">
      <c r="A71" s="1" t="s">
        <v>6</v>
      </c>
      <c r="B71" s="1" t="n">
        <v>4</v>
      </c>
      <c r="C71" s="1" t="n">
        <v>12</v>
      </c>
      <c r="D71" s="1" t="s">
        <v>207</v>
      </c>
      <c r="E71" s="1" t="s">
        <v>206</v>
      </c>
      <c r="F71" s="1" t="n">
        <v>3350</v>
      </c>
      <c r="G71" s="4" t="n">
        <v>0</v>
      </c>
      <c r="H71" s="1" t="s">
        <v>303</v>
      </c>
      <c r="I71" s="4" t="n">
        <v>1</v>
      </c>
      <c r="J71" s="1" t="str">
        <f aca="false">_xlfn.CONCAT("с",F71," ",D71,"/",E71,IF(G71=0,"","-" &amp; G71))</f>
        <v>с3350 ВС/Тип 10</v>
      </c>
    </row>
    <row r="72" customFormat="false" ht="12.8" hidden="false" customHeight="false" outlineLevel="0" collapsed="false">
      <c r="A72" s="1" t="s">
        <v>6</v>
      </c>
      <c r="B72" s="1" t="n">
        <v>4</v>
      </c>
      <c r="C72" s="1" t="n">
        <v>13</v>
      </c>
      <c r="D72" s="1" t="s">
        <v>206</v>
      </c>
      <c r="E72" s="1" t="s">
        <v>208</v>
      </c>
      <c r="F72" s="1" t="n">
        <v>3350</v>
      </c>
      <c r="G72" s="4" t="n">
        <v>0</v>
      </c>
      <c r="H72" s="1" t="s">
        <v>292</v>
      </c>
      <c r="I72" s="4" t="n">
        <v>1</v>
      </c>
      <c r="J72" s="1" t="str">
        <f aca="false">_xlfn.CONCAT("с",F72," ",D72,"/",E72,IF(G72=0,"","-" &amp; G72))</f>
        <v>с3350 Тип 10/СН</v>
      </c>
    </row>
    <row r="73" customFormat="false" ht="12.8" hidden="false" customHeight="false" outlineLevel="0" collapsed="false">
      <c r="A73" s="1" t="s">
        <v>6</v>
      </c>
      <c r="B73" s="1" t="n">
        <v>4</v>
      </c>
      <c r="C73" s="1" t="n">
        <v>14</v>
      </c>
      <c r="D73" s="1" t="s">
        <v>208</v>
      </c>
      <c r="E73" s="1" t="s">
        <v>196</v>
      </c>
      <c r="F73" s="1" t="n">
        <v>3350</v>
      </c>
      <c r="G73" s="4" t="n">
        <v>0</v>
      </c>
      <c r="H73" s="1" t="s">
        <v>304</v>
      </c>
      <c r="I73" s="4" t="n">
        <v>1</v>
      </c>
      <c r="J73" s="1" t="str">
        <f aca="false">_xlfn.CONCAT("с",F73," ",D73,"/",E73,IF(G73=0,"","-" &amp; G73))</f>
        <v>с3350 СН/1а</v>
      </c>
    </row>
    <row r="74" customFormat="false" ht="12.8" hidden="false" customHeight="false" outlineLevel="0" collapsed="false">
      <c r="A74" s="1" t="s">
        <v>6</v>
      </c>
      <c r="B74" s="1" t="n">
        <v>4</v>
      </c>
      <c r="C74" s="1" t="n">
        <v>15</v>
      </c>
      <c r="D74" s="1" t="s">
        <v>196</v>
      </c>
      <c r="E74" s="1" t="s">
        <v>207</v>
      </c>
      <c r="F74" s="1" t="n">
        <v>3350</v>
      </c>
      <c r="G74" s="4" t="n">
        <v>0</v>
      </c>
      <c r="H74" s="1" t="s">
        <v>305</v>
      </c>
      <c r="I74" s="4" t="n">
        <v>1</v>
      </c>
      <c r="J74" s="1" t="str">
        <f aca="false">_xlfn.CONCAT("с",F74," ",D74,"/",E74,IF(G74=0,"","-" &amp; G74))</f>
        <v>с3350 1а/ВС</v>
      </c>
    </row>
    <row r="75" customFormat="false" ht="12.8" hidden="false" customHeight="false" outlineLevel="0" collapsed="false">
      <c r="A75" s="1" t="s">
        <v>6</v>
      </c>
      <c r="B75" s="1" t="n">
        <v>4</v>
      </c>
      <c r="C75" s="1" t="n">
        <v>16</v>
      </c>
      <c r="D75" s="1" t="s">
        <v>207</v>
      </c>
      <c r="E75" s="1" t="s">
        <v>208</v>
      </c>
      <c r="F75" s="1" t="n">
        <v>3350</v>
      </c>
      <c r="G75" s="4" t="n">
        <v>0</v>
      </c>
      <c r="H75" s="1" t="s">
        <v>300</v>
      </c>
      <c r="I75" s="4" t="n">
        <v>1</v>
      </c>
      <c r="J75" s="1" t="str">
        <f aca="false">_xlfn.CONCAT("с",F75," ",D75,"/",E75,IF(G75=0,"","-" &amp; G75))</f>
        <v>с3350 ВС/СН</v>
      </c>
    </row>
    <row r="76" customFormat="false" ht="12.8" hidden="false" customHeight="false" outlineLevel="0" collapsed="false">
      <c r="A76" s="1" t="s">
        <v>6</v>
      </c>
      <c r="B76" s="1" t="n">
        <v>4</v>
      </c>
      <c r="C76" s="1" t="n">
        <v>17</v>
      </c>
      <c r="D76" s="1" t="s">
        <v>208</v>
      </c>
      <c r="E76" s="1" t="s">
        <v>206</v>
      </c>
      <c r="F76" s="1" t="n">
        <v>3350</v>
      </c>
      <c r="G76" s="4" t="n">
        <v>0</v>
      </c>
      <c r="H76" s="1" t="s">
        <v>289</v>
      </c>
      <c r="I76" s="4" t="n">
        <v>1</v>
      </c>
      <c r="J76" s="1" t="str">
        <f aca="false">_xlfn.CONCAT("с",F76," ",D76,"/",E76,IF(G76=0,"","-" &amp; G76))</f>
        <v>с3350 СН/Тип 10</v>
      </c>
    </row>
    <row r="77" customFormat="false" ht="12.8" hidden="false" customHeight="false" outlineLevel="0" collapsed="false">
      <c r="A77" s="1" t="s">
        <v>6</v>
      </c>
      <c r="B77" s="1" t="n">
        <v>4</v>
      </c>
      <c r="C77" s="1" t="n">
        <v>18</v>
      </c>
      <c r="D77" s="1" t="s">
        <v>206</v>
      </c>
      <c r="E77" s="1" t="s">
        <v>200</v>
      </c>
      <c r="F77" s="1" t="n">
        <v>3350</v>
      </c>
      <c r="G77" s="4" t="n">
        <v>0</v>
      </c>
      <c r="H77" s="1" t="s">
        <v>301</v>
      </c>
      <c r="I77" s="4" t="n">
        <v>1</v>
      </c>
      <c r="J77" s="1" t="str">
        <f aca="false">_xlfn.CONCAT("с",F77," ",D77,"/",E77,IF(G77=0,"","-" &amp; G77))</f>
        <v>с3350 Тип 10/5а</v>
      </c>
    </row>
    <row r="78" customFormat="false" ht="12.8" hidden="false" customHeight="false" outlineLevel="0" collapsed="false">
      <c r="A78" s="1" t="s">
        <v>6</v>
      </c>
      <c r="B78" s="1" t="n">
        <v>4</v>
      </c>
      <c r="C78" s="1" t="n">
        <v>19</v>
      </c>
      <c r="D78" s="1" t="s">
        <v>200</v>
      </c>
      <c r="E78" s="1" t="s">
        <v>207</v>
      </c>
      <c r="F78" s="1" t="n">
        <v>3350</v>
      </c>
      <c r="G78" s="4" t="n">
        <v>0</v>
      </c>
      <c r="H78" s="1" t="s">
        <v>302</v>
      </c>
      <c r="I78" s="4" t="n">
        <v>1</v>
      </c>
      <c r="J78" s="1" t="str">
        <f aca="false">_xlfn.CONCAT("с",F78," ",D78,"/",E78,IF(G78=0,"","-" &amp; G78))</f>
        <v>с3350 5а/ВС</v>
      </c>
    </row>
    <row r="79" customFormat="false" ht="12.8" hidden="false" customHeight="false" outlineLevel="0" collapsed="false">
      <c r="A79" s="1" t="s">
        <v>6</v>
      </c>
      <c r="B79" s="1" t="n">
        <v>4</v>
      </c>
      <c r="C79" s="1" t="n">
        <v>20</v>
      </c>
      <c r="D79" s="1" t="s">
        <v>207</v>
      </c>
      <c r="E79" s="1" t="s">
        <v>206</v>
      </c>
      <c r="F79" s="1" t="n">
        <v>3350</v>
      </c>
      <c r="G79" s="4" t="n">
        <v>0</v>
      </c>
      <c r="H79" s="1" t="s">
        <v>303</v>
      </c>
      <c r="I79" s="4" t="n">
        <v>1</v>
      </c>
      <c r="J79" s="1" t="str">
        <f aca="false">_xlfn.CONCAT("с",F79," ",D79,"/",E79,IF(G79=0,"","-" &amp; G79))</f>
        <v>с3350 ВС/Тип 10</v>
      </c>
    </row>
    <row r="80" customFormat="false" ht="12.8" hidden="false" customHeight="false" outlineLevel="0" collapsed="false">
      <c r="A80" s="1" t="s">
        <v>6</v>
      </c>
      <c r="B80" s="1" t="n">
        <v>4</v>
      </c>
      <c r="C80" s="1" t="n">
        <v>21</v>
      </c>
      <c r="D80" s="1" t="s">
        <v>206</v>
      </c>
      <c r="E80" s="1" t="s">
        <v>208</v>
      </c>
      <c r="F80" s="1" t="n">
        <v>3350</v>
      </c>
      <c r="G80" s="4" t="n">
        <v>0</v>
      </c>
      <c r="H80" s="1" t="s">
        <v>292</v>
      </c>
      <c r="I80" s="4" t="n">
        <v>1</v>
      </c>
      <c r="J80" s="1" t="str">
        <f aca="false">_xlfn.CONCAT("с",F80," ",D80,"/",E80,IF(G80=0,"","-" &amp; G80))</f>
        <v>с3350 Тип 10/СН</v>
      </c>
    </row>
    <row r="81" customFormat="false" ht="12.8" hidden="false" customHeight="false" outlineLevel="0" collapsed="false">
      <c r="A81" s="1" t="s">
        <v>6</v>
      </c>
      <c r="B81" s="1" t="n">
        <v>4</v>
      </c>
      <c r="C81" s="1" t="n">
        <v>22</v>
      </c>
      <c r="D81" s="1" t="s">
        <v>208</v>
      </c>
      <c r="E81" s="1" t="s">
        <v>198</v>
      </c>
      <c r="F81" s="1" t="n">
        <v>3350</v>
      </c>
      <c r="G81" s="4" t="n">
        <v>0</v>
      </c>
      <c r="H81" s="1" t="s">
        <v>306</v>
      </c>
      <c r="I81" s="4" t="n">
        <v>1</v>
      </c>
      <c r="J81" s="1" t="str">
        <f aca="false">_xlfn.CONCAT("с",F81," ",D81,"/",E81,IF(G81=0,"","-" &amp; G81))</f>
        <v>с3350 СН/3а</v>
      </c>
    </row>
    <row r="82" customFormat="false" ht="12.8" hidden="false" customHeight="false" outlineLevel="0" collapsed="false">
      <c r="A82" s="1" t="s">
        <v>6</v>
      </c>
      <c r="B82" s="1" t="n">
        <v>4</v>
      </c>
      <c r="C82" s="1" t="n">
        <v>23</v>
      </c>
      <c r="D82" s="1" t="s">
        <v>198</v>
      </c>
      <c r="E82" s="1" t="s">
        <v>207</v>
      </c>
      <c r="F82" s="1" t="n">
        <v>3350</v>
      </c>
      <c r="G82" s="4" t="n">
        <v>0</v>
      </c>
      <c r="H82" s="1" t="s">
        <v>299</v>
      </c>
      <c r="I82" s="4" t="n">
        <v>1</v>
      </c>
      <c r="J82" s="1" t="str">
        <f aca="false">_xlfn.CONCAT("с",F82," ",D82,"/",E82,IF(G82=0,"","-" &amp; G82))</f>
        <v>с3350 3а/ВС</v>
      </c>
    </row>
    <row r="83" customFormat="false" ht="12.8" hidden="false" customHeight="false" outlineLevel="0" collapsed="false">
      <c r="A83" s="1" t="s">
        <v>6</v>
      </c>
      <c r="B83" s="1" t="n">
        <v>4</v>
      </c>
      <c r="C83" s="1" t="n">
        <v>24</v>
      </c>
      <c r="D83" s="1" t="s">
        <v>207</v>
      </c>
      <c r="E83" s="1" t="s">
        <v>206</v>
      </c>
      <c r="F83" s="1" t="n">
        <v>3350</v>
      </c>
      <c r="G83" s="4" t="n">
        <v>0</v>
      </c>
      <c r="H83" s="1" t="s">
        <v>303</v>
      </c>
      <c r="I83" s="4" t="n">
        <v>1</v>
      </c>
      <c r="J83" s="1" t="str">
        <f aca="false">_xlfn.CONCAT("с",F83," ",D83,"/",E83,IF(G83=0,"","-" &amp; G83))</f>
        <v>с3350 ВС/Тип 10</v>
      </c>
    </row>
    <row r="84" customFormat="false" ht="12.8" hidden="false" customHeight="false" outlineLevel="0" collapsed="false">
      <c r="A84" s="1" t="s">
        <v>6</v>
      </c>
      <c r="B84" s="1" t="n">
        <v>4</v>
      </c>
      <c r="C84" s="1" t="n">
        <v>25</v>
      </c>
      <c r="D84" s="1" t="s">
        <v>206</v>
      </c>
      <c r="E84" s="1" t="s">
        <v>208</v>
      </c>
      <c r="F84" s="1" t="n">
        <v>3350</v>
      </c>
      <c r="G84" s="4" t="n">
        <v>0</v>
      </c>
      <c r="H84" s="1" t="s">
        <v>292</v>
      </c>
      <c r="I84" s="4" t="n">
        <v>1</v>
      </c>
      <c r="J84" s="1" t="str">
        <f aca="false">_xlfn.CONCAT("с",F84," ",D84,"/",E84,IF(G84=0,"","-" &amp; G84))</f>
        <v>с3350 Тип 10/СН</v>
      </c>
    </row>
    <row r="85" customFormat="false" ht="12.8" hidden="false" customHeight="false" outlineLevel="0" collapsed="false">
      <c r="A85" s="1" t="s">
        <v>6</v>
      </c>
      <c r="B85" s="1" t="n">
        <v>4</v>
      </c>
      <c r="C85" s="1" t="n">
        <v>26</v>
      </c>
      <c r="D85" s="1" t="s">
        <v>208</v>
      </c>
      <c r="E85" s="1" t="s">
        <v>198</v>
      </c>
      <c r="F85" s="1" t="n">
        <v>3350</v>
      </c>
      <c r="G85" s="4" t="n">
        <v>0</v>
      </c>
      <c r="H85" s="1" t="s">
        <v>306</v>
      </c>
      <c r="I85" s="4" t="n">
        <v>1</v>
      </c>
      <c r="J85" s="1" t="str">
        <f aca="false">_xlfn.CONCAT("с",F85," ",D85,"/",E85,IF(G85=0,"","-" &amp; G85))</f>
        <v>с3350 СН/3а</v>
      </c>
    </row>
    <row r="86" customFormat="false" ht="12.8" hidden="false" customHeight="false" outlineLevel="0" collapsed="false">
      <c r="A86" s="1" t="s">
        <v>6</v>
      </c>
      <c r="B86" s="1" t="n">
        <v>4</v>
      </c>
      <c r="C86" s="1" t="n">
        <v>27</v>
      </c>
      <c r="D86" s="1" t="s">
        <v>198</v>
      </c>
      <c r="E86" s="1" t="s">
        <v>207</v>
      </c>
      <c r="F86" s="1" t="n">
        <v>3350</v>
      </c>
      <c r="G86" s="4" t="n">
        <v>0</v>
      </c>
      <c r="H86" s="1" t="s">
        <v>299</v>
      </c>
      <c r="I86" s="4" t="n">
        <v>1</v>
      </c>
      <c r="J86" s="1" t="str">
        <f aca="false">_xlfn.CONCAT("с",F86," ",D86,"/",E86,IF(G86=0,"","-" &amp; G86))</f>
        <v>с3350 3а/ВС</v>
      </c>
    </row>
    <row r="87" customFormat="false" ht="12.8" hidden="false" customHeight="false" outlineLevel="0" collapsed="false">
      <c r="A87" s="1" t="s">
        <v>6</v>
      </c>
      <c r="B87" s="1" t="n">
        <v>4</v>
      </c>
      <c r="C87" s="1" t="n">
        <v>28</v>
      </c>
      <c r="D87" s="1" t="s">
        <v>207</v>
      </c>
      <c r="E87" s="1" t="s">
        <v>206</v>
      </c>
      <c r="F87" s="1" t="n">
        <v>3350</v>
      </c>
      <c r="G87" s="4" t="n">
        <v>0</v>
      </c>
      <c r="H87" s="1" t="s">
        <v>303</v>
      </c>
      <c r="I87" s="4" t="n">
        <v>1</v>
      </c>
      <c r="J87" s="1" t="str">
        <f aca="false">_xlfn.CONCAT("с",F87," ",D87,"/",E87,IF(G87=0,"","-" &amp; G87))</f>
        <v>с3350 ВС/Тип 10</v>
      </c>
    </row>
    <row r="88" customFormat="false" ht="12.8" hidden="false" customHeight="false" outlineLevel="0" collapsed="false">
      <c r="A88" s="1" t="s">
        <v>6</v>
      </c>
      <c r="B88" s="1" t="n">
        <v>4</v>
      </c>
      <c r="C88" s="1" t="n">
        <v>29</v>
      </c>
      <c r="D88" s="1" t="s">
        <v>206</v>
      </c>
      <c r="E88" s="1" t="s">
        <v>210</v>
      </c>
      <c r="F88" s="1" t="n">
        <v>3350</v>
      </c>
      <c r="G88" s="4" t="n">
        <v>0</v>
      </c>
      <c r="H88" s="1" t="s">
        <v>297</v>
      </c>
      <c r="I88" s="4" t="n">
        <v>1</v>
      </c>
      <c r="J88" s="1" t="str">
        <f aca="false">_xlfn.CONCAT("с",F88," ",D88,"/",E88,IF(G88=0,"","-" &amp; G88))</f>
        <v>с3350 Тип 10/Лист 1 мм</v>
      </c>
    </row>
    <row r="89" customFormat="false" ht="12.8" hidden="false" customHeight="false" outlineLevel="0" collapsed="false">
      <c r="A89" s="1" t="s">
        <v>6</v>
      </c>
      <c r="B89" s="1" t="n">
        <v>19</v>
      </c>
      <c r="C89" s="1" t="n">
        <v>1</v>
      </c>
      <c r="D89" s="1" t="s">
        <v>210</v>
      </c>
      <c r="E89" s="1" t="s">
        <v>206</v>
      </c>
      <c r="F89" s="1" t="n">
        <v>3510</v>
      </c>
      <c r="G89" s="4" t="n">
        <v>0</v>
      </c>
      <c r="H89" s="1" t="s">
        <v>307</v>
      </c>
      <c r="I89" s="4" t="n">
        <v>1</v>
      </c>
      <c r="J89" s="1" t="str">
        <f aca="false">_xlfn.CONCAT("с",F89," ",D89,"/",E89,IF(G89=0,"","-" &amp; G89))</f>
        <v>с3510 Лист 1 мм/Тип 10</v>
      </c>
    </row>
    <row r="90" customFormat="false" ht="12.8" hidden="false" customHeight="false" outlineLevel="0" collapsed="false">
      <c r="A90" s="1" t="s">
        <v>6</v>
      </c>
      <c r="B90" s="1" t="n">
        <v>19</v>
      </c>
      <c r="C90" s="1" t="n">
        <v>2</v>
      </c>
      <c r="D90" s="1" t="s">
        <v>206</v>
      </c>
      <c r="E90" s="1" t="s">
        <v>207</v>
      </c>
      <c r="F90" s="1" t="n">
        <v>3510</v>
      </c>
      <c r="G90" s="4" t="n">
        <v>0</v>
      </c>
      <c r="H90" s="1" t="s">
        <v>308</v>
      </c>
      <c r="I90" s="4" t="n">
        <v>1</v>
      </c>
      <c r="J90" s="1" t="str">
        <f aca="false">_xlfn.CONCAT("с",F90," ",D90,"/",E90,IF(G90=0,"","-" &amp; G90))</f>
        <v>с3510 Тип 10/ВС</v>
      </c>
    </row>
    <row r="91" customFormat="false" ht="12.8" hidden="false" customHeight="false" outlineLevel="0" collapsed="false">
      <c r="A91" s="1" t="s">
        <v>6</v>
      </c>
      <c r="B91" s="1" t="n">
        <v>19</v>
      </c>
      <c r="C91" s="1" t="n">
        <v>3</v>
      </c>
      <c r="D91" s="1" t="s">
        <v>207</v>
      </c>
      <c r="E91" s="1" t="s">
        <v>198</v>
      </c>
      <c r="F91" s="1" t="n">
        <v>3510</v>
      </c>
      <c r="G91" s="4" t="n">
        <v>0</v>
      </c>
      <c r="H91" s="1" t="s">
        <v>309</v>
      </c>
      <c r="I91" s="4" t="n">
        <v>1</v>
      </c>
      <c r="J91" s="1" t="str">
        <f aca="false">_xlfn.CONCAT("с",F91," ",D91,"/",E91,IF(G91=0,"","-" &amp; G91))</f>
        <v>с3510 ВС/3а</v>
      </c>
    </row>
    <row r="92" customFormat="false" ht="12.8" hidden="false" customHeight="false" outlineLevel="0" collapsed="false">
      <c r="A92" s="1" t="s">
        <v>6</v>
      </c>
      <c r="B92" s="1" t="n">
        <v>19</v>
      </c>
      <c r="C92" s="1" t="n">
        <v>4</v>
      </c>
      <c r="D92" s="1" t="s">
        <v>198</v>
      </c>
      <c r="E92" s="1" t="s">
        <v>208</v>
      </c>
      <c r="F92" s="1" t="n">
        <v>3510</v>
      </c>
      <c r="G92" s="4" t="n">
        <v>0</v>
      </c>
      <c r="H92" s="1" t="s">
        <v>310</v>
      </c>
      <c r="I92" s="4" t="n">
        <v>1</v>
      </c>
      <c r="J92" s="1" t="str">
        <f aca="false">_xlfn.CONCAT("с",F92," ",D92,"/",E92,IF(G92=0,"","-" &amp; G92))</f>
        <v>с3510 3а/СН</v>
      </c>
    </row>
    <row r="93" customFormat="false" ht="12.8" hidden="false" customHeight="false" outlineLevel="0" collapsed="false">
      <c r="A93" s="1" t="s">
        <v>6</v>
      </c>
      <c r="B93" s="1" t="n">
        <v>19</v>
      </c>
      <c r="C93" s="1" t="n">
        <v>5</v>
      </c>
      <c r="D93" s="1" t="s">
        <v>208</v>
      </c>
      <c r="E93" s="1" t="s">
        <v>206</v>
      </c>
      <c r="F93" s="1" t="n">
        <v>3510</v>
      </c>
      <c r="G93" s="4" t="n">
        <v>0</v>
      </c>
      <c r="H93" s="1" t="s">
        <v>311</v>
      </c>
      <c r="I93" s="4" t="n">
        <v>1</v>
      </c>
      <c r="J93" s="1" t="str">
        <f aca="false">_xlfn.CONCAT("с",F93," ",D93,"/",E93,IF(G93=0,"","-" &amp; G93))</f>
        <v>с3510 СН/Тип 10</v>
      </c>
    </row>
    <row r="94" customFormat="false" ht="12.8" hidden="false" customHeight="false" outlineLevel="0" collapsed="false">
      <c r="A94" s="1" t="s">
        <v>6</v>
      </c>
      <c r="B94" s="1" t="n">
        <v>19</v>
      </c>
      <c r="C94" s="1" t="n">
        <v>6</v>
      </c>
      <c r="D94" s="1" t="s">
        <v>206</v>
      </c>
      <c r="E94" s="1" t="s">
        <v>207</v>
      </c>
      <c r="F94" s="1" t="n">
        <v>3510</v>
      </c>
      <c r="G94" s="4" t="n">
        <v>0</v>
      </c>
      <c r="H94" s="1" t="s">
        <v>308</v>
      </c>
      <c r="I94" s="4" t="n">
        <v>1</v>
      </c>
      <c r="J94" s="1" t="str">
        <f aca="false">_xlfn.CONCAT("с",F94," ",D94,"/",E94,IF(G94=0,"","-" &amp; G94))</f>
        <v>с3510 Тип 10/ВС</v>
      </c>
    </row>
    <row r="95" customFormat="false" ht="12.8" hidden="false" customHeight="false" outlineLevel="0" collapsed="false">
      <c r="A95" s="1" t="s">
        <v>6</v>
      </c>
      <c r="B95" s="1" t="n">
        <v>19</v>
      </c>
      <c r="C95" s="1" t="n">
        <v>7</v>
      </c>
      <c r="D95" s="1" t="s">
        <v>207</v>
      </c>
      <c r="E95" s="1" t="s">
        <v>198</v>
      </c>
      <c r="F95" s="1" t="n">
        <v>3510</v>
      </c>
      <c r="G95" s="4" t="n">
        <v>0</v>
      </c>
      <c r="H95" s="1" t="s">
        <v>309</v>
      </c>
      <c r="I95" s="4" t="n">
        <v>1</v>
      </c>
      <c r="J95" s="1" t="str">
        <f aca="false">_xlfn.CONCAT("с",F95," ",D95,"/",E95,IF(G95=0,"","-" &amp; G95))</f>
        <v>с3510 ВС/3а</v>
      </c>
    </row>
    <row r="96" customFormat="false" ht="12.8" hidden="false" customHeight="false" outlineLevel="0" collapsed="false">
      <c r="A96" s="1" t="s">
        <v>6</v>
      </c>
      <c r="B96" s="1" t="n">
        <v>19</v>
      </c>
      <c r="C96" s="1" t="n">
        <v>8</v>
      </c>
      <c r="D96" s="1" t="s">
        <v>198</v>
      </c>
      <c r="E96" s="1" t="s">
        <v>208</v>
      </c>
      <c r="F96" s="1" t="n">
        <v>3510</v>
      </c>
      <c r="G96" s="4" t="n">
        <v>0</v>
      </c>
      <c r="H96" s="1" t="s">
        <v>310</v>
      </c>
      <c r="I96" s="4" t="n">
        <v>1</v>
      </c>
      <c r="J96" s="1" t="str">
        <f aca="false">_xlfn.CONCAT("с",F96," ",D96,"/",E96,IF(G96=0,"","-" &amp; G96))</f>
        <v>с3510 3а/СН</v>
      </c>
    </row>
    <row r="97" customFormat="false" ht="12.8" hidden="false" customHeight="false" outlineLevel="0" collapsed="false">
      <c r="A97" s="1" t="s">
        <v>6</v>
      </c>
      <c r="B97" s="1" t="n">
        <v>19</v>
      </c>
      <c r="C97" s="1" t="n">
        <v>9</v>
      </c>
      <c r="D97" s="1" t="s">
        <v>208</v>
      </c>
      <c r="E97" s="1" t="s">
        <v>206</v>
      </c>
      <c r="F97" s="1" t="n">
        <v>3510</v>
      </c>
      <c r="G97" s="4" t="n">
        <v>0</v>
      </c>
      <c r="H97" s="1" t="s">
        <v>311</v>
      </c>
      <c r="I97" s="4" t="n">
        <v>1</v>
      </c>
      <c r="J97" s="1" t="str">
        <f aca="false">_xlfn.CONCAT("с",F97," ",D97,"/",E97,IF(G97=0,"","-" &amp; G97))</f>
        <v>с3510 СН/Тип 10</v>
      </c>
    </row>
    <row r="98" customFormat="false" ht="12.8" hidden="false" customHeight="false" outlineLevel="0" collapsed="false">
      <c r="A98" s="1" t="s">
        <v>6</v>
      </c>
      <c r="B98" s="1" t="n">
        <v>19</v>
      </c>
      <c r="C98" s="1" t="n">
        <v>10</v>
      </c>
      <c r="D98" s="1" t="s">
        <v>206</v>
      </c>
      <c r="E98" s="1" t="s">
        <v>207</v>
      </c>
      <c r="F98" s="1" t="n">
        <v>3510</v>
      </c>
      <c r="G98" s="4" t="n">
        <v>0</v>
      </c>
      <c r="H98" s="1" t="s">
        <v>308</v>
      </c>
      <c r="I98" s="4" t="n">
        <v>1</v>
      </c>
      <c r="J98" s="1" t="str">
        <f aca="false">_xlfn.CONCAT("с",F98," ",D98,"/",E98,IF(G98=0,"","-" &amp; G98))</f>
        <v>с3510 Тип 10/ВС</v>
      </c>
    </row>
    <row r="99" customFormat="false" ht="12.8" hidden="false" customHeight="false" outlineLevel="0" collapsed="false">
      <c r="A99" s="1" t="s">
        <v>6</v>
      </c>
      <c r="B99" s="1" t="n">
        <v>19</v>
      </c>
      <c r="C99" s="1" t="n">
        <v>11</v>
      </c>
      <c r="D99" s="1" t="s">
        <v>207</v>
      </c>
      <c r="E99" s="1" t="s">
        <v>200</v>
      </c>
      <c r="F99" s="1" t="n">
        <v>3510</v>
      </c>
      <c r="G99" s="4" t="n">
        <v>0</v>
      </c>
      <c r="H99" s="1" t="s">
        <v>312</v>
      </c>
      <c r="I99" s="4" t="n">
        <v>1</v>
      </c>
      <c r="J99" s="1" t="str">
        <f aca="false">_xlfn.CONCAT("с",F99," ",D99,"/",E99,IF(G99=0,"","-" &amp; G99))</f>
        <v>с3510 ВС/5а</v>
      </c>
    </row>
    <row r="100" customFormat="false" ht="12.8" hidden="false" customHeight="false" outlineLevel="0" collapsed="false">
      <c r="A100" s="1" t="s">
        <v>6</v>
      </c>
      <c r="B100" s="1" t="n">
        <v>19</v>
      </c>
      <c r="C100" s="1" t="n">
        <v>12</v>
      </c>
      <c r="D100" s="1" t="s">
        <v>200</v>
      </c>
      <c r="E100" s="1" t="s">
        <v>206</v>
      </c>
      <c r="F100" s="1" t="n">
        <v>3510</v>
      </c>
      <c r="G100" s="4" t="n">
        <v>0</v>
      </c>
      <c r="H100" s="1" t="s">
        <v>313</v>
      </c>
      <c r="I100" s="4" t="n">
        <v>1</v>
      </c>
      <c r="J100" s="1" t="str">
        <f aca="false">_xlfn.CONCAT("с",F100," ",D100,"/",E100,IF(G100=0,"","-" &amp; G100))</f>
        <v>с3510 5а/Тип 10</v>
      </c>
    </row>
    <row r="101" customFormat="false" ht="12.8" hidden="false" customHeight="false" outlineLevel="0" collapsed="false">
      <c r="A101" s="1" t="s">
        <v>6</v>
      </c>
      <c r="B101" s="1" t="n">
        <v>19</v>
      </c>
      <c r="C101" s="1" t="n">
        <v>13</v>
      </c>
      <c r="D101" s="1" t="s">
        <v>206</v>
      </c>
      <c r="E101" s="1" t="s">
        <v>208</v>
      </c>
      <c r="F101" s="1" t="n">
        <v>3510</v>
      </c>
      <c r="G101" s="4" t="n">
        <v>0</v>
      </c>
      <c r="H101" s="1" t="s">
        <v>314</v>
      </c>
      <c r="I101" s="4" t="n">
        <v>1</v>
      </c>
      <c r="J101" s="1" t="str">
        <f aca="false">_xlfn.CONCAT("с",F101," ",D101,"/",E101,IF(G101=0,"","-" &amp; G101))</f>
        <v>с3510 Тип 10/СН</v>
      </c>
    </row>
    <row r="102" customFormat="false" ht="12.8" hidden="false" customHeight="false" outlineLevel="0" collapsed="false">
      <c r="A102" s="1" t="s">
        <v>6</v>
      </c>
      <c r="B102" s="1" t="n">
        <v>19</v>
      </c>
      <c r="C102" s="1" t="n">
        <v>14</v>
      </c>
      <c r="D102" s="1" t="s">
        <v>208</v>
      </c>
      <c r="E102" s="1" t="s">
        <v>207</v>
      </c>
      <c r="F102" s="1" t="n">
        <v>3510</v>
      </c>
      <c r="G102" s="4" t="n">
        <v>0</v>
      </c>
      <c r="H102" s="1" t="s">
        <v>315</v>
      </c>
      <c r="I102" s="4" t="n">
        <v>1</v>
      </c>
      <c r="J102" s="1" t="str">
        <f aca="false">_xlfn.CONCAT("с",F102," ",D102,"/",E102,IF(G102=0,"","-" &amp; G102))</f>
        <v>с3510 СН/ВС</v>
      </c>
    </row>
    <row r="103" customFormat="false" ht="12.8" hidden="false" customHeight="false" outlineLevel="0" collapsed="false">
      <c r="A103" s="1" t="s">
        <v>6</v>
      </c>
      <c r="B103" s="1" t="n">
        <v>19</v>
      </c>
      <c r="C103" s="1" t="n">
        <v>15</v>
      </c>
      <c r="D103" s="1" t="s">
        <v>207</v>
      </c>
      <c r="E103" s="1" t="s">
        <v>196</v>
      </c>
      <c r="F103" s="1" t="n">
        <v>3510</v>
      </c>
      <c r="G103" s="4" t="n">
        <v>0</v>
      </c>
      <c r="H103" s="1" t="s">
        <v>316</v>
      </c>
      <c r="I103" s="4" t="n">
        <v>1</v>
      </c>
      <c r="J103" s="1" t="str">
        <f aca="false">_xlfn.CONCAT("с",F103," ",D103,"/",E103,IF(G103=0,"","-" &amp; G103))</f>
        <v>с3510 ВС/1а</v>
      </c>
    </row>
    <row r="104" customFormat="false" ht="12.8" hidden="false" customHeight="false" outlineLevel="0" collapsed="false">
      <c r="A104" s="1" t="s">
        <v>6</v>
      </c>
      <c r="B104" s="1" t="n">
        <v>19</v>
      </c>
      <c r="C104" s="1" t="n">
        <v>16</v>
      </c>
      <c r="D104" s="1" t="s">
        <v>196</v>
      </c>
      <c r="E104" s="1" t="s">
        <v>208</v>
      </c>
      <c r="F104" s="1" t="n">
        <v>3510</v>
      </c>
      <c r="G104" s="4" t="n">
        <v>0</v>
      </c>
      <c r="H104" s="1" t="s">
        <v>317</v>
      </c>
      <c r="I104" s="4" t="n">
        <v>1</v>
      </c>
      <c r="J104" s="1" t="str">
        <f aca="false">_xlfn.CONCAT("с",F104," ",D104,"/",E104,IF(G104=0,"","-" &amp; G104))</f>
        <v>с3510 1а/СН</v>
      </c>
    </row>
    <row r="105" customFormat="false" ht="12.8" hidden="false" customHeight="false" outlineLevel="0" collapsed="false">
      <c r="A105" s="1" t="s">
        <v>6</v>
      </c>
      <c r="B105" s="1" t="n">
        <v>19</v>
      </c>
      <c r="C105" s="1" t="n">
        <v>17</v>
      </c>
      <c r="D105" s="1" t="s">
        <v>208</v>
      </c>
      <c r="E105" s="1" t="s">
        <v>206</v>
      </c>
      <c r="F105" s="1" t="n">
        <v>3510</v>
      </c>
      <c r="G105" s="4" t="n">
        <v>0</v>
      </c>
      <c r="H105" s="1" t="s">
        <v>311</v>
      </c>
      <c r="I105" s="4" t="n">
        <v>1</v>
      </c>
      <c r="J105" s="1" t="str">
        <f aca="false">_xlfn.CONCAT("с",F105," ",D105,"/",E105,IF(G105=0,"","-" &amp; G105))</f>
        <v>с3510 СН/Тип 10</v>
      </c>
    </row>
    <row r="106" customFormat="false" ht="12.8" hidden="false" customHeight="false" outlineLevel="0" collapsed="false">
      <c r="A106" s="1" t="s">
        <v>6</v>
      </c>
      <c r="B106" s="1" t="n">
        <v>19</v>
      </c>
      <c r="C106" s="1" t="n">
        <v>18</v>
      </c>
      <c r="D106" s="1" t="s">
        <v>206</v>
      </c>
      <c r="E106" s="1" t="s">
        <v>207</v>
      </c>
      <c r="F106" s="1" t="n">
        <v>3510</v>
      </c>
      <c r="G106" s="4" t="n">
        <v>0</v>
      </c>
      <c r="H106" s="1" t="s">
        <v>308</v>
      </c>
      <c r="I106" s="4" t="n">
        <v>1</v>
      </c>
      <c r="J106" s="1" t="str">
        <f aca="false">_xlfn.CONCAT("с",F106," ",D106,"/",E106,IF(G106=0,"","-" &amp; G106))</f>
        <v>с3510 Тип 10/ВС</v>
      </c>
    </row>
    <row r="107" customFormat="false" ht="12.8" hidden="false" customHeight="false" outlineLevel="0" collapsed="false">
      <c r="A107" s="1" t="s">
        <v>6</v>
      </c>
      <c r="B107" s="1" t="n">
        <v>19</v>
      </c>
      <c r="C107" s="1" t="n">
        <v>19</v>
      </c>
      <c r="D107" s="1" t="s">
        <v>207</v>
      </c>
      <c r="E107" s="1" t="s">
        <v>200</v>
      </c>
      <c r="F107" s="1" t="n">
        <v>3510</v>
      </c>
      <c r="G107" s="4" t="n">
        <v>0</v>
      </c>
      <c r="H107" s="1" t="s">
        <v>312</v>
      </c>
      <c r="I107" s="4" t="n">
        <v>1</v>
      </c>
      <c r="J107" s="1" t="str">
        <f aca="false">_xlfn.CONCAT("с",F107," ",D107,"/",E107,IF(G107=0,"","-" &amp; G107))</f>
        <v>с3510 ВС/5а</v>
      </c>
    </row>
    <row r="108" customFormat="false" ht="12.8" hidden="false" customHeight="false" outlineLevel="0" collapsed="false">
      <c r="A108" s="1" t="s">
        <v>6</v>
      </c>
      <c r="B108" s="1" t="n">
        <v>19</v>
      </c>
      <c r="C108" s="1" t="n">
        <v>20</v>
      </c>
      <c r="D108" s="1" t="s">
        <v>200</v>
      </c>
      <c r="E108" s="1" t="s">
        <v>206</v>
      </c>
      <c r="F108" s="1" t="n">
        <v>3510</v>
      </c>
      <c r="G108" s="4" t="n">
        <v>0</v>
      </c>
      <c r="H108" s="1" t="s">
        <v>313</v>
      </c>
      <c r="I108" s="4" t="n">
        <v>1</v>
      </c>
      <c r="J108" s="1" t="str">
        <f aca="false">_xlfn.CONCAT("с",F108," ",D108,"/",E108,IF(G108=0,"","-" &amp; G108))</f>
        <v>с3510 5а/Тип 10</v>
      </c>
    </row>
    <row r="109" customFormat="false" ht="12.8" hidden="false" customHeight="false" outlineLevel="0" collapsed="false">
      <c r="A109" s="1" t="s">
        <v>6</v>
      </c>
      <c r="B109" s="1" t="n">
        <v>19</v>
      </c>
      <c r="C109" s="1" t="n">
        <v>21</v>
      </c>
      <c r="D109" s="1" t="s">
        <v>206</v>
      </c>
      <c r="E109" s="1" t="s">
        <v>208</v>
      </c>
      <c r="F109" s="1" t="n">
        <v>3510</v>
      </c>
      <c r="G109" s="4" t="n">
        <v>0</v>
      </c>
      <c r="H109" s="1" t="s">
        <v>314</v>
      </c>
      <c r="I109" s="4" t="n">
        <v>1</v>
      </c>
      <c r="J109" s="1" t="str">
        <f aca="false">_xlfn.CONCAT("с",F109," ",D109,"/",E109,IF(G109=0,"","-" &amp; G109))</f>
        <v>с3510 Тип 10/СН</v>
      </c>
    </row>
    <row r="110" customFormat="false" ht="12.8" hidden="false" customHeight="false" outlineLevel="0" collapsed="false">
      <c r="A110" s="1" t="s">
        <v>6</v>
      </c>
      <c r="B110" s="1" t="n">
        <v>19</v>
      </c>
      <c r="C110" s="1" t="n">
        <v>22</v>
      </c>
      <c r="D110" s="1" t="s">
        <v>208</v>
      </c>
      <c r="E110" s="1" t="s">
        <v>207</v>
      </c>
      <c r="F110" s="1" t="n">
        <v>3510</v>
      </c>
      <c r="G110" s="4" t="n">
        <v>0</v>
      </c>
      <c r="H110" s="1" t="s">
        <v>315</v>
      </c>
      <c r="I110" s="4" t="n">
        <v>1</v>
      </c>
      <c r="J110" s="1" t="str">
        <f aca="false">_xlfn.CONCAT("с",F110," ",D110,"/",E110,IF(G110=0,"","-" &amp; G110))</f>
        <v>с3510 СН/ВС</v>
      </c>
    </row>
    <row r="111" customFormat="false" ht="12.8" hidden="false" customHeight="false" outlineLevel="0" collapsed="false">
      <c r="A111" s="1" t="s">
        <v>6</v>
      </c>
      <c r="B111" s="1" t="n">
        <v>19</v>
      </c>
      <c r="C111" s="1" t="n">
        <v>23</v>
      </c>
      <c r="D111" s="1" t="s">
        <v>207</v>
      </c>
      <c r="E111" s="1" t="s">
        <v>198</v>
      </c>
      <c r="F111" s="1" t="n">
        <v>3510</v>
      </c>
      <c r="G111" s="4" t="n">
        <v>0</v>
      </c>
      <c r="H111" s="1" t="s">
        <v>309</v>
      </c>
      <c r="I111" s="4" t="n">
        <v>1</v>
      </c>
      <c r="J111" s="1" t="str">
        <f aca="false">_xlfn.CONCAT("с",F111," ",D111,"/",E111,IF(G111=0,"","-" &amp; G111))</f>
        <v>с3510 ВС/3а</v>
      </c>
    </row>
    <row r="112" customFormat="false" ht="12.8" hidden="false" customHeight="false" outlineLevel="0" collapsed="false">
      <c r="A112" s="1" t="s">
        <v>6</v>
      </c>
      <c r="B112" s="1" t="n">
        <v>19</v>
      </c>
      <c r="C112" s="1" t="n">
        <v>24</v>
      </c>
      <c r="D112" s="1" t="s">
        <v>198</v>
      </c>
      <c r="E112" s="1" t="s">
        <v>206</v>
      </c>
      <c r="F112" s="1" t="n">
        <v>3510</v>
      </c>
      <c r="G112" s="4" t="n">
        <v>0</v>
      </c>
      <c r="H112" s="1" t="s">
        <v>318</v>
      </c>
      <c r="I112" s="4" t="n">
        <v>1</v>
      </c>
      <c r="J112" s="1" t="str">
        <f aca="false">_xlfn.CONCAT("с",F112," ",D112,"/",E112,IF(G112=0,"","-" &amp; G112))</f>
        <v>с3510 3а/Тип 10</v>
      </c>
    </row>
    <row r="113" customFormat="false" ht="12.8" hidden="false" customHeight="false" outlineLevel="0" collapsed="false">
      <c r="A113" s="1" t="s">
        <v>6</v>
      </c>
      <c r="B113" s="1" t="n">
        <v>19</v>
      </c>
      <c r="C113" s="1" t="n">
        <v>25</v>
      </c>
      <c r="D113" s="1" t="s">
        <v>206</v>
      </c>
      <c r="E113" s="1" t="s">
        <v>208</v>
      </c>
      <c r="F113" s="1" t="n">
        <v>3510</v>
      </c>
      <c r="G113" s="4" t="n">
        <v>0</v>
      </c>
      <c r="H113" s="1" t="s">
        <v>314</v>
      </c>
      <c r="I113" s="4" t="n">
        <v>1</v>
      </c>
      <c r="J113" s="1" t="str">
        <f aca="false">_xlfn.CONCAT("с",F113," ",D113,"/",E113,IF(G113=0,"","-" &amp; G113))</f>
        <v>с3510 Тип 10/СН</v>
      </c>
    </row>
    <row r="114" customFormat="false" ht="12.8" hidden="false" customHeight="false" outlineLevel="0" collapsed="false">
      <c r="A114" s="1" t="s">
        <v>6</v>
      </c>
      <c r="B114" s="1" t="n">
        <v>19</v>
      </c>
      <c r="C114" s="1" t="n">
        <v>26</v>
      </c>
      <c r="D114" s="1" t="s">
        <v>208</v>
      </c>
      <c r="E114" s="1" t="s">
        <v>207</v>
      </c>
      <c r="F114" s="1" t="n">
        <v>3510</v>
      </c>
      <c r="G114" s="4" t="n">
        <v>0</v>
      </c>
      <c r="H114" s="1" t="s">
        <v>315</v>
      </c>
      <c r="I114" s="4" t="n">
        <v>1</v>
      </c>
      <c r="J114" s="1" t="str">
        <f aca="false">_xlfn.CONCAT("с",F114," ",D114,"/",E114,IF(G114=0,"","-" &amp; G114))</f>
        <v>с3510 СН/ВС</v>
      </c>
    </row>
    <row r="115" customFormat="false" ht="12.8" hidden="false" customHeight="false" outlineLevel="0" collapsed="false">
      <c r="A115" s="1" t="s">
        <v>6</v>
      </c>
      <c r="B115" s="1" t="n">
        <v>19</v>
      </c>
      <c r="C115" s="1" t="n">
        <v>27</v>
      </c>
      <c r="D115" s="1" t="s">
        <v>207</v>
      </c>
      <c r="E115" s="1" t="s">
        <v>198</v>
      </c>
      <c r="F115" s="1" t="n">
        <v>3510</v>
      </c>
      <c r="G115" s="4" t="n">
        <v>0</v>
      </c>
      <c r="H115" s="1" t="s">
        <v>309</v>
      </c>
      <c r="I115" s="4" t="n">
        <v>1</v>
      </c>
      <c r="J115" s="1" t="str">
        <f aca="false">_xlfn.CONCAT("с",F115," ",D115,"/",E115,IF(G115=0,"","-" &amp; G115))</f>
        <v>с3510 ВС/3а</v>
      </c>
    </row>
    <row r="116" customFormat="false" ht="12.8" hidden="false" customHeight="false" outlineLevel="0" collapsed="false">
      <c r="A116" s="1" t="s">
        <v>6</v>
      </c>
      <c r="B116" s="1" t="n">
        <v>19</v>
      </c>
      <c r="C116" s="1" t="n">
        <v>28</v>
      </c>
      <c r="D116" s="1" t="s">
        <v>198</v>
      </c>
      <c r="E116" s="1" t="s">
        <v>206</v>
      </c>
      <c r="F116" s="1" t="n">
        <v>3510</v>
      </c>
      <c r="G116" s="4" t="n">
        <v>0</v>
      </c>
      <c r="H116" s="1" t="s">
        <v>318</v>
      </c>
      <c r="I116" s="4" t="n">
        <v>1</v>
      </c>
      <c r="J116" s="1" t="str">
        <f aca="false">_xlfn.CONCAT("с",F116," ",D116,"/",E116,IF(G116=0,"","-" &amp; G116))</f>
        <v>с3510 3а/Тип 10</v>
      </c>
    </row>
    <row r="117" customFormat="false" ht="12.8" hidden="false" customHeight="false" outlineLevel="0" collapsed="false">
      <c r="A117" s="1" t="s">
        <v>6</v>
      </c>
      <c r="B117" s="1" t="n">
        <v>19</v>
      </c>
      <c r="C117" s="1" t="n">
        <v>29</v>
      </c>
      <c r="D117" s="1" t="s">
        <v>206</v>
      </c>
      <c r="E117" s="1" t="s">
        <v>210</v>
      </c>
      <c r="F117" s="1" t="n">
        <v>3510</v>
      </c>
      <c r="G117" s="4" t="n">
        <v>0</v>
      </c>
      <c r="H117" s="1" t="s">
        <v>319</v>
      </c>
      <c r="I117" s="4" t="n">
        <v>1</v>
      </c>
      <c r="J117" s="1" t="str">
        <f aca="false">_xlfn.CONCAT("с",F117," ",D117,"/",E117,IF(G117=0,"","-" &amp; G117))</f>
        <v>с3510 Тип 10/Лист 1 мм</v>
      </c>
    </row>
    <row r="118" customFormat="false" ht="12.8" hidden="false" customHeight="false" outlineLevel="0" collapsed="false">
      <c r="A118" s="1" t="s">
        <v>6</v>
      </c>
      <c r="B118" s="1" t="n">
        <v>20</v>
      </c>
      <c r="C118" s="1" t="n">
        <v>1</v>
      </c>
      <c r="D118" s="1" t="s">
        <v>210</v>
      </c>
      <c r="E118" s="1" t="s">
        <v>206</v>
      </c>
      <c r="F118" s="1" t="n">
        <v>3350</v>
      </c>
      <c r="G118" s="4" t="n">
        <v>1</v>
      </c>
      <c r="H118" s="1" t="s">
        <v>320</v>
      </c>
      <c r="I118" s="4" t="n">
        <v>1</v>
      </c>
      <c r="J118" s="1" t="str">
        <f aca="false">_xlfn.CONCAT("с",F118," ",D118,"/",E118,IF(G118=0,"","-" &amp; G118))</f>
        <v>с3350 Лист 1 мм/Тип 10-1</v>
      </c>
    </row>
    <row r="119" customFormat="false" ht="12.8" hidden="false" customHeight="false" outlineLevel="0" collapsed="false">
      <c r="A119" s="1" t="s">
        <v>6</v>
      </c>
      <c r="B119" s="1" t="n">
        <v>20</v>
      </c>
      <c r="C119" s="1" t="n">
        <v>2</v>
      </c>
      <c r="D119" s="1" t="s">
        <v>206</v>
      </c>
      <c r="E119" s="1" t="s">
        <v>198</v>
      </c>
      <c r="F119" s="1" t="n">
        <v>3350</v>
      </c>
      <c r="G119" s="4" t="n">
        <v>1</v>
      </c>
      <c r="H119" s="1" t="s">
        <v>321</v>
      </c>
      <c r="I119" s="4" t="n">
        <v>1</v>
      </c>
      <c r="J119" s="1" t="str">
        <f aca="false">_xlfn.CONCAT("с",F119," ",D119,"/",E119,IF(G119=0,"","-" &amp; G119))</f>
        <v>с3350 Тип 10/3а-1</v>
      </c>
    </row>
    <row r="120" customFormat="false" ht="12.8" hidden="false" customHeight="false" outlineLevel="0" collapsed="false">
      <c r="A120" s="1" t="s">
        <v>6</v>
      </c>
      <c r="B120" s="1" t="n">
        <v>20</v>
      </c>
      <c r="C120" s="1" t="n">
        <v>3</v>
      </c>
      <c r="D120" s="1" t="s">
        <v>198</v>
      </c>
      <c r="E120" s="1" t="s">
        <v>207</v>
      </c>
      <c r="F120" s="1" t="n">
        <v>3350</v>
      </c>
      <c r="G120" s="4" t="n">
        <v>1</v>
      </c>
      <c r="H120" s="1" t="s">
        <v>322</v>
      </c>
      <c r="I120" s="4" t="n">
        <v>1</v>
      </c>
      <c r="J120" s="1" t="str">
        <f aca="false">_xlfn.CONCAT("с",F120," ",D120,"/",E120,IF(G120=0,"","-" &amp; G120))</f>
        <v>с3350 3а/ВС-1</v>
      </c>
    </row>
    <row r="121" customFormat="false" ht="12.8" hidden="false" customHeight="false" outlineLevel="0" collapsed="false">
      <c r="A121" s="1" t="s">
        <v>6</v>
      </c>
      <c r="B121" s="1" t="n">
        <v>20</v>
      </c>
      <c r="C121" s="1" t="n">
        <v>4</v>
      </c>
      <c r="D121" s="1" t="s">
        <v>207</v>
      </c>
      <c r="E121" s="1" t="s">
        <v>208</v>
      </c>
      <c r="F121" s="1" t="n">
        <v>3350</v>
      </c>
      <c r="G121" s="4" t="n">
        <v>1</v>
      </c>
      <c r="H121" s="1" t="s">
        <v>323</v>
      </c>
      <c r="I121" s="4" t="n">
        <v>1</v>
      </c>
      <c r="J121" s="1" t="str">
        <f aca="false">_xlfn.CONCAT("с",F121," ",D121,"/",E121,IF(G121=0,"","-" &amp; G121))</f>
        <v>с3350 ВС/СН-1</v>
      </c>
    </row>
    <row r="122" customFormat="false" ht="12.8" hidden="false" customHeight="false" outlineLevel="0" collapsed="false">
      <c r="A122" s="1" t="s">
        <v>6</v>
      </c>
      <c r="B122" s="1" t="n">
        <v>20</v>
      </c>
      <c r="C122" s="1" t="n">
        <v>5</v>
      </c>
      <c r="D122" s="1" t="s">
        <v>208</v>
      </c>
      <c r="E122" s="1" t="s">
        <v>206</v>
      </c>
      <c r="F122" s="1" t="n">
        <v>3350</v>
      </c>
      <c r="G122" s="4" t="n">
        <v>1</v>
      </c>
      <c r="H122" s="1" t="s">
        <v>324</v>
      </c>
      <c r="I122" s="4" t="n">
        <v>1</v>
      </c>
      <c r="J122" s="1" t="str">
        <f aca="false">_xlfn.CONCAT("с",F122," ",D122,"/",E122,IF(G122=0,"","-" &amp; G122))</f>
        <v>с3350 СН/Тип 10-1</v>
      </c>
    </row>
    <row r="123" customFormat="false" ht="12.8" hidden="false" customHeight="false" outlineLevel="0" collapsed="false">
      <c r="A123" s="1" t="s">
        <v>6</v>
      </c>
      <c r="B123" s="1" t="n">
        <v>20</v>
      </c>
      <c r="C123" s="1" t="n">
        <v>6</v>
      </c>
      <c r="D123" s="1" t="s">
        <v>206</v>
      </c>
      <c r="E123" s="1" t="s">
        <v>198</v>
      </c>
      <c r="F123" s="1" t="n">
        <v>3350</v>
      </c>
      <c r="G123" s="4" t="n">
        <v>1</v>
      </c>
      <c r="H123" s="1" t="s">
        <v>321</v>
      </c>
      <c r="I123" s="4" t="n">
        <v>1</v>
      </c>
      <c r="J123" s="1" t="str">
        <f aca="false">_xlfn.CONCAT("с",F123," ",D123,"/",E123,IF(G123=0,"","-" &amp; G123))</f>
        <v>с3350 Тип 10/3а-1</v>
      </c>
    </row>
    <row r="124" customFormat="false" ht="12.8" hidden="false" customHeight="false" outlineLevel="0" collapsed="false">
      <c r="A124" s="1" t="s">
        <v>6</v>
      </c>
      <c r="B124" s="1" t="n">
        <v>20</v>
      </c>
      <c r="C124" s="1" t="n">
        <v>7</v>
      </c>
      <c r="D124" s="1" t="s">
        <v>198</v>
      </c>
      <c r="E124" s="1" t="s">
        <v>207</v>
      </c>
      <c r="F124" s="1" t="n">
        <v>3350</v>
      </c>
      <c r="G124" s="4" t="n">
        <v>1</v>
      </c>
      <c r="H124" s="1" t="s">
        <v>322</v>
      </c>
      <c r="I124" s="4" t="n">
        <v>1</v>
      </c>
      <c r="J124" s="1" t="str">
        <f aca="false">_xlfn.CONCAT("с",F124," ",D124,"/",E124,IF(G124=0,"","-" &amp; G124))</f>
        <v>с3350 3а/ВС-1</v>
      </c>
    </row>
    <row r="125" customFormat="false" ht="12.8" hidden="false" customHeight="false" outlineLevel="0" collapsed="false">
      <c r="A125" s="1" t="s">
        <v>6</v>
      </c>
      <c r="B125" s="1" t="n">
        <v>20</v>
      </c>
      <c r="C125" s="1" t="n">
        <v>8</v>
      </c>
      <c r="D125" s="1" t="s">
        <v>207</v>
      </c>
      <c r="E125" s="1" t="s">
        <v>208</v>
      </c>
      <c r="F125" s="1" t="n">
        <v>3350</v>
      </c>
      <c r="G125" s="4" t="n">
        <v>1</v>
      </c>
      <c r="H125" s="1" t="s">
        <v>323</v>
      </c>
      <c r="I125" s="4" t="n">
        <v>1</v>
      </c>
      <c r="J125" s="1" t="str">
        <f aca="false">_xlfn.CONCAT("с",F125," ",D125,"/",E125,IF(G125=0,"","-" &amp; G125))</f>
        <v>с3350 ВС/СН-1</v>
      </c>
    </row>
    <row r="126" customFormat="false" ht="12.8" hidden="false" customHeight="false" outlineLevel="0" collapsed="false">
      <c r="A126" s="1" t="s">
        <v>6</v>
      </c>
      <c r="B126" s="1" t="n">
        <v>20</v>
      </c>
      <c r="C126" s="1" t="n">
        <v>9</v>
      </c>
      <c r="D126" s="1" t="s">
        <v>208</v>
      </c>
      <c r="E126" s="1" t="s">
        <v>206</v>
      </c>
      <c r="F126" s="1" t="n">
        <v>3350</v>
      </c>
      <c r="G126" s="4" t="n">
        <v>1</v>
      </c>
      <c r="H126" s="1" t="s">
        <v>324</v>
      </c>
      <c r="I126" s="4" t="n">
        <v>1</v>
      </c>
      <c r="J126" s="1" t="str">
        <f aca="false">_xlfn.CONCAT("с",F126," ",D126,"/",E126,IF(G126=0,"","-" &amp; G126))</f>
        <v>с3350 СН/Тип 10-1</v>
      </c>
    </row>
    <row r="127" customFormat="false" ht="12.8" hidden="false" customHeight="false" outlineLevel="0" collapsed="false">
      <c r="A127" s="1" t="s">
        <v>6</v>
      </c>
      <c r="B127" s="1" t="n">
        <v>20</v>
      </c>
      <c r="C127" s="1" t="n">
        <v>10</v>
      </c>
      <c r="D127" s="1" t="s">
        <v>206</v>
      </c>
      <c r="E127" s="1" t="s">
        <v>200</v>
      </c>
      <c r="F127" s="1" t="n">
        <v>3350</v>
      </c>
      <c r="G127" s="4" t="n">
        <v>1</v>
      </c>
      <c r="H127" s="1" t="s">
        <v>325</v>
      </c>
      <c r="I127" s="4" t="n">
        <v>1</v>
      </c>
      <c r="J127" s="1" t="str">
        <f aca="false">_xlfn.CONCAT("с",F127," ",D127,"/",E127,IF(G127=0,"","-" &amp; G127))</f>
        <v>с3350 Тип 10/5а-1</v>
      </c>
    </row>
    <row r="128" customFormat="false" ht="12.8" hidden="false" customHeight="false" outlineLevel="0" collapsed="false">
      <c r="A128" s="1" t="s">
        <v>6</v>
      </c>
      <c r="B128" s="1" t="n">
        <v>20</v>
      </c>
      <c r="C128" s="1" t="n">
        <v>11</v>
      </c>
      <c r="D128" s="1" t="s">
        <v>200</v>
      </c>
      <c r="E128" s="1" t="s">
        <v>207</v>
      </c>
      <c r="F128" s="1" t="n">
        <v>3350</v>
      </c>
      <c r="G128" s="4" t="n">
        <v>1</v>
      </c>
      <c r="H128" s="1" t="s">
        <v>326</v>
      </c>
      <c r="I128" s="4" t="n">
        <v>1</v>
      </c>
      <c r="J128" s="1" t="str">
        <f aca="false">_xlfn.CONCAT("с",F128," ",D128,"/",E128,IF(G128=0,"","-" &amp; G128))</f>
        <v>с3350 5а/ВС-1</v>
      </c>
    </row>
    <row r="129" customFormat="false" ht="12.8" hidden="false" customHeight="false" outlineLevel="0" collapsed="false">
      <c r="A129" s="1" t="s">
        <v>6</v>
      </c>
      <c r="B129" s="1" t="n">
        <v>20</v>
      </c>
      <c r="C129" s="1" t="n">
        <v>12</v>
      </c>
      <c r="D129" s="1" t="s">
        <v>207</v>
      </c>
      <c r="E129" s="1" t="s">
        <v>206</v>
      </c>
      <c r="F129" s="1" t="n">
        <v>3350</v>
      </c>
      <c r="G129" s="4" t="n">
        <v>1</v>
      </c>
      <c r="H129" s="1" t="s">
        <v>327</v>
      </c>
      <c r="I129" s="4" t="n">
        <v>1</v>
      </c>
      <c r="J129" s="1" t="str">
        <f aca="false">_xlfn.CONCAT("с",F129," ",D129,"/",E129,IF(G129=0,"","-" &amp; G129))</f>
        <v>с3350 ВС/Тип 10-1</v>
      </c>
    </row>
    <row r="130" customFormat="false" ht="12.8" hidden="false" customHeight="false" outlineLevel="0" collapsed="false">
      <c r="A130" s="1" t="s">
        <v>6</v>
      </c>
      <c r="B130" s="1" t="n">
        <v>20</v>
      </c>
      <c r="C130" s="1" t="n">
        <v>13</v>
      </c>
      <c r="D130" s="1" t="s">
        <v>206</v>
      </c>
      <c r="E130" s="1" t="s">
        <v>208</v>
      </c>
      <c r="F130" s="1" t="n">
        <v>3350</v>
      </c>
      <c r="G130" s="4" t="n">
        <v>1</v>
      </c>
      <c r="H130" s="1" t="s">
        <v>328</v>
      </c>
      <c r="I130" s="4" t="n">
        <v>1</v>
      </c>
      <c r="J130" s="1" t="str">
        <f aca="false">_xlfn.CONCAT("с",F130," ",D130,"/",E130,IF(G130=0,"","-" &amp; G130))</f>
        <v>с3350 Тип 10/СН-1</v>
      </c>
    </row>
    <row r="131" customFormat="false" ht="12.8" hidden="false" customHeight="false" outlineLevel="0" collapsed="false">
      <c r="A131" s="1" t="s">
        <v>6</v>
      </c>
      <c r="B131" s="1" t="n">
        <v>20</v>
      </c>
      <c r="C131" s="1" t="n">
        <v>14</v>
      </c>
      <c r="D131" s="1" t="s">
        <v>208</v>
      </c>
      <c r="E131" s="1" t="s">
        <v>196</v>
      </c>
      <c r="F131" s="1" t="n">
        <v>3350</v>
      </c>
      <c r="G131" s="4" t="n">
        <v>1</v>
      </c>
      <c r="H131" s="1" t="s">
        <v>329</v>
      </c>
      <c r="I131" s="4" t="n">
        <v>1</v>
      </c>
      <c r="J131" s="1" t="str">
        <f aca="false">_xlfn.CONCAT("с",F131," ",D131,"/",E131,IF(G131=0,"","-" &amp; G131))</f>
        <v>с3350 СН/1а-1</v>
      </c>
    </row>
    <row r="132" customFormat="false" ht="12.8" hidden="false" customHeight="false" outlineLevel="0" collapsed="false">
      <c r="A132" s="1" t="s">
        <v>6</v>
      </c>
      <c r="B132" s="1" t="n">
        <v>20</v>
      </c>
      <c r="C132" s="1" t="n">
        <v>15</v>
      </c>
      <c r="D132" s="1" t="s">
        <v>196</v>
      </c>
      <c r="E132" s="1" t="s">
        <v>207</v>
      </c>
      <c r="F132" s="1" t="n">
        <v>3350</v>
      </c>
      <c r="G132" s="4" t="n">
        <v>1</v>
      </c>
      <c r="H132" s="1" t="s">
        <v>330</v>
      </c>
      <c r="I132" s="4" t="n">
        <v>1</v>
      </c>
      <c r="J132" s="1" t="str">
        <f aca="false">_xlfn.CONCAT("с",F132," ",D132,"/",E132,IF(G132=0,"","-" &amp; G132))</f>
        <v>с3350 1а/ВС-1</v>
      </c>
    </row>
    <row r="133" customFormat="false" ht="12.8" hidden="false" customHeight="false" outlineLevel="0" collapsed="false">
      <c r="A133" s="1" t="s">
        <v>6</v>
      </c>
      <c r="B133" s="1" t="n">
        <v>20</v>
      </c>
      <c r="C133" s="1" t="n">
        <v>16</v>
      </c>
      <c r="D133" s="1" t="s">
        <v>207</v>
      </c>
      <c r="E133" s="1" t="s">
        <v>208</v>
      </c>
      <c r="F133" s="1" t="n">
        <v>3350</v>
      </c>
      <c r="G133" s="4" t="n">
        <v>1</v>
      </c>
      <c r="H133" s="1" t="s">
        <v>323</v>
      </c>
      <c r="I133" s="4" t="n">
        <v>1</v>
      </c>
      <c r="J133" s="1" t="str">
        <f aca="false">_xlfn.CONCAT("с",F133," ",D133,"/",E133,IF(G133=0,"","-" &amp; G133))</f>
        <v>с3350 ВС/СН-1</v>
      </c>
    </row>
    <row r="134" customFormat="false" ht="12.8" hidden="false" customHeight="false" outlineLevel="0" collapsed="false">
      <c r="A134" s="1" t="s">
        <v>6</v>
      </c>
      <c r="B134" s="1" t="n">
        <v>20</v>
      </c>
      <c r="C134" s="1" t="n">
        <v>17</v>
      </c>
      <c r="D134" s="1" t="s">
        <v>208</v>
      </c>
      <c r="E134" s="1" t="s">
        <v>206</v>
      </c>
      <c r="F134" s="1" t="n">
        <v>3350</v>
      </c>
      <c r="G134" s="4" t="n">
        <v>1</v>
      </c>
      <c r="H134" s="1" t="s">
        <v>324</v>
      </c>
      <c r="I134" s="4" t="n">
        <v>1</v>
      </c>
      <c r="J134" s="1" t="str">
        <f aca="false">_xlfn.CONCAT("с",F134," ",D134,"/",E134,IF(G134=0,"","-" &amp; G134))</f>
        <v>с3350 СН/Тип 10-1</v>
      </c>
    </row>
    <row r="135" customFormat="false" ht="12.8" hidden="false" customHeight="false" outlineLevel="0" collapsed="false">
      <c r="A135" s="1" t="s">
        <v>6</v>
      </c>
      <c r="B135" s="1" t="n">
        <v>20</v>
      </c>
      <c r="C135" s="1" t="n">
        <v>18</v>
      </c>
      <c r="D135" s="1" t="s">
        <v>206</v>
      </c>
      <c r="E135" s="1" t="s">
        <v>200</v>
      </c>
      <c r="F135" s="1" t="n">
        <v>3350</v>
      </c>
      <c r="G135" s="4" t="n">
        <v>1</v>
      </c>
      <c r="H135" s="1" t="s">
        <v>325</v>
      </c>
      <c r="I135" s="4" t="n">
        <v>1</v>
      </c>
      <c r="J135" s="1" t="str">
        <f aca="false">_xlfn.CONCAT("с",F135," ",D135,"/",E135,IF(G135=0,"","-" &amp; G135))</f>
        <v>с3350 Тип 10/5а-1</v>
      </c>
    </row>
    <row r="136" customFormat="false" ht="12.8" hidden="false" customHeight="false" outlineLevel="0" collapsed="false">
      <c r="A136" s="1" t="s">
        <v>6</v>
      </c>
      <c r="B136" s="1" t="n">
        <v>20</v>
      </c>
      <c r="C136" s="1" t="n">
        <v>19</v>
      </c>
      <c r="D136" s="1" t="s">
        <v>200</v>
      </c>
      <c r="E136" s="1" t="s">
        <v>207</v>
      </c>
      <c r="F136" s="1" t="n">
        <v>3350</v>
      </c>
      <c r="G136" s="4" t="n">
        <v>1</v>
      </c>
      <c r="H136" s="1" t="s">
        <v>326</v>
      </c>
      <c r="I136" s="4" t="n">
        <v>1</v>
      </c>
      <c r="J136" s="1" t="str">
        <f aca="false">_xlfn.CONCAT("с",F136," ",D136,"/",E136,IF(G136=0,"","-" &amp; G136))</f>
        <v>с3350 5а/ВС-1</v>
      </c>
    </row>
    <row r="137" customFormat="false" ht="12.8" hidden="false" customHeight="false" outlineLevel="0" collapsed="false">
      <c r="A137" s="1" t="s">
        <v>6</v>
      </c>
      <c r="B137" s="1" t="n">
        <v>20</v>
      </c>
      <c r="C137" s="1" t="n">
        <v>20</v>
      </c>
      <c r="D137" s="1" t="s">
        <v>207</v>
      </c>
      <c r="E137" s="1" t="s">
        <v>206</v>
      </c>
      <c r="F137" s="1" t="n">
        <v>3350</v>
      </c>
      <c r="G137" s="4" t="n">
        <v>1</v>
      </c>
      <c r="H137" s="1" t="s">
        <v>327</v>
      </c>
      <c r="I137" s="4" t="n">
        <v>1</v>
      </c>
      <c r="J137" s="1" t="str">
        <f aca="false">_xlfn.CONCAT("с",F137," ",D137,"/",E137,IF(G137=0,"","-" &amp; G137))</f>
        <v>с3350 ВС/Тип 10-1</v>
      </c>
    </row>
    <row r="138" customFormat="false" ht="12.8" hidden="false" customHeight="false" outlineLevel="0" collapsed="false">
      <c r="A138" s="1" t="s">
        <v>6</v>
      </c>
      <c r="B138" s="1" t="n">
        <v>20</v>
      </c>
      <c r="C138" s="1" t="n">
        <v>21</v>
      </c>
      <c r="D138" s="1" t="s">
        <v>206</v>
      </c>
      <c r="E138" s="1" t="s">
        <v>208</v>
      </c>
      <c r="F138" s="1" t="n">
        <v>3350</v>
      </c>
      <c r="G138" s="4" t="n">
        <v>1</v>
      </c>
      <c r="H138" s="1" t="s">
        <v>328</v>
      </c>
      <c r="I138" s="4" t="n">
        <v>1</v>
      </c>
      <c r="J138" s="1" t="str">
        <f aca="false">_xlfn.CONCAT("с",F138," ",D138,"/",E138,IF(G138=0,"","-" &amp; G138))</f>
        <v>с3350 Тип 10/СН-1</v>
      </c>
    </row>
    <row r="139" customFormat="false" ht="12.8" hidden="false" customHeight="false" outlineLevel="0" collapsed="false">
      <c r="A139" s="1" t="s">
        <v>6</v>
      </c>
      <c r="B139" s="1" t="n">
        <v>20</v>
      </c>
      <c r="C139" s="1" t="n">
        <v>22</v>
      </c>
      <c r="D139" s="1" t="s">
        <v>208</v>
      </c>
      <c r="E139" s="1" t="s">
        <v>198</v>
      </c>
      <c r="F139" s="1" t="n">
        <v>3350</v>
      </c>
      <c r="G139" s="4" t="n">
        <v>1</v>
      </c>
      <c r="H139" s="1" t="s">
        <v>331</v>
      </c>
      <c r="I139" s="4" t="n">
        <v>1</v>
      </c>
      <c r="J139" s="1" t="str">
        <f aca="false">_xlfn.CONCAT("с",F139," ",D139,"/",E139,IF(G139=0,"","-" &amp; G139))</f>
        <v>с3350 СН/3а-1</v>
      </c>
    </row>
    <row r="140" customFormat="false" ht="12.8" hidden="false" customHeight="false" outlineLevel="0" collapsed="false">
      <c r="A140" s="1" t="s">
        <v>6</v>
      </c>
      <c r="B140" s="1" t="n">
        <v>20</v>
      </c>
      <c r="C140" s="1" t="n">
        <v>23</v>
      </c>
      <c r="D140" s="1" t="s">
        <v>198</v>
      </c>
      <c r="E140" s="1" t="s">
        <v>207</v>
      </c>
      <c r="F140" s="1" t="n">
        <v>3350</v>
      </c>
      <c r="G140" s="4" t="n">
        <v>1</v>
      </c>
      <c r="H140" s="1" t="s">
        <v>322</v>
      </c>
      <c r="I140" s="4" t="n">
        <v>1</v>
      </c>
      <c r="J140" s="1" t="str">
        <f aca="false">_xlfn.CONCAT("с",F140," ",D140,"/",E140,IF(G140=0,"","-" &amp; G140))</f>
        <v>с3350 3а/ВС-1</v>
      </c>
    </row>
    <row r="141" customFormat="false" ht="12.8" hidden="false" customHeight="false" outlineLevel="0" collapsed="false">
      <c r="A141" s="1" t="s">
        <v>6</v>
      </c>
      <c r="B141" s="1" t="n">
        <v>20</v>
      </c>
      <c r="C141" s="1" t="n">
        <v>24</v>
      </c>
      <c r="D141" s="1" t="s">
        <v>207</v>
      </c>
      <c r="E141" s="1" t="s">
        <v>206</v>
      </c>
      <c r="F141" s="1" t="n">
        <v>3350</v>
      </c>
      <c r="G141" s="4" t="n">
        <v>1</v>
      </c>
      <c r="H141" s="1" t="s">
        <v>327</v>
      </c>
      <c r="I141" s="4" t="n">
        <v>1</v>
      </c>
      <c r="J141" s="1" t="str">
        <f aca="false">_xlfn.CONCAT("с",F141," ",D141,"/",E141,IF(G141=0,"","-" &amp; G141))</f>
        <v>с3350 ВС/Тип 10-1</v>
      </c>
    </row>
    <row r="142" customFormat="false" ht="12.8" hidden="false" customHeight="false" outlineLevel="0" collapsed="false">
      <c r="A142" s="1" t="s">
        <v>6</v>
      </c>
      <c r="B142" s="1" t="n">
        <v>20</v>
      </c>
      <c r="C142" s="1" t="n">
        <v>25</v>
      </c>
      <c r="D142" s="1" t="s">
        <v>206</v>
      </c>
      <c r="E142" s="1" t="s">
        <v>208</v>
      </c>
      <c r="F142" s="1" t="n">
        <v>3350</v>
      </c>
      <c r="G142" s="4" t="n">
        <v>1</v>
      </c>
      <c r="H142" s="1" t="s">
        <v>328</v>
      </c>
      <c r="I142" s="4" t="n">
        <v>1</v>
      </c>
      <c r="J142" s="1" t="str">
        <f aca="false">_xlfn.CONCAT("с",F142," ",D142,"/",E142,IF(G142=0,"","-" &amp; G142))</f>
        <v>с3350 Тип 10/СН-1</v>
      </c>
    </row>
    <row r="143" customFormat="false" ht="12.8" hidden="false" customHeight="false" outlineLevel="0" collapsed="false">
      <c r="A143" s="1" t="s">
        <v>6</v>
      </c>
      <c r="B143" s="1" t="n">
        <v>20</v>
      </c>
      <c r="C143" s="1" t="n">
        <v>26</v>
      </c>
      <c r="D143" s="1" t="s">
        <v>208</v>
      </c>
      <c r="E143" s="1" t="s">
        <v>198</v>
      </c>
      <c r="F143" s="1" t="n">
        <v>3350</v>
      </c>
      <c r="G143" s="4" t="n">
        <v>1</v>
      </c>
      <c r="H143" s="1" t="s">
        <v>331</v>
      </c>
      <c r="I143" s="4" t="n">
        <v>1</v>
      </c>
      <c r="J143" s="1" t="str">
        <f aca="false">_xlfn.CONCAT("с",F143," ",D143,"/",E143,IF(G143=0,"","-" &amp; G143))</f>
        <v>с3350 СН/3а-1</v>
      </c>
    </row>
    <row r="144" customFormat="false" ht="12.8" hidden="false" customHeight="false" outlineLevel="0" collapsed="false">
      <c r="A144" s="1" t="s">
        <v>6</v>
      </c>
      <c r="B144" s="1" t="n">
        <v>20</v>
      </c>
      <c r="C144" s="1" t="n">
        <v>27</v>
      </c>
      <c r="D144" s="1" t="s">
        <v>198</v>
      </c>
      <c r="E144" s="1" t="s">
        <v>207</v>
      </c>
      <c r="F144" s="1" t="n">
        <v>3350</v>
      </c>
      <c r="G144" s="4" t="n">
        <v>1</v>
      </c>
      <c r="H144" s="1" t="s">
        <v>322</v>
      </c>
      <c r="I144" s="4" t="n">
        <v>1</v>
      </c>
      <c r="J144" s="1" t="str">
        <f aca="false">_xlfn.CONCAT("с",F144," ",D144,"/",E144,IF(G144=0,"","-" &amp; G144))</f>
        <v>с3350 3а/ВС-1</v>
      </c>
    </row>
    <row r="145" customFormat="false" ht="12.8" hidden="false" customHeight="false" outlineLevel="0" collapsed="false">
      <c r="A145" s="1" t="s">
        <v>6</v>
      </c>
      <c r="B145" s="1" t="n">
        <v>20</v>
      </c>
      <c r="C145" s="1" t="n">
        <v>28</v>
      </c>
      <c r="D145" s="1" t="s">
        <v>207</v>
      </c>
      <c r="E145" s="1" t="s">
        <v>206</v>
      </c>
      <c r="F145" s="1" t="n">
        <v>3350</v>
      </c>
      <c r="G145" s="4" t="n">
        <v>1</v>
      </c>
      <c r="H145" s="1" t="s">
        <v>327</v>
      </c>
      <c r="I145" s="4" t="n">
        <v>1</v>
      </c>
      <c r="J145" s="1" t="str">
        <f aca="false">_xlfn.CONCAT("с",F145," ",D145,"/",E145,IF(G145=0,"","-" &amp; G145))</f>
        <v>с3350 ВС/Тип 10-1</v>
      </c>
    </row>
    <row r="146" customFormat="false" ht="12.8" hidden="false" customHeight="false" outlineLevel="0" collapsed="false">
      <c r="A146" s="1" t="s">
        <v>6</v>
      </c>
      <c r="B146" s="1" t="n">
        <v>20</v>
      </c>
      <c r="C146" s="1" t="n">
        <v>29</v>
      </c>
      <c r="D146" s="1" t="s">
        <v>206</v>
      </c>
      <c r="E146" s="1" t="s">
        <v>210</v>
      </c>
      <c r="F146" s="1" t="n">
        <v>3350</v>
      </c>
      <c r="G146" s="4" t="n">
        <v>1</v>
      </c>
      <c r="H146" s="1" t="s">
        <v>332</v>
      </c>
      <c r="I146" s="4" t="n">
        <v>1</v>
      </c>
      <c r="J146" s="1" t="str">
        <f aca="false">_xlfn.CONCAT("с",F146," ",D146,"/",E146,IF(G146=0,"","-" &amp; G146))</f>
        <v>с3350 Тип 10/Лист 1 мм-1</v>
      </c>
    </row>
    <row r="147" customFormat="false" ht="12.8" hidden="false" customHeight="false" outlineLevel="0" collapsed="false">
      <c r="A147" s="1" t="s">
        <v>6</v>
      </c>
      <c r="B147" s="1" t="n">
        <v>40</v>
      </c>
      <c r="C147" s="1" t="n">
        <v>1</v>
      </c>
      <c r="D147" s="1" t="s">
        <v>210</v>
      </c>
      <c r="E147" s="1" t="s">
        <v>206</v>
      </c>
      <c r="F147" s="1" t="n">
        <v>3350</v>
      </c>
      <c r="G147" s="4" t="n">
        <v>1</v>
      </c>
      <c r="H147" s="1" t="s">
        <v>320</v>
      </c>
      <c r="I147" s="4" t="n">
        <v>1</v>
      </c>
      <c r="J147" s="1" t="str">
        <f aca="false">_xlfn.CONCAT("с",F147," ",D147,"/",E147,IF(G147=0,"","-" &amp; G147))</f>
        <v>с3350 Лист 1 мм/Тип 10-1</v>
      </c>
    </row>
    <row r="148" customFormat="false" ht="12.8" hidden="false" customHeight="false" outlineLevel="0" collapsed="false">
      <c r="A148" s="1" t="s">
        <v>6</v>
      </c>
      <c r="B148" s="1" t="n">
        <v>40</v>
      </c>
      <c r="C148" s="1" t="n">
        <v>2</v>
      </c>
      <c r="D148" s="1" t="s">
        <v>206</v>
      </c>
      <c r="E148" s="1" t="s">
        <v>198</v>
      </c>
      <c r="F148" s="1" t="n">
        <v>3350</v>
      </c>
      <c r="G148" s="4" t="n">
        <v>1</v>
      </c>
      <c r="H148" s="1" t="s">
        <v>321</v>
      </c>
      <c r="I148" s="4" t="n">
        <v>1</v>
      </c>
      <c r="J148" s="1" t="str">
        <f aca="false">_xlfn.CONCAT("с",F148," ",D148,"/",E148,IF(G148=0,"","-" &amp; G148))</f>
        <v>с3350 Тип 10/3а-1</v>
      </c>
    </row>
    <row r="149" customFormat="false" ht="12.8" hidden="false" customHeight="false" outlineLevel="0" collapsed="false">
      <c r="A149" s="1" t="s">
        <v>6</v>
      </c>
      <c r="B149" s="1" t="n">
        <v>40</v>
      </c>
      <c r="C149" s="1" t="n">
        <v>3</v>
      </c>
      <c r="D149" s="1" t="s">
        <v>198</v>
      </c>
      <c r="E149" s="1" t="s">
        <v>207</v>
      </c>
      <c r="F149" s="1" t="n">
        <v>3350</v>
      </c>
      <c r="G149" s="4" t="n">
        <v>1</v>
      </c>
      <c r="H149" s="1" t="s">
        <v>322</v>
      </c>
      <c r="I149" s="4" t="n">
        <v>1</v>
      </c>
      <c r="J149" s="1" t="str">
        <f aca="false">_xlfn.CONCAT("с",F149," ",D149,"/",E149,IF(G149=0,"","-" &amp; G149))</f>
        <v>с3350 3а/ВС-1</v>
      </c>
    </row>
    <row r="150" customFormat="false" ht="12.8" hidden="false" customHeight="false" outlineLevel="0" collapsed="false">
      <c r="A150" s="1" t="s">
        <v>6</v>
      </c>
      <c r="B150" s="1" t="n">
        <v>40</v>
      </c>
      <c r="C150" s="1" t="n">
        <v>4</v>
      </c>
      <c r="D150" s="1" t="s">
        <v>207</v>
      </c>
      <c r="E150" s="1" t="s">
        <v>208</v>
      </c>
      <c r="F150" s="1" t="n">
        <v>3350</v>
      </c>
      <c r="G150" s="4" t="n">
        <v>1</v>
      </c>
      <c r="H150" s="1" t="s">
        <v>323</v>
      </c>
      <c r="I150" s="4" t="n">
        <v>1</v>
      </c>
      <c r="J150" s="1" t="str">
        <f aca="false">_xlfn.CONCAT("с",F150," ",D150,"/",E150,IF(G150=0,"","-" &amp; G150))</f>
        <v>с3350 ВС/СН-1</v>
      </c>
    </row>
    <row r="151" customFormat="false" ht="12.8" hidden="false" customHeight="false" outlineLevel="0" collapsed="false">
      <c r="A151" s="1" t="s">
        <v>6</v>
      </c>
      <c r="B151" s="1" t="n">
        <v>40</v>
      </c>
      <c r="C151" s="1" t="n">
        <v>5</v>
      </c>
      <c r="D151" s="1" t="s">
        <v>208</v>
      </c>
      <c r="E151" s="1" t="s">
        <v>206</v>
      </c>
      <c r="F151" s="1" t="n">
        <v>3350</v>
      </c>
      <c r="G151" s="4" t="n">
        <v>1</v>
      </c>
      <c r="H151" s="1" t="s">
        <v>324</v>
      </c>
      <c r="I151" s="4" t="n">
        <v>1</v>
      </c>
      <c r="J151" s="1" t="str">
        <f aca="false">_xlfn.CONCAT("с",F151," ",D151,"/",E151,IF(G151=0,"","-" &amp; G151))</f>
        <v>с3350 СН/Тип 10-1</v>
      </c>
    </row>
    <row r="152" customFormat="false" ht="12.8" hidden="false" customHeight="false" outlineLevel="0" collapsed="false">
      <c r="A152" s="1" t="s">
        <v>6</v>
      </c>
      <c r="B152" s="1" t="n">
        <v>40</v>
      </c>
      <c r="C152" s="1" t="n">
        <v>6</v>
      </c>
      <c r="D152" s="1" t="s">
        <v>206</v>
      </c>
      <c r="E152" s="1" t="s">
        <v>198</v>
      </c>
      <c r="F152" s="1" t="n">
        <v>3350</v>
      </c>
      <c r="G152" s="4" t="n">
        <v>1</v>
      </c>
      <c r="H152" s="1" t="s">
        <v>321</v>
      </c>
      <c r="I152" s="4" t="n">
        <v>1</v>
      </c>
      <c r="J152" s="1" t="str">
        <f aca="false">_xlfn.CONCAT("с",F152," ",D152,"/",E152,IF(G152=0,"","-" &amp; G152))</f>
        <v>с3350 Тип 10/3а-1</v>
      </c>
    </row>
    <row r="153" customFormat="false" ht="12.8" hidden="false" customHeight="false" outlineLevel="0" collapsed="false">
      <c r="A153" s="1" t="s">
        <v>6</v>
      </c>
      <c r="B153" s="1" t="n">
        <v>40</v>
      </c>
      <c r="C153" s="1" t="n">
        <v>7</v>
      </c>
      <c r="D153" s="1" t="s">
        <v>198</v>
      </c>
      <c r="E153" s="1" t="s">
        <v>207</v>
      </c>
      <c r="F153" s="1" t="n">
        <v>3350</v>
      </c>
      <c r="G153" s="4" t="n">
        <v>1</v>
      </c>
      <c r="H153" s="1" t="s">
        <v>322</v>
      </c>
      <c r="I153" s="4" t="n">
        <v>1</v>
      </c>
      <c r="J153" s="1" t="str">
        <f aca="false">_xlfn.CONCAT("с",F153," ",D153,"/",E153,IF(G153=0,"","-" &amp; G153))</f>
        <v>с3350 3а/ВС-1</v>
      </c>
    </row>
    <row r="154" customFormat="false" ht="12.8" hidden="false" customHeight="false" outlineLevel="0" collapsed="false">
      <c r="A154" s="1" t="s">
        <v>6</v>
      </c>
      <c r="B154" s="1" t="n">
        <v>40</v>
      </c>
      <c r="C154" s="1" t="n">
        <v>8</v>
      </c>
      <c r="D154" s="1" t="s">
        <v>207</v>
      </c>
      <c r="E154" s="1" t="s">
        <v>208</v>
      </c>
      <c r="F154" s="1" t="n">
        <v>3350</v>
      </c>
      <c r="G154" s="4" t="n">
        <v>1</v>
      </c>
      <c r="H154" s="1" t="s">
        <v>323</v>
      </c>
      <c r="I154" s="4" t="n">
        <v>1</v>
      </c>
      <c r="J154" s="1" t="str">
        <f aca="false">_xlfn.CONCAT("с",F154," ",D154,"/",E154,IF(G154=0,"","-" &amp; G154))</f>
        <v>с3350 ВС/СН-1</v>
      </c>
    </row>
    <row r="155" customFormat="false" ht="12.8" hidden="false" customHeight="false" outlineLevel="0" collapsed="false">
      <c r="A155" s="1" t="s">
        <v>6</v>
      </c>
      <c r="B155" s="1" t="n">
        <v>40</v>
      </c>
      <c r="C155" s="1" t="n">
        <v>9</v>
      </c>
      <c r="D155" s="1" t="s">
        <v>208</v>
      </c>
      <c r="E155" s="1" t="s">
        <v>206</v>
      </c>
      <c r="F155" s="1" t="n">
        <v>3350</v>
      </c>
      <c r="G155" s="4" t="n">
        <v>1</v>
      </c>
      <c r="H155" s="1" t="s">
        <v>324</v>
      </c>
      <c r="I155" s="4" t="n">
        <v>1</v>
      </c>
      <c r="J155" s="1" t="str">
        <f aca="false">_xlfn.CONCAT("с",F155," ",D155,"/",E155,IF(G155=0,"","-" &amp; G155))</f>
        <v>с3350 СН/Тип 10-1</v>
      </c>
    </row>
    <row r="156" customFormat="false" ht="12.8" hidden="false" customHeight="false" outlineLevel="0" collapsed="false">
      <c r="A156" s="1" t="s">
        <v>6</v>
      </c>
      <c r="B156" s="1" t="n">
        <v>40</v>
      </c>
      <c r="C156" s="1" t="n">
        <v>10</v>
      </c>
      <c r="D156" s="1" t="s">
        <v>206</v>
      </c>
      <c r="E156" s="1" t="s">
        <v>200</v>
      </c>
      <c r="F156" s="1" t="n">
        <v>3350</v>
      </c>
      <c r="G156" s="4" t="n">
        <v>1</v>
      </c>
      <c r="H156" s="1" t="s">
        <v>325</v>
      </c>
      <c r="I156" s="4" t="n">
        <v>1</v>
      </c>
      <c r="J156" s="1" t="str">
        <f aca="false">_xlfn.CONCAT("с",F156," ",D156,"/",E156,IF(G156=0,"","-" &amp; G156))</f>
        <v>с3350 Тип 10/5а-1</v>
      </c>
    </row>
    <row r="157" customFormat="false" ht="12.8" hidden="false" customHeight="false" outlineLevel="0" collapsed="false">
      <c r="A157" s="1" t="s">
        <v>6</v>
      </c>
      <c r="B157" s="1" t="n">
        <v>40</v>
      </c>
      <c r="C157" s="1" t="n">
        <v>11</v>
      </c>
      <c r="D157" s="1" t="s">
        <v>200</v>
      </c>
      <c r="E157" s="1" t="s">
        <v>207</v>
      </c>
      <c r="F157" s="1" t="n">
        <v>3350</v>
      </c>
      <c r="G157" s="4" t="n">
        <v>1</v>
      </c>
      <c r="H157" s="1" t="s">
        <v>326</v>
      </c>
      <c r="I157" s="4" t="n">
        <v>1</v>
      </c>
      <c r="J157" s="1" t="str">
        <f aca="false">_xlfn.CONCAT("с",F157," ",D157,"/",E157,IF(G157=0,"","-" &amp; G157))</f>
        <v>с3350 5а/ВС-1</v>
      </c>
    </row>
    <row r="158" customFormat="false" ht="12.8" hidden="false" customHeight="false" outlineLevel="0" collapsed="false">
      <c r="A158" s="1" t="s">
        <v>6</v>
      </c>
      <c r="B158" s="1" t="n">
        <v>40</v>
      </c>
      <c r="C158" s="1" t="n">
        <v>12</v>
      </c>
      <c r="D158" s="1" t="s">
        <v>207</v>
      </c>
      <c r="E158" s="1" t="s">
        <v>206</v>
      </c>
      <c r="F158" s="1" t="n">
        <v>3350</v>
      </c>
      <c r="G158" s="4" t="n">
        <v>1</v>
      </c>
      <c r="H158" s="1" t="s">
        <v>327</v>
      </c>
      <c r="I158" s="4" t="n">
        <v>1</v>
      </c>
      <c r="J158" s="1" t="str">
        <f aca="false">_xlfn.CONCAT("с",F158," ",D158,"/",E158,IF(G158=0,"","-" &amp; G158))</f>
        <v>с3350 ВС/Тип 10-1</v>
      </c>
    </row>
    <row r="159" customFormat="false" ht="12.8" hidden="false" customHeight="false" outlineLevel="0" collapsed="false">
      <c r="A159" s="1" t="s">
        <v>6</v>
      </c>
      <c r="B159" s="1" t="n">
        <v>40</v>
      </c>
      <c r="C159" s="1" t="n">
        <v>13</v>
      </c>
      <c r="D159" s="1" t="s">
        <v>206</v>
      </c>
      <c r="E159" s="1" t="s">
        <v>208</v>
      </c>
      <c r="F159" s="1" t="n">
        <v>3350</v>
      </c>
      <c r="G159" s="4" t="n">
        <v>1</v>
      </c>
      <c r="H159" s="1" t="s">
        <v>328</v>
      </c>
      <c r="I159" s="4" t="n">
        <v>1</v>
      </c>
      <c r="J159" s="1" t="str">
        <f aca="false">_xlfn.CONCAT("с",F159," ",D159,"/",E159,IF(G159=0,"","-" &amp; G159))</f>
        <v>с3350 Тип 10/СН-1</v>
      </c>
    </row>
    <row r="160" customFormat="false" ht="12.8" hidden="false" customHeight="false" outlineLevel="0" collapsed="false">
      <c r="A160" s="1" t="s">
        <v>6</v>
      </c>
      <c r="B160" s="1" t="n">
        <v>40</v>
      </c>
      <c r="C160" s="1" t="n">
        <v>14</v>
      </c>
      <c r="D160" s="1" t="s">
        <v>208</v>
      </c>
      <c r="E160" s="1" t="s">
        <v>196</v>
      </c>
      <c r="F160" s="1" t="n">
        <v>3350</v>
      </c>
      <c r="G160" s="4" t="n">
        <v>1</v>
      </c>
      <c r="H160" s="1" t="s">
        <v>329</v>
      </c>
      <c r="I160" s="4" t="n">
        <v>1</v>
      </c>
      <c r="J160" s="1" t="str">
        <f aca="false">_xlfn.CONCAT("с",F160," ",D160,"/",E160,IF(G160=0,"","-" &amp; G160))</f>
        <v>с3350 СН/1а-1</v>
      </c>
    </row>
    <row r="161" customFormat="false" ht="12.8" hidden="false" customHeight="false" outlineLevel="0" collapsed="false">
      <c r="A161" s="1" t="s">
        <v>6</v>
      </c>
      <c r="B161" s="1" t="n">
        <v>40</v>
      </c>
      <c r="C161" s="1" t="n">
        <v>15</v>
      </c>
      <c r="D161" s="1" t="s">
        <v>196</v>
      </c>
      <c r="E161" s="1" t="s">
        <v>207</v>
      </c>
      <c r="F161" s="1" t="n">
        <v>3350</v>
      </c>
      <c r="G161" s="4" t="n">
        <v>1</v>
      </c>
      <c r="H161" s="1" t="s">
        <v>330</v>
      </c>
      <c r="I161" s="4" t="n">
        <v>1</v>
      </c>
      <c r="J161" s="1" t="str">
        <f aca="false">_xlfn.CONCAT("с",F161," ",D161,"/",E161,IF(G161=0,"","-" &amp; G161))</f>
        <v>с3350 1а/ВС-1</v>
      </c>
    </row>
    <row r="162" customFormat="false" ht="12.8" hidden="false" customHeight="false" outlineLevel="0" collapsed="false">
      <c r="A162" s="1" t="s">
        <v>6</v>
      </c>
      <c r="B162" s="1" t="n">
        <v>40</v>
      </c>
      <c r="C162" s="1" t="n">
        <v>16</v>
      </c>
      <c r="D162" s="1" t="s">
        <v>207</v>
      </c>
      <c r="E162" s="1" t="s">
        <v>208</v>
      </c>
      <c r="F162" s="1" t="n">
        <v>3350</v>
      </c>
      <c r="G162" s="4" t="n">
        <v>1</v>
      </c>
      <c r="H162" s="1" t="s">
        <v>323</v>
      </c>
      <c r="I162" s="4" t="n">
        <v>1</v>
      </c>
      <c r="J162" s="1" t="str">
        <f aca="false">_xlfn.CONCAT("с",F162," ",D162,"/",E162,IF(G162=0,"","-" &amp; G162))</f>
        <v>с3350 ВС/СН-1</v>
      </c>
    </row>
    <row r="163" customFormat="false" ht="12.8" hidden="false" customHeight="false" outlineLevel="0" collapsed="false">
      <c r="A163" s="1" t="s">
        <v>6</v>
      </c>
      <c r="B163" s="1" t="n">
        <v>40</v>
      </c>
      <c r="C163" s="1" t="n">
        <v>17</v>
      </c>
      <c r="D163" s="1" t="s">
        <v>208</v>
      </c>
      <c r="E163" s="1" t="s">
        <v>206</v>
      </c>
      <c r="F163" s="1" t="n">
        <v>3350</v>
      </c>
      <c r="G163" s="4" t="n">
        <v>1</v>
      </c>
      <c r="H163" s="1" t="s">
        <v>324</v>
      </c>
      <c r="I163" s="4" t="n">
        <v>1</v>
      </c>
      <c r="J163" s="1" t="str">
        <f aca="false">_xlfn.CONCAT("с",F163," ",D163,"/",E163,IF(G163=0,"","-" &amp; G163))</f>
        <v>с3350 СН/Тип 10-1</v>
      </c>
    </row>
    <row r="164" customFormat="false" ht="12.8" hidden="false" customHeight="false" outlineLevel="0" collapsed="false">
      <c r="A164" s="1" t="s">
        <v>6</v>
      </c>
      <c r="B164" s="1" t="n">
        <v>40</v>
      </c>
      <c r="C164" s="1" t="n">
        <v>18</v>
      </c>
      <c r="D164" s="1" t="s">
        <v>206</v>
      </c>
      <c r="E164" s="1" t="s">
        <v>200</v>
      </c>
      <c r="F164" s="1" t="n">
        <v>3350</v>
      </c>
      <c r="G164" s="4" t="n">
        <v>1</v>
      </c>
      <c r="H164" s="1" t="s">
        <v>325</v>
      </c>
      <c r="I164" s="4" t="n">
        <v>1</v>
      </c>
      <c r="J164" s="1" t="str">
        <f aca="false">_xlfn.CONCAT("с",F164," ",D164,"/",E164,IF(G164=0,"","-" &amp; G164))</f>
        <v>с3350 Тип 10/5а-1</v>
      </c>
    </row>
    <row r="165" customFormat="false" ht="12.8" hidden="false" customHeight="false" outlineLevel="0" collapsed="false">
      <c r="A165" s="1" t="s">
        <v>6</v>
      </c>
      <c r="B165" s="1" t="n">
        <v>40</v>
      </c>
      <c r="C165" s="1" t="n">
        <v>19</v>
      </c>
      <c r="D165" s="1" t="s">
        <v>200</v>
      </c>
      <c r="E165" s="1" t="s">
        <v>207</v>
      </c>
      <c r="F165" s="1" t="n">
        <v>3350</v>
      </c>
      <c r="G165" s="4" t="n">
        <v>1</v>
      </c>
      <c r="H165" s="1" t="s">
        <v>326</v>
      </c>
      <c r="I165" s="4" t="n">
        <v>1</v>
      </c>
      <c r="J165" s="1" t="str">
        <f aca="false">_xlfn.CONCAT("с",F165," ",D165,"/",E165,IF(G165=0,"","-" &amp; G165))</f>
        <v>с3350 5а/ВС-1</v>
      </c>
    </row>
    <row r="166" customFormat="false" ht="12.8" hidden="false" customHeight="false" outlineLevel="0" collapsed="false">
      <c r="A166" s="1" t="s">
        <v>6</v>
      </c>
      <c r="B166" s="1" t="n">
        <v>40</v>
      </c>
      <c r="C166" s="1" t="n">
        <v>20</v>
      </c>
      <c r="D166" s="1" t="s">
        <v>207</v>
      </c>
      <c r="E166" s="1" t="s">
        <v>206</v>
      </c>
      <c r="F166" s="1" t="n">
        <v>3350</v>
      </c>
      <c r="G166" s="4" t="n">
        <v>1</v>
      </c>
      <c r="H166" s="1" t="s">
        <v>327</v>
      </c>
      <c r="I166" s="4" t="n">
        <v>1</v>
      </c>
      <c r="J166" s="1" t="str">
        <f aca="false">_xlfn.CONCAT("с",F166," ",D166,"/",E166,IF(G166=0,"","-" &amp; G166))</f>
        <v>с3350 ВС/Тип 10-1</v>
      </c>
    </row>
    <row r="167" customFormat="false" ht="12.8" hidden="false" customHeight="false" outlineLevel="0" collapsed="false">
      <c r="A167" s="1" t="s">
        <v>6</v>
      </c>
      <c r="B167" s="1" t="n">
        <v>40</v>
      </c>
      <c r="C167" s="1" t="n">
        <v>21</v>
      </c>
      <c r="D167" s="1" t="s">
        <v>206</v>
      </c>
      <c r="E167" s="1" t="s">
        <v>208</v>
      </c>
      <c r="F167" s="1" t="n">
        <v>3350</v>
      </c>
      <c r="G167" s="4" t="n">
        <v>1</v>
      </c>
      <c r="H167" s="1" t="s">
        <v>328</v>
      </c>
      <c r="I167" s="4" t="n">
        <v>1</v>
      </c>
      <c r="J167" s="1" t="str">
        <f aca="false">_xlfn.CONCAT("с",F167," ",D167,"/",E167,IF(G167=0,"","-" &amp; G167))</f>
        <v>с3350 Тип 10/СН-1</v>
      </c>
    </row>
    <row r="168" customFormat="false" ht="12.8" hidden="false" customHeight="false" outlineLevel="0" collapsed="false">
      <c r="A168" s="1" t="s">
        <v>6</v>
      </c>
      <c r="B168" s="1" t="n">
        <v>40</v>
      </c>
      <c r="C168" s="1" t="n">
        <v>22</v>
      </c>
      <c r="D168" s="1" t="s">
        <v>208</v>
      </c>
      <c r="E168" s="1" t="s">
        <v>198</v>
      </c>
      <c r="F168" s="1" t="n">
        <v>3350</v>
      </c>
      <c r="G168" s="4" t="n">
        <v>1</v>
      </c>
      <c r="H168" s="1" t="s">
        <v>331</v>
      </c>
      <c r="I168" s="4" t="n">
        <v>1</v>
      </c>
      <c r="J168" s="1" t="str">
        <f aca="false">_xlfn.CONCAT("с",F168," ",D168,"/",E168,IF(G168=0,"","-" &amp; G168))</f>
        <v>с3350 СН/3а-1</v>
      </c>
    </row>
    <row r="169" customFormat="false" ht="12.8" hidden="false" customHeight="false" outlineLevel="0" collapsed="false">
      <c r="A169" s="1" t="s">
        <v>6</v>
      </c>
      <c r="B169" s="1" t="n">
        <v>40</v>
      </c>
      <c r="C169" s="1" t="n">
        <v>23</v>
      </c>
      <c r="D169" s="1" t="s">
        <v>198</v>
      </c>
      <c r="E169" s="1" t="s">
        <v>207</v>
      </c>
      <c r="F169" s="1" t="n">
        <v>3350</v>
      </c>
      <c r="G169" s="4" t="n">
        <v>1</v>
      </c>
      <c r="H169" s="1" t="s">
        <v>322</v>
      </c>
      <c r="I169" s="4" t="n">
        <v>1</v>
      </c>
      <c r="J169" s="1" t="str">
        <f aca="false">_xlfn.CONCAT("с",F169," ",D169,"/",E169,IF(G169=0,"","-" &amp; G169))</f>
        <v>с3350 3а/ВС-1</v>
      </c>
    </row>
    <row r="170" customFormat="false" ht="12.8" hidden="false" customHeight="false" outlineLevel="0" collapsed="false">
      <c r="A170" s="1" t="s">
        <v>6</v>
      </c>
      <c r="B170" s="1" t="n">
        <v>40</v>
      </c>
      <c r="C170" s="1" t="n">
        <v>24</v>
      </c>
      <c r="D170" s="1" t="s">
        <v>207</v>
      </c>
      <c r="E170" s="1" t="s">
        <v>206</v>
      </c>
      <c r="F170" s="1" t="n">
        <v>3350</v>
      </c>
      <c r="G170" s="4" t="n">
        <v>1</v>
      </c>
      <c r="H170" s="1" t="s">
        <v>327</v>
      </c>
      <c r="I170" s="4" t="n">
        <v>1</v>
      </c>
      <c r="J170" s="1" t="str">
        <f aca="false">_xlfn.CONCAT("с",F170," ",D170,"/",E170,IF(G170=0,"","-" &amp; G170))</f>
        <v>с3350 ВС/Тип 10-1</v>
      </c>
    </row>
    <row r="171" customFormat="false" ht="12.8" hidden="false" customHeight="false" outlineLevel="0" collapsed="false">
      <c r="A171" s="1" t="s">
        <v>6</v>
      </c>
      <c r="B171" s="1" t="n">
        <v>40</v>
      </c>
      <c r="C171" s="1" t="n">
        <v>25</v>
      </c>
      <c r="D171" s="1" t="s">
        <v>206</v>
      </c>
      <c r="E171" s="1" t="s">
        <v>208</v>
      </c>
      <c r="F171" s="1" t="n">
        <v>3350</v>
      </c>
      <c r="G171" s="4" t="n">
        <v>1</v>
      </c>
      <c r="H171" s="1" t="s">
        <v>328</v>
      </c>
      <c r="I171" s="4" t="n">
        <v>1</v>
      </c>
      <c r="J171" s="1" t="str">
        <f aca="false">_xlfn.CONCAT("с",F171," ",D171,"/",E171,IF(G171=0,"","-" &amp; G171))</f>
        <v>с3350 Тип 10/СН-1</v>
      </c>
    </row>
    <row r="172" customFormat="false" ht="12.8" hidden="false" customHeight="false" outlineLevel="0" collapsed="false">
      <c r="A172" s="1" t="s">
        <v>6</v>
      </c>
      <c r="B172" s="1" t="n">
        <v>40</v>
      </c>
      <c r="C172" s="1" t="n">
        <v>26</v>
      </c>
      <c r="D172" s="1" t="s">
        <v>208</v>
      </c>
      <c r="E172" s="1" t="s">
        <v>198</v>
      </c>
      <c r="F172" s="1" t="n">
        <v>3350</v>
      </c>
      <c r="G172" s="4" t="n">
        <v>1</v>
      </c>
      <c r="H172" s="1" t="s">
        <v>331</v>
      </c>
      <c r="I172" s="4" t="n">
        <v>1</v>
      </c>
      <c r="J172" s="1" t="str">
        <f aca="false">_xlfn.CONCAT("с",F172," ",D172,"/",E172,IF(G172=0,"","-" &amp; G172))</f>
        <v>с3350 СН/3а-1</v>
      </c>
    </row>
    <row r="173" customFormat="false" ht="12.8" hidden="false" customHeight="false" outlineLevel="0" collapsed="false">
      <c r="A173" s="1" t="s">
        <v>6</v>
      </c>
      <c r="B173" s="1" t="n">
        <v>40</v>
      </c>
      <c r="C173" s="1" t="n">
        <v>27</v>
      </c>
      <c r="D173" s="1" t="s">
        <v>198</v>
      </c>
      <c r="E173" s="1" t="s">
        <v>207</v>
      </c>
      <c r="F173" s="1" t="n">
        <v>3350</v>
      </c>
      <c r="G173" s="4" t="n">
        <v>1</v>
      </c>
      <c r="H173" s="1" t="s">
        <v>322</v>
      </c>
      <c r="I173" s="4" t="n">
        <v>1</v>
      </c>
      <c r="J173" s="1" t="str">
        <f aca="false">_xlfn.CONCAT("с",F173," ",D173,"/",E173,IF(G173=0,"","-" &amp; G173))</f>
        <v>с3350 3а/ВС-1</v>
      </c>
    </row>
    <row r="174" customFormat="false" ht="12.8" hidden="false" customHeight="false" outlineLevel="0" collapsed="false">
      <c r="A174" s="1" t="s">
        <v>6</v>
      </c>
      <c r="B174" s="1" t="n">
        <v>40</v>
      </c>
      <c r="C174" s="1" t="n">
        <v>28</v>
      </c>
      <c r="D174" s="1" t="s">
        <v>207</v>
      </c>
      <c r="E174" s="1" t="s">
        <v>206</v>
      </c>
      <c r="F174" s="1" t="n">
        <v>3350</v>
      </c>
      <c r="G174" s="4" t="n">
        <v>1</v>
      </c>
      <c r="H174" s="1" t="s">
        <v>327</v>
      </c>
      <c r="I174" s="4" t="n">
        <v>1</v>
      </c>
      <c r="J174" s="1" t="str">
        <f aca="false">_xlfn.CONCAT("с",F174," ",D174,"/",E174,IF(G174=0,"","-" &amp; G174))</f>
        <v>с3350 ВС/Тип 10-1</v>
      </c>
    </row>
    <row r="175" customFormat="false" ht="12.8" hidden="false" customHeight="false" outlineLevel="0" collapsed="false">
      <c r="A175" s="1" t="s">
        <v>6</v>
      </c>
      <c r="B175" s="1" t="n">
        <v>40</v>
      </c>
      <c r="C175" s="1" t="n">
        <v>29</v>
      </c>
      <c r="D175" s="1" t="s">
        <v>206</v>
      </c>
      <c r="E175" s="1" t="s">
        <v>210</v>
      </c>
      <c r="F175" s="1" t="n">
        <v>3350</v>
      </c>
      <c r="G175" s="4" t="n">
        <v>1</v>
      </c>
      <c r="H175" s="1" t="s">
        <v>332</v>
      </c>
      <c r="I175" s="4" t="n">
        <v>1</v>
      </c>
      <c r="J175" s="1" t="str">
        <f aca="false">_xlfn.CONCAT("с",F175," ",D175,"/",E175,IF(G175=0,"","-" &amp; G175))</f>
        <v>с3350 Тип 10/Лист 1 мм-1</v>
      </c>
    </row>
    <row r="176" customFormat="false" ht="12.8" hidden="false" customHeight="false" outlineLevel="0" collapsed="false">
      <c r="A176" s="1" t="s">
        <v>6</v>
      </c>
      <c r="B176" s="1" t="n">
        <v>57</v>
      </c>
      <c r="C176" s="1" t="n">
        <v>1</v>
      </c>
      <c r="D176" s="1" t="s">
        <v>210</v>
      </c>
      <c r="E176" s="1" t="s">
        <v>204</v>
      </c>
      <c r="F176" s="1" t="n">
        <v>5360</v>
      </c>
      <c r="G176" s="4" t="n">
        <v>0</v>
      </c>
      <c r="H176" s="1" t="s">
        <v>333</v>
      </c>
      <c r="I176" s="4" t="n">
        <v>1</v>
      </c>
      <c r="J176" s="1" t="str">
        <f aca="false">_xlfn.CONCAT("с",F176," ",D176,"/",E176,IF(G176=0,"","-" &amp; G176))</f>
        <v>с5360 Лист 1 мм/Тип 8</v>
      </c>
    </row>
    <row r="177" customFormat="false" ht="12.8" hidden="false" customHeight="false" outlineLevel="0" collapsed="false">
      <c r="A177" s="1" t="s">
        <v>6</v>
      </c>
      <c r="B177" s="1" t="n">
        <v>57</v>
      </c>
      <c r="C177" s="1" t="n">
        <v>2</v>
      </c>
      <c r="D177" s="1" t="s">
        <v>204</v>
      </c>
      <c r="E177" s="1" t="s">
        <v>207</v>
      </c>
      <c r="F177" s="1" t="n">
        <v>5360</v>
      </c>
      <c r="G177" s="4" t="n">
        <v>0</v>
      </c>
      <c r="H177" s="1" t="s">
        <v>334</v>
      </c>
      <c r="I177" s="4" t="n">
        <v>1</v>
      </c>
      <c r="J177" s="1" t="str">
        <f aca="false">_xlfn.CONCAT("с",F177," ",D177,"/",E177,IF(G177=0,"","-" &amp; G177))</f>
        <v>с5360 Тип 8/ВС</v>
      </c>
    </row>
    <row r="178" customFormat="false" ht="12.8" hidden="false" customHeight="false" outlineLevel="0" collapsed="false">
      <c r="A178" s="1" t="s">
        <v>6</v>
      </c>
      <c r="B178" s="1" t="n">
        <v>57</v>
      </c>
      <c r="C178" s="1" t="n">
        <v>3</v>
      </c>
      <c r="D178" s="1" t="s">
        <v>207</v>
      </c>
      <c r="E178" s="1" t="s">
        <v>198</v>
      </c>
      <c r="F178" s="1" t="n">
        <v>5360</v>
      </c>
      <c r="G178" s="4" t="n">
        <v>0</v>
      </c>
      <c r="H178" s="1" t="s">
        <v>335</v>
      </c>
      <c r="I178" s="4" t="n">
        <v>1</v>
      </c>
      <c r="J178" s="1" t="str">
        <f aca="false">_xlfn.CONCAT("с",F178," ",D178,"/",E178,IF(G178=0,"","-" &amp; G178))</f>
        <v>с5360 ВС/3а</v>
      </c>
    </row>
    <row r="179" customFormat="false" ht="12.8" hidden="false" customHeight="false" outlineLevel="0" collapsed="false">
      <c r="A179" s="1" t="s">
        <v>6</v>
      </c>
      <c r="B179" s="1" t="n">
        <v>57</v>
      </c>
      <c r="C179" s="1" t="n">
        <v>4</v>
      </c>
      <c r="D179" s="1" t="s">
        <v>198</v>
      </c>
      <c r="E179" s="1" t="s">
        <v>208</v>
      </c>
      <c r="F179" s="1" t="n">
        <v>5360</v>
      </c>
      <c r="G179" s="4" t="n">
        <v>0</v>
      </c>
      <c r="H179" s="1" t="s">
        <v>336</v>
      </c>
      <c r="I179" s="4" t="n">
        <v>1</v>
      </c>
      <c r="J179" s="1" t="str">
        <f aca="false">_xlfn.CONCAT("с",F179," ",D179,"/",E179,IF(G179=0,"","-" &amp; G179))</f>
        <v>с5360 3а/СН</v>
      </c>
    </row>
    <row r="180" customFormat="false" ht="12.8" hidden="false" customHeight="false" outlineLevel="0" collapsed="false">
      <c r="A180" s="1" t="s">
        <v>6</v>
      </c>
      <c r="B180" s="1" t="n">
        <v>57</v>
      </c>
      <c r="C180" s="1" t="n">
        <v>5</v>
      </c>
      <c r="D180" s="1" t="s">
        <v>208</v>
      </c>
      <c r="E180" s="1" t="s">
        <v>204</v>
      </c>
      <c r="F180" s="1" t="n">
        <v>5360</v>
      </c>
      <c r="G180" s="4" t="n">
        <v>0</v>
      </c>
      <c r="H180" s="1" t="s">
        <v>337</v>
      </c>
      <c r="I180" s="4" t="n">
        <v>1</v>
      </c>
      <c r="J180" s="1" t="str">
        <f aca="false">_xlfn.CONCAT("с",F180," ",D180,"/",E180,IF(G180=0,"","-" &amp; G180))</f>
        <v>с5360 СН/Тип 8</v>
      </c>
    </row>
    <row r="181" customFormat="false" ht="12.8" hidden="false" customHeight="false" outlineLevel="0" collapsed="false">
      <c r="A181" s="1" t="s">
        <v>6</v>
      </c>
      <c r="B181" s="1" t="n">
        <v>57</v>
      </c>
      <c r="C181" s="1" t="n">
        <v>6</v>
      </c>
      <c r="D181" s="1" t="s">
        <v>204</v>
      </c>
      <c r="E181" s="1" t="s">
        <v>207</v>
      </c>
      <c r="F181" s="1" t="n">
        <v>5360</v>
      </c>
      <c r="G181" s="4" t="n">
        <v>0</v>
      </c>
      <c r="H181" s="1" t="s">
        <v>334</v>
      </c>
      <c r="I181" s="4" t="n">
        <v>1</v>
      </c>
      <c r="J181" s="1" t="str">
        <f aca="false">_xlfn.CONCAT("с",F181," ",D181,"/",E181,IF(G181=0,"","-" &amp; G181))</f>
        <v>с5360 Тип 8/ВС</v>
      </c>
    </row>
    <row r="182" customFormat="false" ht="12.8" hidden="false" customHeight="false" outlineLevel="0" collapsed="false">
      <c r="A182" s="1" t="s">
        <v>6</v>
      </c>
      <c r="B182" s="1" t="n">
        <v>57</v>
      </c>
      <c r="C182" s="1" t="n">
        <v>7</v>
      </c>
      <c r="D182" s="1" t="s">
        <v>207</v>
      </c>
      <c r="E182" s="1" t="s">
        <v>198</v>
      </c>
      <c r="F182" s="1" t="n">
        <v>5360</v>
      </c>
      <c r="G182" s="4" t="n">
        <v>0</v>
      </c>
      <c r="H182" s="1" t="s">
        <v>335</v>
      </c>
      <c r="I182" s="4" t="n">
        <v>1</v>
      </c>
      <c r="J182" s="1" t="str">
        <f aca="false">_xlfn.CONCAT("с",F182," ",D182,"/",E182,IF(G182=0,"","-" &amp; G182))</f>
        <v>с5360 ВС/3а</v>
      </c>
    </row>
    <row r="183" customFormat="false" ht="12.8" hidden="false" customHeight="false" outlineLevel="0" collapsed="false">
      <c r="A183" s="1" t="s">
        <v>6</v>
      </c>
      <c r="B183" s="1" t="n">
        <v>57</v>
      </c>
      <c r="C183" s="1" t="n">
        <v>8</v>
      </c>
      <c r="D183" s="1" t="s">
        <v>198</v>
      </c>
      <c r="E183" s="1" t="s">
        <v>208</v>
      </c>
      <c r="F183" s="1" t="n">
        <v>5360</v>
      </c>
      <c r="G183" s="4" t="n">
        <v>0</v>
      </c>
      <c r="H183" s="1" t="s">
        <v>336</v>
      </c>
      <c r="I183" s="4" t="n">
        <v>1</v>
      </c>
      <c r="J183" s="1" t="str">
        <f aca="false">_xlfn.CONCAT("с",F183," ",D183,"/",E183,IF(G183=0,"","-" &amp; G183))</f>
        <v>с5360 3а/СН</v>
      </c>
    </row>
    <row r="184" customFormat="false" ht="12.8" hidden="false" customHeight="false" outlineLevel="0" collapsed="false">
      <c r="A184" s="1" t="s">
        <v>6</v>
      </c>
      <c r="B184" s="1" t="n">
        <v>57</v>
      </c>
      <c r="C184" s="1" t="n">
        <v>9</v>
      </c>
      <c r="D184" s="1" t="s">
        <v>208</v>
      </c>
      <c r="E184" s="1" t="s">
        <v>204</v>
      </c>
      <c r="F184" s="1" t="n">
        <v>5360</v>
      </c>
      <c r="G184" s="4" t="n">
        <v>0</v>
      </c>
      <c r="H184" s="1" t="s">
        <v>337</v>
      </c>
      <c r="I184" s="4" t="n">
        <v>1</v>
      </c>
      <c r="J184" s="1" t="str">
        <f aca="false">_xlfn.CONCAT("с",F184," ",D184,"/",E184,IF(G184=0,"","-" &amp; G184))</f>
        <v>с5360 СН/Тип 8</v>
      </c>
    </row>
    <row r="185" customFormat="false" ht="12.8" hidden="false" customHeight="false" outlineLevel="0" collapsed="false">
      <c r="A185" s="1" t="s">
        <v>6</v>
      </c>
      <c r="B185" s="1" t="n">
        <v>57</v>
      </c>
      <c r="C185" s="1" t="n">
        <v>10</v>
      </c>
      <c r="D185" s="1" t="s">
        <v>204</v>
      </c>
      <c r="E185" s="1" t="s">
        <v>207</v>
      </c>
      <c r="F185" s="1" t="n">
        <v>5360</v>
      </c>
      <c r="G185" s="4" t="n">
        <v>0</v>
      </c>
      <c r="H185" s="1" t="s">
        <v>334</v>
      </c>
      <c r="I185" s="4" t="n">
        <v>1</v>
      </c>
      <c r="J185" s="1" t="str">
        <f aca="false">_xlfn.CONCAT("с",F185," ",D185,"/",E185,IF(G185=0,"","-" &amp; G185))</f>
        <v>с5360 Тип 8/ВС</v>
      </c>
    </row>
    <row r="186" customFormat="false" ht="12.8" hidden="false" customHeight="false" outlineLevel="0" collapsed="false">
      <c r="A186" s="1" t="s">
        <v>6</v>
      </c>
      <c r="B186" s="1" t="n">
        <v>57</v>
      </c>
      <c r="C186" s="1" t="n">
        <v>11</v>
      </c>
      <c r="D186" s="1" t="s">
        <v>207</v>
      </c>
      <c r="E186" s="1" t="s">
        <v>200</v>
      </c>
      <c r="F186" s="1" t="n">
        <v>5360</v>
      </c>
      <c r="G186" s="4" t="n">
        <v>0</v>
      </c>
      <c r="H186" s="1" t="s">
        <v>338</v>
      </c>
      <c r="I186" s="4" t="n">
        <v>1</v>
      </c>
      <c r="J186" s="1" t="str">
        <f aca="false">_xlfn.CONCAT("с",F186," ",D186,"/",E186,IF(G186=0,"","-" &amp; G186))</f>
        <v>с5360 ВС/5а</v>
      </c>
    </row>
    <row r="187" customFormat="false" ht="12.8" hidden="false" customHeight="false" outlineLevel="0" collapsed="false">
      <c r="A187" s="1" t="s">
        <v>6</v>
      </c>
      <c r="B187" s="1" t="n">
        <v>57</v>
      </c>
      <c r="C187" s="1" t="n">
        <v>12</v>
      </c>
      <c r="D187" s="1" t="s">
        <v>200</v>
      </c>
      <c r="E187" s="1" t="s">
        <v>204</v>
      </c>
      <c r="F187" s="1" t="n">
        <v>5360</v>
      </c>
      <c r="G187" s="4" t="n">
        <v>0</v>
      </c>
      <c r="H187" s="1" t="s">
        <v>339</v>
      </c>
      <c r="I187" s="4" t="n">
        <v>1</v>
      </c>
      <c r="J187" s="1" t="str">
        <f aca="false">_xlfn.CONCAT("с",F187," ",D187,"/",E187,IF(G187=0,"","-" &amp; G187))</f>
        <v>с5360 5а/Тип 8</v>
      </c>
    </row>
    <row r="188" customFormat="false" ht="12.8" hidden="false" customHeight="false" outlineLevel="0" collapsed="false">
      <c r="A188" s="1" t="s">
        <v>6</v>
      </c>
      <c r="B188" s="1" t="n">
        <v>57</v>
      </c>
      <c r="C188" s="1" t="n">
        <v>13</v>
      </c>
      <c r="D188" s="1" t="s">
        <v>204</v>
      </c>
      <c r="E188" s="1" t="s">
        <v>208</v>
      </c>
      <c r="F188" s="1" t="n">
        <v>5360</v>
      </c>
      <c r="G188" s="4" t="n">
        <v>0</v>
      </c>
      <c r="H188" s="1" t="s">
        <v>340</v>
      </c>
      <c r="I188" s="4" t="n">
        <v>1</v>
      </c>
      <c r="J188" s="1" t="str">
        <f aca="false">_xlfn.CONCAT("с",F188," ",D188,"/",E188,IF(G188=0,"","-" &amp; G188))</f>
        <v>с5360 Тип 8/СН</v>
      </c>
    </row>
    <row r="189" customFormat="false" ht="12.8" hidden="false" customHeight="false" outlineLevel="0" collapsed="false">
      <c r="A189" s="1" t="s">
        <v>6</v>
      </c>
      <c r="B189" s="1" t="n">
        <v>57</v>
      </c>
      <c r="C189" s="1" t="n">
        <v>14</v>
      </c>
      <c r="D189" s="1" t="s">
        <v>208</v>
      </c>
      <c r="E189" s="1" t="s">
        <v>207</v>
      </c>
      <c r="F189" s="1" t="n">
        <v>5360</v>
      </c>
      <c r="G189" s="4" t="n">
        <v>0</v>
      </c>
      <c r="H189" s="1" t="s">
        <v>341</v>
      </c>
      <c r="I189" s="4" t="n">
        <v>1</v>
      </c>
      <c r="J189" s="1" t="str">
        <f aca="false">_xlfn.CONCAT("с",F189," ",D189,"/",E189,IF(G189=0,"","-" &amp; G189))</f>
        <v>с5360 СН/ВС</v>
      </c>
    </row>
    <row r="190" customFormat="false" ht="12.8" hidden="false" customHeight="false" outlineLevel="0" collapsed="false">
      <c r="A190" s="1" t="s">
        <v>6</v>
      </c>
      <c r="B190" s="1" t="n">
        <v>57</v>
      </c>
      <c r="C190" s="1" t="n">
        <v>15</v>
      </c>
      <c r="D190" s="1" t="s">
        <v>207</v>
      </c>
      <c r="E190" s="1" t="s">
        <v>196</v>
      </c>
      <c r="F190" s="1" t="n">
        <v>5360</v>
      </c>
      <c r="G190" s="4" t="n">
        <v>0</v>
      </c>
      <c r="H190" s="1" t="s">
        <v>342</v>
      </c>
      <c r="I190" s="4" t="n">
        <v>1</v>
      </c>
      <c r="J190" s="1" t="str">
        <f aca="false">_xlfn.CONCAT("с",F190," ",D190,"/",E190,IF(G190=0,"","-" &amp; G190))</f>
        <v>с5360 ВС/1а</v>
      </c>
    </row>
    <row r="191" customFormat="false" ht="12.8" hidden="false" customHeight="false" outlineLevel="0" collapsed="false">
      <c r="A191" s="1" t="s">
        <v>6</v>
      </c>
      <c r="B191" s="1" t="n">
        <v>57</v>
      </c>
      <c r="C191" s="1" t="n">
        <v>16</v>
      </c>
      <c r="D191" s="1" t="s">
        <v>196</v>
      </c>
      <c r="E191" s="1" t="s">
        <v>208</v>
      </c>
      <c r="F191" s="1" t="n">
        <v>5360</v>
      </c>
      <c r="G191" s="4" t="n">
        <v>0</v>
      </c>
      <c r="H191" s="1" t="s">
        <v>343</v>
      </c>
      <c r="I191" s="4" t="n">
        <v>1</v>
      </c>
      <c r="J191" s="1" t="str">
        <f aca="false">_xlfn.CONCAT("с",F191," ",D191,"/",E191,IF(G191=0,"","-" &amp; G191))</f>
        <v>с5360 1а/СН</v>
      </c>
    </row>
    <row r="192" customFormat="false" ht="12.8" hidden="false" customHeight="false" outlineLevel="0" collapsed="false">
      <c r="A192" s="1" t="s">
        <v>6</v>
      </c>
      <c r="B192" s="1" t="n">
        <v>57</v>
      </c>
      <c r="C192" s="1" t="n">
        <v>17</v>
      </c>
      <c r="D192" s="1" t="s">
        <v>208</v>
      </c>
      <c r="E192" s="1" t="s">
        <v>204</v>
      </c>
      <c r="F192" s="1" t="n">
        <v>5360</v>
      </c>
      <c r="G192" s="4" t="n">
        <v>0</v>
      </c>
      <c r="H192" s="1" t="s">
        <v>337</v>
      </c>
      <c r="I192" s="4" t="n">
        <v>1</v>
      </c>
      <c r="J192" s="1" t="str">
        <f aca="false">_xlfn.CONCAT("с",F192," ",D192,"/",E192,IF(G192=0,"","-" &amp; G192))</f>
        <v>с5360 СН/Тип 8</v>
      </c>
    </row>
    <row r="193" customFormat="false" ht="12.8" hidden="false" customHeight="false" outlineLevel="0" collapsed="false">
      <c r="A193" s="1" t="s">
        <v>6</v>
      </c>
      <c r="B193" s="1" t="n">
        <v>57</v>
      </c>
      <c r="C193" s="1" t="n">
        <v>18</v>
      </c>
      <c r="D193" s="1" t="s">
        <v>204</v>
      </c>
      <c r="E193" s="1" t="s">
        <v>207</v>
      </c>
      <c r="F193" s="1" t="n">
        <v>5360</v>
      </c>
      <c r="G193" s="4" t="n">
        <v>0</v>
      </c>
      <c r="H193" s="1" t="s">
        <v>334</v>
      </c>
      <c r="I193" s="4" t="n">
        <v>1</v>
      </c>
      <c r="J193" s="1" t="str">
        <f aca="false">_xlfn.CONCAT("с",F193," ",D193,"/",E193,IF(G193=0,"","-" &amp; G193))</f>
        <v>с5360 Тип 8/ВС</v>
      </c>
    </row>
    <row r="194" customFormat="false" ht="12.8" hidden="false" customHeight="false" outlineLevel="0" collapsed="false">
      <c r="A194" s="1" t="s">
        <v>6</v>
      </c>
      <c r="B194" s="1" t="n">
        <v>57</v>
      </c>
      <c r="C194" s="1" t="n">
        <v>19</v>
      </c>
      <c r="D194" s="1" t="s">
        <v>207</v>
      </c>
      <c r="E194" s="1" t="s">
        <v>200</v>
      </c>
      <c r="F194" s="1" t="n">
        <v>5360</v>
      </c>
      <c r="G194" s="4" t="n">
        <v>0</v>
      </c>
      <c r="H194" s="1" t="s">
        <v>338</v>
      </c>
      <c r="I194" s="4" t="n">
        <v>1</v>
      </c>
      <c r="J194" s="1" t="str">
        <f aca="false">_xlfn.CONCAT("с",F194," ",D194,"/",E194,IF(G194=0,"","-" &amp; G194))</f>
        <v>с5360 ВС/5а</v>
      </c>
    </row>
    <row r="195" customFormat="false" ht="12.8" hidden="false" customHeight="false" outlineLevel="0" collapsed="false">
      <c r="A195" s="1" t="s">
        <v>6</v>
      </c>
      <c r="B195" s="1" t="n">
        <v>57</v>
      </c>
      <c r="C195" s="1" t="n">
        <v>20</v>
      </c>
      <c r="D195" s="1" t="s">
        <v>200</v>
      </c>
      <c r="E195" s="1" t="s">
        <v>204</v>
      </c>
      <c r="F195" s="1" t="n">
        <v>5360</v>
      </c>
      <c r="G195" s="4" t="n">
        <v>0</v>
      </c>
      <c r="H195" s="1" t="s">
        <v>339</v>
      </c>
      <c r="I195" s="4" t="n">
        <v>1</v>
      </c>
      <c r="J195" s="1" t="str">
        <f aca="false">_xlfn.CONCAT("с",F195," ",D195,"/",E195,IF(G195=0,"","-" &amp; G195))</f>
        <v>с5360 5а/Тип 8</v>
      </c>
    </row>
    <row r="196" customFormat="false" ht="12.8" hidden="false" customHeight="false" outlineLevel="0" collapsed="false">
      <c r="A196" s="1" t="s">
        <v>6</v>
      </c>
      <c r="B196" s="1" t="n">
        <v>57</v>
      </c>
      <c r="C196" s="1" t="n">
        <v>21</v>
      </c>
      <c r="D196" s="1" t="s">
        <v>204</v>
      </c>
      <c r="E196" s="1" t="s">
        <v>208</v>
      </c>
      <c r="F196" s="1" t="n">
        <v>5360</v>
      </c>
      <c r="G196" s="4" t="n">
        <v>0</v>
      </c>
      <c r="H196" s="1" t="s">
        <v>340</v>
      </c>
      <c r="I196" s="4" t="n">
        <v>1</v>
      </c>
      <c r="J196" s="1" t="str">
        <f aca="false">_xlfn.CONCAT("с",F196," ",D196,"/",E196,IF(G196=0,"","-" &amp; G196))</f>
        <v>с5360 Тип 8/СН</v>
      </c>
    </row>
    <row r="197" customFormat="false" ht="12.8" hidden="false" customHeight="false" outlineLevel="0" collapsed="false">
      <c r="A197" s="1" t="s">
        <v>6</v>
      </c>
      <c r="B197" s="1" t="n">
        <v>57</v>
      </c>
      <c r="C197" s="1" t="n">
        <v>22</v>
      </c>
      <c r="D197" s="1" t="s">
        <v>208</v>
      </c>
      <c r="E197" s="1" t="s">
        <v>207</v>
      </c>
      <c r="F197" s="1" t="n">
        <v>5360</v>
      </c>
      <c r="G197" s="4" t="n">
        <v>1</v>
      </c>
      <c r="H197" s="1" t="s">
        <v>344</v>
      </c>
      <c r="I197" s="4" t="n">
        <v>1</v>
      </c>
      <c r="J197" s="1" t="str">
        <f aca="false">_xlfn.CONCAT("с",F197," ",D197,"/",E197,IF(G197=0,"","-" &amp; G197))</f>
        <v>с5360 СН/ВС-1</v>
      </c>
    </row>
    <row r="198" customFormat="false" ht="12.8" hidden="false" customHeight="false" outlineLevel="0" collapsed="false">
      <c r="A198" s="1" t="s">
        <v>6</v>
      </c>
      <c r="B198" s="1" t="n">
        <v>57</v>
      </c>
      <c r="C198" s="1" t="n">
        <v>23</v>
      </c>
      <c r="D198" s="1" t="s">
        <v>207</v>
      </c>
      <c r="E198" s="1" t="s">
        <v>198</v>
      </c>
      <c r="F198" s="1" t="n">
        <v>5360</v>
      </c>
      <c r="G198" s="4" t="n">
        <v>0</v>
      </c>
      <c r="H198" s="1" t="s">
        <v>335</v>
      </c>
      <c r="I198" s="4" t="n">
        <v>1</v>
      </c>
      <c r="J198" s="1" t="str">
        <f aca="false">_xlfn.CONCAT("с",F198," ",D198,"/",E198,IF(G198=0,"","-" &amp; G198))</f>
        <v>с5360 ВС/3а</v>
      </c>
    </row>
    <row r="199" customFormat="false" ht="12.8" hidden="false" customHeight="false" outlineLevel="0" collapsed="false">
      <c r="A199" s="1" t="s">
        <v>6</v>
      </c>
      <c r="B199" s="1" t="n">
        <v>57</v>
      </c>
      <c r="C199" s="1" t="n">
        <v>24</v>
      </c>
      <c r="D199" s="1" t="s">
        <v>198</v>
      </c>
      <c r="E199" s="1" t="s">
        <v>204</v>
      </c>
      <c r="F199" s="1" t="n">
        <v>5360</v>
      </c>
      <c r="G199" s="4" t="n">
        <v>0</v>
      </c>
      <c r="H199" s="1" t="s">
        <v>345</v>
      </c>
      <c r="I199" s="4" t="n">
        <v>1</v>
      </c>
      <c r="J199" s="1" t="str">
        <f aca="false">_xlfn.CONCAT("с",F199," ",D199,"/",E199,IF(G199=0,"","-" &amp; G199))</f>
        <v>с5360 3а/Тип 8</v>
      </c>
    </row>
    <row r="200" customFormat="false" ht="12.8" hidden="false" customHeight="false" outlineLevel="0" collapsed="false">
      <c r="A200" s="1" t="s">
        <v>6</v>
      </c>
      <c r="B200" s="1" t="n">
        <v>57</v>
      </c>
      <c r="C200" s="1" t="n">
        <v>25</v>
      </c>
      <c r="D200" s="1" t="s">
        <v>204</v>
      </c>
      <c r="E200" s="1" t="s">
        <v>208</v>
      </c>
      <c r="F200" s="1" t="n">
        <v>5360</v>
      </c>
      <c r="G200" s="4" t="n">
        <v>0</v>
      </c>
      <c r="H200" s="1" t="s">
        <v>340</v>
      </c>
      <c r="I200" s="4" t="n">
        <v>1</v>
      </c>
      <c r="J200" s="1" t="str">
        <f aca="false">_xlfn.CONCAT("с",F200," ",D200,"/",E200,IF(G200=0,"","-" &amp; G200))</f>
        <v>с5360 Тип 8/СН</v>
      </c>
    </row>
    <row r="201" customFormat="false" ht="12.8" hidden="false" customHeight="false" outlineLevel="0" collapsed="false">
      <c r="A201" s="1" t="s">
        <v>6</v>
      </c>
      <c r="B201" s="1" t="n">
        <v>57</v>
      </c>
      <c r="C201" s="1" t="n">
        <v>26</v>
      </c>
      <c r="D201" s="1" t="s">
        <v>208</v>
      </c>
      <c r="E201" s="1" t="s">
        <v>207</v>
      </c>
      <c r="F201" s="1" t="n">
        <v>5360</v>
      </c>
      <c r="G201" s="4" t="n">
        <v>1</v>
      </c>
      <c r="H201" s="1" t="s">
        <v>344</v>
      </c>
      <c r="I201" s="4" t="n">
        <v>1</v>
      </c>
      <c r="J201" s="1" t="str">
        <f aca="false">_xlfn.CONCAT("с",F201," ",D201,"/",E201,IF(G201=0,"","-" &amp; G201))</f>
        <v>с5360 СН/ВС-1</v>
      </c>
    </row>
    <row r="202" customFormat="false" ht="12.8" hidden="false" customHeight="false" outlineLevel="0" collapsed="false">
      <c r="A202" s="1" t="s">
        <v>6</v>
      </c>
      <c r="B202" s="1" t="n">
        <v>57</v>
      </c>
      <c r="C202" s="1" t="n">
        <v>27</v>
      </c>
      <c r="D202" s="1" t="s">
        <v>207</v>
      </c>
      <c r="E202" s="1" t="s">
        <v>198</v>
      </c>
      <c r="F202" s="1" t="n">
        <v>5360</v>
      </c>
      <c r="G202" s="4" t="n">
        <v>0</v>
      </c>
      <c r="H202" s="1" t="s">
        <v>335</v>
      </c>
      <c r="I202" s="4" t="n">
        <v>1</v>
      </c>
      <c r="J202" s="1" t="str">
        <f aca="false">_xlfn.CONCAT("с",F202," ",D202,"/",E202,IF(G202=0,"","-" &amp; G202))</f>
        <v>с5360 ВС/3а</v>
      </c>
    </row>
    <row r="203" customFormat="false" ht="12.8" hidden="false" customHeight="false" outlineLevel="0" collapsed="false">
      <c r="A203" s="1" t="s">
        <v>6</v>
      </c>
      <c r="B203" s="1" t="n">
        <v>57</v>
      </c>
      <c r="C203" s="1" t="n">
        <v>28</v>
      </c>
      <c r="D203" s="1" t="s">
        <v>198</v>
      </c>
      <c r="E203" s="1" t="s">
        <v>204</v>
      </c>
      <c r="F203" s="1" t="n">
        <v>5360</v>
      </c>
      <c r="G203" s="4" t="n">
        <v>0</v>
      </c>
      <c r="H203" s="1" t="s">
        <v>345</v>
      </c>
      <c r="I203" s="4" t="n">
        <v>1</v>
      </c>
      <c r="J203" s="1" t="str">
        <f aca="false">_xlfn.CONCAT("с",F203," ",D203,"/",E203,IF(G203=0,"","-" &amp; G203))</f>
        <v>с5360 3а/Тип 8</v>
      </c>
    </row>
    <row r="204" customFormat="false" ht="12.8" hidden="false" customHeight="false" outlineLevel="0" collapsed="false">
      <c r="A204" s="1" t="s">
        <v>6</v>
      </c>
      <c r="B204" s="1" t="n">
        <v>57</v>
      </c>
      <c r="C204" s="1" t="n">
        <v>29</v>
      </c>
      <c r="D204" s="1" t="s">
        <v>204</v>
      </c>
      <c r="E204" s="1" t="s">
        <v>210</v>
      </c>
      <c r="F204" s="1" t="n">
        <v>5360</v>
      </c>
      <c r="G204" s="4" t="n">
        <v>0</v>
      </c>
      <c r="H204" s="1" t="s">
        <v>346</v>
      </c>
      <c r="I204" s="4" t="n">
        <v>1</v>
      </c>
      <c r="J204" s="1" t="str">
        <f aca="false">_xlfn.CONCAT("с",F204," ",D204,"/",E204,IF(G204=0,"","-" &amp; G204))</f>
        <v>с5360 Тип 8/Лист 1 мм</v>
      </c>
    </row>
    <row r="205" customFormat="false" ht="12.8" hidden="false" customHeight="false" outlineLevel="0" collapsed="false">
      <c r="A205" s="1" t="s">
        <v>7</v>
      </c>
      <c r="B205" s="1" t="n">
        <v>2</v>
      </c>
      <c r="C205" s="1" t="n">
        <v>1</v>
      </c>
      <c r="D205" s="1" t="s">
        <v>210</v>
      </c>
      <c r="E205" s="1" t="s">
        <v>206</v>
      </c>
      <c r="F205" s="1" t="n">
        <v>3930</v>
      </c>
      <c r="G205" s="4" t="n">
        <v>0</v>
      </c>
      <c r="H205" s="1" t="s">
        <v>347</v>
      </c>
      <c r="I205" s="4" t="n">
        <v>1</v>
      </c>
      <c r="J205" s="1" t="str">
        <f aca="false">_xlfn.CONCAT("с",F205," ",D205,"/",E205,IF(G205=0,"","-" &amp; G205))</f>
        <v>с3930 Лист 1 мм/Тип 10</v>
      </c>
    </row>
    <row r="206" customFormat="false" ht="12.8" hidden="false" customHeight="false" outlineLevel="0" collapsed="false">
      <c r="A206" s="1" t="s">
        <v>7</v>
      </c>
      <c r="B206" s="1" t="n">
        <v>2</v>
      </c>
      <c r="C206" s="1" t="n">
        <v>2</v>
      </c>
      <c r="D206" s="1" t="s">
        <v>206</v>
      </c>
      <c r="E206" s="1" t="s">
        <v>198</v>
      </c>
      <c r="F206" s="1" t="n">
        <v>3930</v>
      </c>
      <c r="G206" s="4" t="n">
        <v>0</v>
      </c>
      <c r="H206" s="1" t="s">
        <v>348</v>
      </c>
      <c r="I206" s="4" t="n">
        <v>1</v>
      </c>
      <c r="J206" s="1" t="str">
        <f aca="false">_xlfn.CONCAT("с",F206," ",D206,"/",E206,IF(G206=0,"","-" &amp; G206))</f>
        <v>с3930 Тип 10/3а</v>
      </c>
    </row>
    <row r="207" customFormat="false" ht="12.8" hidden="false" customHeight="false" outlineLevel="0" collapsed="false">
      <c r="A207" s="1" t="s">
        <v>7</v>
      </c>
      <c r="B207" s="1" t="n">
        <v>2</v>
      </c>
      <c r="C207" s="1" t="n">
        <v>3</v>
      </c>
      <c r="D207" s="1" t="s">
        <v>198</v>
      </c>
      <c r="E207" s="1" t="s">
        <v>207</v>
      </c>
      <c r="F207" s="1" t="n">
        <v>3930</v>
      </c>
      <c r="G207" s="4" t="n">
        <v>0</v>
      </c>
      <c r="H207" s="1" t="s">
        <v>349</v>
      </c>
      <c r="I207" s="4" t="n">
        <v>1</v>
      </c>
      <c r="J207" s="1" t="str">
        <f aca="false">_xlfn.CONCAT("с",F207," ",D207,"/",E207,IF(G207=0,"","-" &amp; G207))</f>
        <v>с3930 3а/ВС</v>
      </c>
    </row>
    <row r="208" customFormat="false" ht="12.8" hidden="false" customHeight="false" outlineLevel="0" collapsed="false">
      <c r="A208" s="1" t="s">
        <v>7</v>
      </c>
      <c r="B208" s="1" t="n">
        <v>2</v>
      </c>
      <c r="C208" s="1" t="n">
        <v>4</v>
      </c>
      <c r="D208" s="1" t="s">
        <v>207</v>
      </c>
      <c r="E208" s="1" t="s">
        <v>208</v>
      </c>
      <c r="F208" s="1" t="n">
        <v>3930</v>
      </c>
      <c r="G208" s="4" t="n">
        <v>0</v>
      </c>
      <c r="H208" s="1" t="s">
        <v>350</v>
      </c>
      <c r="I208" s="4" t="n">
        <v>1</v>
      </c>
      <c r="J208" s="1" t="str">
        <f aca="false">_xlfn.CONCAT("с",F208," ",D208,"/",E208,IF(G208=0,"","-" &amp; G208))</f>
        <v>с3930 ВС/СН</v>
      </c>
    </row>
    <row r="209" customFormat="false" ht="12.8" hidden="false" customHeight="false" outlineLevel="0" collapsed="false">
      <c r="A209" s="1" t="s">
        <v>7</v>
      </c>
      <c r="B209" s="1" t="n">
        <v>2</v>
      </c>
      <c r="C209" s="1" t="n">
        <v>5</v>
      </c>
      <c r="D209" s="1" t="s">
        <v>208</v>
      </c>
      <c r="E209" s="1" t="s">
        <v>206</v>
      </c>
      <c r="F209" s="1" t="n">
        <v>3930</v>
      </c>
      <c r="G209" s="4" t="n">
        <v>0</v>
      </c>
      <c r="H209" s="1" t="s">
        <v>351</v>
      </c>
      <c r="I209" s="4" t="n">
        <v>1</v>
      </c>
      <c r="J209" s="1" t="str">
        <f aca="false">_xlfn.CONCAT("с",F209," ",D209,"/",E209,IF(G209=0,"","-" &amp; G209))</f>
        <v>с3930 СН/Тип 10</v>
      </c>
    </row>
    <row r="210" customFormat="false" ht="12.8" hidden="false" customHeight="false" outlineLevel="0" collapsed="false">
      <c r="A210" s="1" t="s">
        <v>7</v>
      </c>
      <c r="B210" s="1" t="n">
        <v>2</v>
      </c>
      <c r="C210" s="1" t="n">
        <v>6</v>
      </c>
      <c r="D210" s="1" t="s">
        <v>206</v>
      </c>
      <c r="E210" s="1" t="s">
        <v>198</v>
      </c>
      <c r="F210" s="1" t="n">
        <v>3930</v>
      </c>
      <c r="G210" s="4" t="n">
        <v>0</v>
      </c>
      <c r="H210" s="1" t="s">
        <v>348</v>
      </c>
      <c r="I210" s="4" t="n">
        <v>1</v>
      </c>
      <c r="J210" s="1" t="str">
        <f aca="false">_xlfn.CONCAT("с",F210," ",D210,"/",E210,IF(G210=0,"","-" &amp; G210))</f>
        <v>с3930 Тип 10/3а</v>
      </c>
    </row>
    <row r="211" customFormat="false" ht="12.8" hidden="false" customHeight="false" outlineLevel="0" collapsed="false">
      <c r="A211" s="1" t="s">
        <v>7</v>
      </c>
      <c r="B211" s="1" t="n">
        <v>2</v>
      </c>
      <c r="C211" s="1" t="n">
        <v>7</v>
      </c>
      <c r="D211" s="1" t="s">
        <v>198</v>
      </c>
      <c r="E211" s="1" t="s">
        <v>207</v>
      </c>
      <c r="F211" s="1" t="n">
        <v>3930</v>
      </c>
      <c r="G211" s="4" t="n">
        <v>0</v>
      </c>
      <c r="H211" s="1" t="s">
        <v>349</v>
      </c>
      <c r="I211" s="4" t="n">
        <v>1</v>
      </c>
      <c r="J211" s="1" t="str">
        <f aca="false">_xlfn.CONCAT("с",F211," ",D211,"/",E211,IF(G211=0,"","-" &amp; G211))</f>
        <v>с3930 3а/ВС</v>
      </c>
    </row>
    <row r="212" customFormat="false" ht="12.8" hidden="false" customHeight="false" outlineLevel="0" collapsed="false">
      <c r="A212" s="1" t="s">
        <v>7</v>
      </c>
      <c r="B212" s="1" t="n">
        <v>2</v>
      </c>
      <c r="C212" s="1" t="n">
        <v>8</v>
      </c>
      <c r="D212" s="1" t="s">
        <v>207</v>
      </c>
      <c r="E212" s="1" t="s">
        <v>208</v>
      </c>
      <c r="F212" s="1" t="n">
        <v>3930</v>
      </c>
      <c r="G212" s="4" t="n">
        <v>0</v>
      </c>
      <c r="H212" s="1" t="s">
        <v>350</v>
      </c>
      <c r="I212" s="4" t="n">
        <v>1</v>
      </c>
      <c r="J212" s="1" t="str">
        <f aca="false">_xlfn.CONCAT("с",F212," ",D212,"/",E212,IF(G212=0,"","-" &amp; G212))</f>
        <v>с3930 ВС/СН</v>
      </c>
    </row>
    <row r="213" customFormat="false" ht="12.8" hidden="false" customHeight="false" outlineLevel="0" collapsed="false">
      <c r="A213" s="1" t="s">
        <v>7</v>
      </c>
      <c r="B213" s="1" t="n">
        <v>2</v>
      </c>
      <c r="C213" s="1" t="n">
        <v>9</v>
      </c>
      <c r="D213" s="1" t="s">
        <v>208</v>
      </c>
      <c r="E213" s="1" t="s">
        <v>206</v>
      </c>
      <c r="F213" s="1" t="n">
        <v>3930</v>
      </c>
      <c r="G213" s="4" t="n">
        <v>0</v>
      </c>
      <c r="H213" s="1" t="s">
        <v>351</v>
      </c>
      <c r="I213" s="4" t="n">
        <v>1</v>
      </c>
      <c r="J213" s="1" t="str">
        <f aca="false">_xlfn.CONCAT("с",F213," ",D213,"/",E213,IF(G213=0,"","-" &amp; G213))</f>
        <v>с3930 СН/Тип 10</v>
      </c>
    </row>
    <row r="214" customFormat="false" ht="12.8" hidden="false" customHeight="false" outlineLevel="0" collapsed="false">
      <c r="A214" s="1" t="s">
        <v>7</v>
      </c>
      <c r="B214" s="1" t="n">
        <v>2</v>
      </c>
      <c r="C214" s="1" t="n">
        <v>10</v>
      </c>
      <c r="D214" s="1" t="s">
        <v>206</v>
      </c>
      <c r="E214" s="1" t="s">
        <v>198</v>
      </c>
      <c r="F214" s="1" t="n">
        <v>3930</v>
      </c>
      <c r="G214" s="4" t="n">
        <v>0</v>
      </c>
      <c r="H214" s="1" t="s">
        <v>348</v>
      </c>
      <c r="I214" s="4" t="n">
        <v>1</v>
      </c>
      <c r="J214" s="1" t="str">
        <f aca="false">_xlfn.CONCAT("с",F214," ",D214,"/",E214,IF(G214=0,"","-" &amp; G214))</f>
        <v>с3930 Тип 10/3а</v>
      </c>
    </row>
    <row r="215" customFormat="false" ht="12.8" hidden="false" customHeight="false" outlineLevel="0" collapsed="false">
      <c r="A215" s="1" t="s">
        <v>7</v>
      </c>
      <c r="B215" s="1" t="n">
        <v>2</v>
      </c>
      <c r="C215" s="1" t="n">
        <v>11</v>
      </c>
      <c r="D215" s="1" t="s">
        <v>198</v>
      </c>
      <c r="E215" s="1" t="s">
        <v>207</v>
      </c>
      <c r="F215" s="1" t="n">
        <v>3930</v>
      </c>
      <c r="G215" s="4" t="n">
        <v>0</v>
      </c>
      <c r="H215" s="1" t="s">
        <v>349</v>
      </c>
      <c r="I215" s="4" t="n">
        <v>1</v>
      </c>
      <c r="J215" s="1" t="str">
        <f aca="false">_xlfn.CONCAT("с",F215," ",D215,"/",E215,IF(G215=0,"","-" &amp; G215))</f>
        <v>с3930 3а/ВС</v>
      </c>
    </row>
    <row r="216" customFormat="false" ht="12.8" hidden="false" customHeight="false" outlineLevel="0" collapsed="false">
      <c r="A216" s="1" t="s">
        <v>7</v>
      </c>
      <c r="B216" s="1" t="n">
        <v>2</v>
      </c>
      <c r="C216" s="1" t="n">
        <v>12</v>
      </c>
      <c r="D216" s="1" t="s">
        <v>207</v>
      </c>
      <c r="E216" s="1" t="s">
        <v>208</v>
      </c>
      <c r="F216" s="1" t="n">
        <v>3930</v>
      </c>
      <c r="G216" s="4" t="n">
        <v>0</v>
      </c>
      <c r="H216" s="1" t="s">
        <v>350</v>
      </c>
      <c r="I216" s="4" t="n">
        <v>1</v>
      </c>
      <c r="J216" s="1" t="str">
        <f aca="false">_xlfn.CONCAT("с",F216," ",D216,"/",E216,IF(G216=0,"","-" &amp; G216))</f>
        <v>с3930 ВС/СН</v>
      </c>
    </row>
    <row r="217" customFormat="false" ht="12.8" hidden="false" customHeight="false" outlineLevel="0" collapsed="false">
      <c r="A217" s="1" t="s">
        <v>7</v>
      </c>
      <c r="B217" s="1" t="n">
        <v>2</v>
      </c>
      <c r="C217" s="1" t="n">
        <v>13</v>
      </c>
      <c r="D217" s="1" t="s">
        <v>208</v>
      </c>
      <c r="E217" s="1" t="s">
        <v>206</v>
      </c>
      <c r="F217" s="1" t="n">
        <v>3930</v>
      </c>
      <c r="G217" s="4" t="n">
        <v>0</v>
      </c>
      <c r="H217" s="1" t="s">
        <v>351</v>
      </c>
      <c r="I217" s="4" t="n">
        <v>1</v>
      </c>
      <c r="J217" s="1" t="str">
        <f aca="false">_xlfn.CONCAT("с",F217," ",D217,"/",E217,IF(G217=0,"","-" &amp; G217))</f>
        <v>с3930 СН/Тип 10</v>
      </c>
    </row>
    <row r="218" customFormat="false" ht="12.8" hidden="false" customHeight="false" outlineLevel="0" collapsed="false">
      <c r="A218" s="1" t="s">
        <v>7</v>
      </c>
      <c r="B218" s="1" t="n">
        <v>2</v>
      </c>
      <c r="C218" s="1" t="n">
        <v>14</v>
      </c>
      <c r="D218" s="1" t="s">
        <v>206</v>
      </c>
      <c r="E218" s="1" t="s">
        <v>198</v>
      </c>
      <c r="F218" s="1" t="n">
        <v>3930</v>
      </c>
      <c r="G218" s="4" t="n">
        <v>0</v>
      </c>
      <c r="H218" s="1" t="s">
        <v>348</v>
      </c>
      <c r="I218" s="4" t="n">
        <v>1</v>
      </c>
      <c r="J218" s="1" t="str">
        <f aca="false">_xlfn.CONCAT("с",F218," ",D218,"/",E218,IF(G218=0,"","-" &amp; G218))</f>
        <v>с3930 Тип 10/3а</v>
      </c>
    </row>
    <row r="219" customFormat="false" ht="12.8" hidden="false" customHeight="false" outlineLevel="0" collapsed="false">
      <c r="A219" s="1" t="s">
        <v>7</v>
      </c>
      <c r="B219" s="1" t="n">
        <v>2</v>
      </c>
      <c r="C219" s="1" t="n">
        <v>15</v>
      </c>
      <c r="D219" s="1" t="s">
        <v>198</v>
      </c>
      <c r="E219" s="1" t="s">
        <v>207</v>
      </c>
      <c r="F219" s="1" t="n">
        <v>3930</v>
      </c>
      <c r="G219" s="4" t="n">
        <v>0</v>
      </c>
      <c r="H219" s="1" t="s">
        <v>349</v>
      </c>
      <c r="I219" s="4" t="n">
        <v>1</v>
      </c>
      <c r="J219" s="1" t="str">
        <f aca="false">_xlfn.CONCAT("с",F219," ",D219,"/",E219,IF(G219=0,"","-" &amp; G219))</f>
        <v>с3930 3а/ВС</v>
      </c>
    </row>
    <row r="220" customFormat="false" ht="12.8" hidden="false" customHeight="false" outlineLevel="0" collapsed="false">
      <c r="A220" s="1" t="s">
        <v>7</v>
      </c>
      <c r="B220" s="1" t="n">
        <v>2</v>
      </c>
      <c r="C220" s="1" t="n">
        <v>16</v>
      </c>
      <c r="D220" s="1" t="s">
        <v>207</v>
      </c>
      <c r="E220" s="1" t="s">
        <v>206</v>
      </c>
      <c r="F220" s="1" t="n">
        <v>3930</v>
      </c>
      <c r="G220" s="4" t="n">
        <v>0</v>
      </c>
      <c r="H220" s="1" t="s">
        <v>352</v>
      </c>
      <c r="I220" s="4" t="n">
        <v>1</v>
      </c>
      <c r="J220" s="1" t="str">
        <f aca="false">_xlfn.CONCAT("с",F220," ",D220,"/",E220,IF(G220=0,"","-" &amp; G220))</f>
        <v>с3930 ВС/Тип 10</v>
      </c>
    </row>
    <row r="221" customFormat="false" ht="12.8" hidden="false" customHeight="false" outlineLevel="0" collapsed="false">
      <c r="A221" s="1" t="s">
        <v>7</v>
      </c>
      <c r="B221" s="1" t="n">
        <v>2</v>
      </c>
      <c r="C221" s="1" t="n">
        <v>17</v>
      </c>
      <c r="D221" s="1" t="s">
        <v>206</v>
      </c>
      <c r="E221" s="1" t="s">
        <v>208</v>
      </c>
      <c r="F221" s="1" t="n">
        <v>3930</v>
      </c>
      <c r="G221" s="4" t="n">
        <v>0</v>
      </c>
      <c r="H221" s="1" t="s">
        <v>353</v>
      </c>
      <c r="I221" s="4" t="n">
        <v>1</v>
      </c>
      <c r="J221" s="1" t="str">
        <f aca="false">_xlfn.CONCAT("с",F221," ",D221,"/",E221,IF(G221=0,"","-" &amp; G221))</f>
        <v>с3930 Тип 10/СН</v>
      </c>
    </row>
    <row r="222" customFormat="false" ht="12.8" hidden="false" customHeight="false" outlineLevel="0" collapsed="false">
      <c r="A222" s="1" t="s">
        <v>7</v>
      </c>
      <c r="B222" s="1" t="n">
        <v>2</v>
      </c>
      <c r="C222" s="1" t="n">
        <v>18</v>
      </c>
      <c r="D222" s="1" t="s">
        <v>208</v>
      </c>
      <c r="E222" s="1" t="s">
        <v>198</v>
      </c>
      <c r="F222" s="1" t="n">
        <v>3930</v>
      </c>
      <c r="G222" s="4" t="n">
        <v>0</v>
      </c>
      <c r="H222" s="1" t="s">
        <v>354</v>
      </c>
      <c r="I222" s="4" t="n">
        <v>1</v>
      </c>
      <c r="J222" s="1" t="str">
        <f aca="false">_xlfn.CONCAT("с",F222," ",D222,"/",E222,IF(G222=0,"","-" &amp; G222))</f>
        <v>с3930 СН/3а</v>
      </c>
    </row>
    <row r="223" customFormat="false" ht="12.8" hidden="false" customHeight="false" outlineLevel="0" collapsed="false">
      <c r="A223" s="1" t="s">
        <v>7</v>
      </c>
      <c r="B223" s="1" t="n">
        <v>2</v>
      </c>
      <c r="C223" s="1" t="n">
        <v>19</v>
      </c>
      <c r="D223" s="1" t="s">
        <v>198</v>
      </c>
      <c r="E223" s="1" t="s">
        <v>207</v>
      </c>
      <c r="F223" s="1" t="n">
        <v>3930</v>
      </c>
      <c r="G223" s="4" t="n">
        <v>0</v>
      </c>
      <c r="H223" s="1" t="s">
        <v>349</v>
      </c>
      <c r="I223" s="4" t="n">
        <v>1</v>
      </c>
      <c r="J223" s="1" t="str">
        <f aca="false">_xlfn.CONCAT("с",F223," ",D223,"/",E223,IF(G223=0,"","-" &amp; G223))</f>
        <v>с3930 3а/ВС</v>
      </c>
    </row>
    <row r="224" customFormat="false" ht="12.8" hidden="false" customHeight="false" outlineLevel="0" collapsed="false">
      <c r="A224" s="1" t="s">
        <v>7</v>
      </c>
      <c r="B224" s="1" t="n">
        <v>2</v>
      </c>
      <c r="C224" s="1" t="n">
        <v>20</v>
      </c>
      <c r="D224" s="1" t="s">
        <v>207</v>
      </c>
      <c r="E224" s="1" t="s">
        <v>206</v>
      </c>
      <c r="F224" s="1" t="n">
        <v>3930</v>
      </c>
      <c r="G224" s="4" t="n">
        <v>0</v>
      </c>
      <c r="H224" s="1" t="s">
        <v>352</v>
      </c>
      <c r="I224" s="4" t="n">
        <v>1</v>
      </c>
      <c r="J224" s="1" t="str">
        <f aca="false">_xlfn.CONCAT("с",F224," ",D224,"/",E224,IF(G224=0,"","-" &amp; G224))</f>
        <v>с3930 ВС/Тип 10</v>
      </c>
    </row>
    <row r="225" customFormat="false" ht="12.8" hidden="false" customHeight="false" outlineLevel="0" collapsed="false">
      <c r="A225" s="1" t="s">
        <v>7</v>
      </c>
      <c r="B225" s="1" t="n">
        <v>2</v>
      </c>
      <c r="C225" s="1" t="n">
        <v>21</v>
      </c>
      <c r="D225" s="1" t="s">
        <v>206</v>
      </c>
      <c r="E225" s="1" t="s">
        <v>208</v>
      </c>
      <c r="F225" s="1" t="n">
        <v>3930</v>
      </c>
      <c r="G225" s="4" t="n">
        <v>0</v>
      </c>
      <c r="H225" s="1" t="s">
        <v>353</v>
      </c>
      <c r="I225" s="4" t="n">
        <v>1</v>
      </c>
      <c r="J225" s="1" t="str">
        <f aca="false">_xlfn.CONCAT("с",F225," ",D225,"/",E225,IF(G225=0,"","-" &amp; G225))</f>
        <v>с3930 Тип 10/СН</v>
      </c>
    </row>
    <row r="226" customFormat="false" ht="12.8" hidden="false" customHeight="false" outlineLevel="0" collapsed="false">
      <c r="A226" s="1" t="s">
        <v>7</v>
      </c>
      <c r="B226" s="1" t="n">
        <v>2</v>
      </c>
      <c r="C226" s="1" t="n">
        <v>22</v>
      </c>
      <c r="D226" s="1" t="s">
        <v>208</v>
      </c>
      <c r="E226" s="1" t="s">
        <v>198</v>
      </c>
      <c r="F226" s="1" t="n">
        <v>3930</v>
      </c>
      <c r="G226" s="4" t="n">
        <v>0</v>
      </c>
      <c r="H226" s="1" t="s">
        <v>354</v>
      </c>
      <c r="I226" s="4" t="n">
        <v>1</v>
      </c>
      <c r="J226" s="1" t="str">
        <f aca="false">_xlfn.CONCAT("с",F226," ",D226,"/",E226,IF(G226=0,"","-" &amp; G226))</f>
        <v>с3930 СН/3а</v>
      </c>
    </row>
    <row r="227" customFormat="false" ht="12.8" hidden="false" customHeight="false" outlineLevel="0" collapsed="false">
      <c r="A227" s="1" t="s">
        <v>7</v>
      </c>
      <c r="B227" s="1" t="n">
        <v>2</v>
      </c>
      <c r="C227" s="1" t="n">
        <v>23</v>
      </c>
      <c r="D227" s="1" t="s">
        <v>198</v>
      </c>
      <c r="E227" s="1" t="s">
        <v>207</v>
      </c>
      <c r="F227" s="1" t="n">
        <v>3930</v>
      </c>
      <c r="G227" s="4" t="n">
        <v>0</v>
      </c>
      <c r="H227" s="1" t="s">
        <v>349</v>
      </c>
      <c r="I227" s="4" t="n">
        <v>1</v>
      </c>
      <c r="J227" s="1" t="str">
        <f aca="false">_xlfn.CONCAT("с",F227," ",D227,"/",E227,IF(G227=0,"","-" &amp; G227))</f>
        <v>с3930 3а/ВС</v>
      </c>
    </row>
    <row r="228" customFormat="false" ht="12.8" hidden="false" customHeight="false" outlineLevel="0" collapsed="false">
      <c r="A228" s="1" t="s">
        <v>7</v>
      </c>
      <c r="B228" s="1" t="n">
        <v>2</v>
      </c>
      <c r="C228" s="1" t="n">
        <v>24</v>
      </c>
      <c r="D228" s="1" t="s">
        <v>207</v>
      </c>
      <c r="E228" s="1" t="s">
        <v>206</v>
      </c>
      <c r="F228" s="1" t="n">
        <v>3930</v>
      </c>
      <c r="G228" s="4" t="n">
        <v>0</v>
      </c>
      <c r="H228" s="1" t="s">
        <v>352</v>
      </c>
      <c r="I228" s="4" t="n">
        <v>1</v>
      </c>
      <c r="J228" s="1" t="str">
        <f aca="false">_xlfn.CONCAT("с",F228," ",D228,"/",E228,IF(G228=0,"","-" &amp; G228))</f>
        <v>с3930 ВС/Тип 10</v>
      </c>
    </row>
    <row r="229" customFormat="false" ht="12.8" hidden="false" customHeight="false" outlineLevel="0" collapsed="false">
      <c r="A229" s="1" t="s">
        <v>7</v>
      </c>
      <c r="B229" s="1" t="n">
        <v>2</v>
      </c>
      <c r="C229" s="1" t="n">
        <v>25</v>
      </c>
      <c r="D229" s="1" t="s">
        <v>206</v>
      </c>
      <c r="E229" s="1" t="s">
        <v>208</v>
      </c>
      <c r="F229" s="1" t="n">
        <v>3930</v>
      </c>
      <c r="G229" s="4" t="n">
        <v>0</v>
      </c>
      <c r="H229" s="1" t="s">
        <v>353</v>
      </c>
      <c r="I229" s="4" t="n">
        <v>1</v>
      </c>
      <c r="J229" s="1" t="str">
        <f aca="false">_xlfn.CONCAT("с",F229," ",D229,"/",E229,IF(G229=0,"","-" &amp; G229))</f>
        <v>с3930 Тип 10/СН</v>
      </c>
    </row>
    <row r="230" customFormat="false" ht="12.8" hidden="false" customHeight="false" outlineLevel="0" collapsed="false">
      <c r="A230" s="1" t="s">
        <v>7</v>
      </c>
      <c r="B230" s="1" t="n">
        <v>2</v>
      </c>
      <c r="C230" s="1" t="n">
        <v>26</v>
      </c>
      <c r="D230" s="1" t="s">
        <v>208</v>
      </c>
      <c r="E230" s="1" t="s">
        <v>198</v>
      </c>
      <c r="F230" s="1" t="n">
        <v>3930</v>
      </c>
      <c r="G230" s="4" t="n">
        <v>0</v>
      </c>
      <c r="H230" s="1" t="s">
        <v>354</v>
      </c>
      <c r="I230" s="4" t="n">
        <v>1</v>
      </c>
      <c r="J230" s="1" t="str">
        <f aca="false">_xlfn.CONCAT("с",F230," ",D230,"/",E230,IF(G230=0,"","-" &amp; G230))</f>
        <v>с3930 СН/3а</v>
      </c>
    </row>
    <row r="231" customFormat="false" ht="12.8" hidden="false" customHeight="false" outlineLevel="0" collapsed="false">
      <c r="A231" s="1" t="s">
        <v>7</v>
      </c>
      <c r="B231" s="1" t="n">
        <v>2</v>
      </c>
      <c r="C231" s="1" t="n">
        <v>27</v>
      </c>
      <c r="D231" s="1" t="s">
        <v>198</v>
      </c>
      <c r="E231" s="1" t="s">
        <v>207</v>
      </c>
      <c r="F231" s="1" t="n">
        <v>3930</v>
      </c>
      <c r="G231" s="4" t="n">
        <v>0</v>
      </c>
      <c r="H231" s="1" t="s">
        <v>349</v>
      </c>
      <c r="I231" s="4" t="n">
        <v>1</v>
      </c>
      <c r="J231" s="1" t="str">
        <f aca="false">_xlfn.CONCAT("с",F231," ",D231,"/",E231,IF(G231=0,"","-" &amp; G231))</f>
        <v>с3930 3а/ВС</v>
      </c>
    </row>
    <row r="232" customFormat="false" ht="12.8" hidden="false" customHeight="false" outlineLevel="0" collapsed="false">
      <c r="A232" s="1" t="s">
        <v>7</v>
      </c>
      <c r="B232" s="1" t="n">
        <v>2</v>
      </c>
      <c r="C232" s="1" t="n">
        <v>28</v>
      </c>
      <c r="D232" s="1" t="s">
        <v>207</v>
      </c>
      <c r="E232" s="1" t="s">
        <v>206</v>
      </c>
      <c r="F232" s="1" t="n">
        <v>3930</v>
      </c>
      <c r="G232" s="4" t="n">
        <v>0</v>
      </c>
      <c r="H232" s="1" t="s">
        <v>352</v>
      </c>
      <c r="I232" s="4" t="n">
        <v>1</v>
      </c>
      <c r="J232" s="1" t="str">
        <f aca="false">_xlfn.CONCAT("с",F232," ",D232,"/",E232,IF(G232=0,"","-" &amp; G232))</f>
        <v>с3930 ВС/Тип 10</v>
      </c>
    </row>
    <row r="233" customFormat="false" ht="12.8" hidden="false" customHeight="false" outlineLevel="0" collapsed="false">
      <c r="A233" s="1" t="s">
        <v>7</v>
      </c>
      <c r="B233" s="1" t="n">
        <v>2</v>
      </c>
      <c r="C233" s="1" t="n">
        <v>29</v>
      </c>
      <c r="D233" s="1" t="s">
        <v>206</v>
      </c>
      <c r="E233" s="1" t="s">
        <v>210</v>
      </c>
      <c r="F233" s="1" t="n">
        <v>3930</v>
      </c>
      <c r="G233" s="4" t="n">
        <v>0</v>
      </c>
      <c r="H233" s="1" t="s">
        <v>355</v>
      </c>
      <c r="I233" s="4" t="n">
        <v>1</v>
      </c>
      <c r="J233" s="1" t="str">
        <f aca="false">_xlfn.CONCAT("с",F233," ",D233,"/",E233,IF(G233=0,"","-" &amp; G233))</f>
        <v>с3930 Тип 10/Лист 1 мм</v>
      </c>
    </row>
    <row r="234" customFormat="false" ht="12.8" hidden="false" customHeight="false" outlineLevel="0" collapsed="false">
      <c r="A234" s="1" t="s">
        <v>7</v>
      </c>
      <c r="B234" s="1" t="n">
        <v>3</v>
      </c>
      <c r="C234" s="1" t="n">
        <v>1</v>
      </c>
      <c r="D234" s="1" t="s">
        <v>210</v>
      </c>
      <c r="E234" s="1" t="s">
        <v>206</v>
      </c>
      <c r="F234" s="1" t="n">
        <v>3350</v>
      </c>
      <c r="G234" s="4" t="n">
        <v>0</v>
      </c>
      <c r="H234" s="1" t="s">
        <v>285</v>
      </c>
      <c r="I234" s="4" t="n">
        <v>1</v>
      </c>
      <c r="J234" s="1" t="str">
        <f aca="false">_xlfn.CONCAT("с",F234," ",D234,"/",E234,IF(G234=0,"","-" &amp; G234))</f>
        <v>с3350 Лист 1 мм/Тип 10</v>
      </c>
    </row>
    <row r="235" customFormat="false" ht="12.8" hidden="false" customHeight="false" outlineLevel="0" collapsed="false">
      <c r="A235" s="1" t="s">
        <v>7</v>
      </c>
      <c r="B235" s="1" t="n">
        <v>3</v>
      </c>
      <c r="C235" s="1" t="n">
        <v>2</v>
      </c>
      <c r="D235" s="1" t="s">
        <v>206</v>
      </c>
      <c r="E235" s="1" t="s">
        <v>207</v>
      </c>
      <c r="F235" s="1" t="n">
        <v>3350</v>
      </c>
      <c r="G235" s="4" t="n">
        <v>0</v>
      </c>
      <c r="H235" s="1" t="s">
        <v>286</v>
      </c>
      <c r="I235" s="4" t="n">
        <v>1</v>
      </c>
      <c r="J235" s="1" t="str">
        <f aca="false">_xlfn.CONCAT("с",F235," ",D235,"/",E235,IF(G235=0,"","-" &amp; G235))</f>
        <v>с3350 Тип 10/ВС</v>
      </c>
    </row>
    <row r="236" customFormat="false" ht="12.8" hidden="false" customHeight="false" outlineLevel="0" collapsed="false">
      <c r="A236" s="1" t="s">
        <v>7</v>
      </c>
      <c r="B236" s="1" t="n">
        <v>3</v>
      </c>
      <c r="C236" s="1" t="n">
        <v>3</v>
      </c>
      <c r="D236" s="1" t="s">
        <v>207</v>
      </c>
      <c r="E236" s="1" t="s">
        <v>198</v>
      </c>
      <c r="F236" s="1" t="n">
        <v>3350</v>
      </c>
      <c r="G236" s="4" t="n">
        <v>0</v>
      </c>
      <c r="H236" s="1" t="s">
        <v>287</v>
      </c>
      <c r="I236" s="4" t="n">
        <v>1</v>
      </c>
      <c r="J236" s="1" t="str">
        <f aca="false">_xlfn.CONCAT("с",F236," ",D236,"/",E236,IF(G236=0,"","-" &amp; G236))</f>
        <v>с3350 ВС/3а</v>
      </c>
    </row>
    <row r="237" customFormat="false" ht="12.8" hidden="false" customHeight="false" outlineLevel="0" collapsed="false">
      <c r="A237" s="1" t="s">
        <v>7</v>
      </c>
      <c r="B237" s="1" t="n">
        <v>3</v>
      </c>
      <c r="C237" s="1" t="n">
        <v>4</v>
      </c>
      <c r="D237" s="1" t="s">
        <v>198</v>
      </c>
      <c r="E237" s="1" t="s">
        <v>208</v>
      </c>
      <c r="F237" s="1" t="n">
        <v>3350</v>
      </c>
      <c r="G237" s="4" t="n">
        <v>0</v>
      </c>
      <c r="H237" s="1" t="s">
        <v>288</v>
      </c>
      <c r="I237" s="4" t="n">
        <v>1</v>
      </c>
      <c r="J237" s="1" t="str">
        <f aca="false">_xlfn.CONCAT("с",F237," ",D237,"/",E237,IF(G237=0,"","-" &amp; G237))</f>
        <v>с3350 3а/СН</v>
      </c>
    </row>
    <row r="238" customFormat="false" ht="12.8" hidden="false" customHeight="false" outlineLevel="0" collapsed="false">
      <c r="A238" s="1" t="s">
        <v>7</v>
      </c>
      <c r="B238" s="1" t="n">
        <v>3</v>
      </c>
      <c r="C238" s="1" t="n">
        <v>5</v>
      </c>
      <c r="D238" s="1" t="s">
        <v>208</v>
      </c>
      <c r="E238" s="1" t="s">
        <v>206</v>
      </c>
      <c r="F238" s="1" t="n">
        <v>3350</v>
      </c>
      <c r="G238" s="4" t="n">
        <v>0</v>
      </c>
      <c r="H238" s="1" t="s">
        <v>289</v>
      </c>
      <c r="I238" s="4" t="n">
        <v>1</v>
      </c>
      <c r="J238" s="1" t="str">
        <f aca="false">_xlfn.CONCAT("с",F238," ",D238,"/",E238,IF(G238=0,"","-" &amp; G238))</f>
        <v>с3350 СН/Тип 10</v>
      </c>
    </row>
    <row r="239" customFormat="false" ht="12.8" hidden="false" customHeight="false" outlineLevel="0" collapsed="false">
      <c r="A239" s="1" t="s">
        <v>7</v>
      </c>
      <c r="B239" s="1" t="n">
        <v>3</v>
      </c>
      <c r="C239" s="1" t="n">
        <v>6</v>
      </c>
      <c r="D239" s="1" t="s">
        <v>206</v>
      </c>
      <c r="E239" s="1" t="s">
        <v>207</v>
      </c>
      <c r="F239" s="1" t="n">
        <v>3350</v>
      </c>
      <c r="G239" s="4" t="n">
        <v>0</v>
      </c>
      <c r="H239" s="1" t="s">
        <v>286</v>
      </c>
      <c r="I239" s="4" t="n">
        <v>1</v>
      </c>
      <c r="J239" s="1" t="str">
        <f aca="false">_xlfn.CONCAT("с",F239," ",D239,"/",E239,IF(G239=0,"","-" &amp; G239))</f>
        <v>с3350 Тип 10/ВС</v>
      </c>
    </row>
    <row r="240" customFormat="false" ht="12.8" hidden="false" customHeight="false" outlineLevel="0" collapsed="false">
      <c r="A240" s="1" t="s">
        <v>7</v>
      </c>
      <c r="B240" s="1" t="n">
        <v>3</v>
      </c>
      <c r="C240" s="1" t="n">
        <v>7</v>
      </c>
      <c r="D240" s="1" t="s">
        <v>207</v>
      </c>
      <c r="E240" s="1" t="s">
        <v>198</v>
      </c>
      <c r="F240" s="1" t="n">
        <v>3350</v>
      </c>
      <c r="G240" s="4" t="n">
        <v>0</v>
      </c>
      <c r="H240" s="1" t="s">
        <v>287</v>
      </c>
      <c r="I240" s="4" t="n">
        <v>1</v>
      </c>
      <c r="J240" s="1" t="str">
        <f aca="false">_xlfn.CONCAT("с",F240," ",D240,"/",E240,IF(G240=0,"","-" &amp; G240))</f>
        <v>с3350 ВС/3а</v>
      </c>
    </row>
    <row r="241" customFormat="false" ht="12.8" hidden="false" customHeight="false" outlineLevel="0" collapsed="false">
      <c r="A241" s="1" t="s">
        <v>7</v>
      </c>
      <c r="B241" s="1" t="n">
        <v>3</v>
      </c>
      <c r="C241" s="1" t="n">
        <v>8</v>
      </c>
      <c r="D241" s="1" t="s">
        <v>198</v>
      </c>
      <c r="E241" s="1" t="s">
        <v>208</v>
      </c>
      <c r="F241" s="1" t="n">
        <v>3350</v>
      </c>
      <c r="G241" s="4" t="n">
        <v>0</v>
      </c>
      <c r="H241" s="1" t="s">
        <v>288</v>
      </c>
      <c r="I241" s="4" t="n">
        <v>1</v>
      </c>
      <c r="J241" s="1" t="str">
        <f aca="false">_xlfn.CONCAT("с",F241," ",D241,"/",E241,IF(G241=0,"","-" &amp; G241))</f>
        <v>с3350 3а/СН</v>
      </c>
    </row>
    <row r="242" customFormat="false" ht="12.8" hidden="false" customHeight="false" outlineLevel="0" collapsed="false">
      <c r="A242" s="1" t="s">
        <v>7</v>
      </c>
      <c r="B242" s="1" t="n">
        <v>3</v>
      </c>
      <c r="C242" s="1" t="n">
        <v>9</v>
      </c>
      <c r="D242" s="1" t="s">
        <v>208</v>
      </c>
      <c r="E242" s="1" t="s">
        <v>206</v>
      </c>
      <c r="F242" s="1" t="n">
        <v>3350</v>
      </c>
      <c r="G242" s="4" t="n">
        <v>0</v>
      </c>
      <c r="H242" s="1" t="s">
        <v>289</v>
      </c>
      <c r="I242" s="4" t="n">
        <v>1</v>
      </c>
      <c r="J242" s="1" t="str">
        <f aca="false">_xlfn.CONCAT("с",F242," ",D242,"/",E242,IF(G242=0,"","-" &amp; G242))</f>
        <v>с3350 СН/Тип 10</v>
      </c>
    </row>
    <row r="243" customFormat="false" ht="12.8" hidden="false" customHeight="false" outlineLevel="0" collapsed="false">
      <c r="A243" s="1" t="s">
        <v>7</v>
      </c>
      <c r="B243" s="1" t="n">
        <v>3</v>
      </c>
      <c r="C243" s="1" t="n">
        <v>10</v>
      </c>
      <c r="D243" s="1" t="s">
        <v>206</v>
      </c>
      <c r="E243" s="1" t="s">
        <v>207</v>
      </c>
      <c r="F243" s="1" t="n">
        <v>3350</v>
      </c>
      <c r="G243" s="4" t="n">
        <v>0</v>
      </c>
      <c r="H243" s="1" t="s">
        <v>286</v>
      </c>
      <c r="I243" s="4" t="n">
        <v>1</v>
      </c>
      <c r="J243" s="1" t="str">
        <f aca="false">_xlfn.CONCAT("с",F243," ",D243,"/",E243,IF(G243=0,"","-" &amp; G243))</f>
        <v>с3350 Тип 10/ВС</v>
      </c>
    </row>
    <row r="244" customFormat="false" ht="12.8" hidden="false" customHeight="false" outlineLevel="0" collapsed="false">
      <c r="A244" s="1" t="s">
        <v>7</v>
      </c>
      <c r="B244" s="1" t="n">
        <v>3</v>
      </c>
      <c r="C244" s="1" t="n">
        <v>11</v>
      </c>
      <c r="D244" s="1" t="s">
        <v>207</v>
      </c>
      <c r="E244" s="1" t="s">
        <v>198</v>
      </c>
      <c r="F244" s="1" t="n">
        <v>3350</v>
      </c>
      <c r="G244" s="4" t="n">
        <v>0</v>
      </c>
      <c r="H244" s="1" t="s">
        <v>287</v>
      </c>
      <c r="I244" s="4" t="n">
        <v>1</v>
      </c>
      <c r="J244" s="1" t="str">
        <f aca="false">_xlfn.CONCAT("с",F244," ",D244,"/",E244,IF(G244=0,"","-" &amp; G244))</f>
        <v>с3350 ВС/3а</v>
      </c>
    </row>
    <row r="245" customFormat="false" ht="12.8" hidden="false" customHeight="false" outlineLevel="0" collapsed="false">
      <c r="A245" s="1" t="s">
        <v>7</v>
      </c>
      <c r="B245" s="1" t="n">
        <v>3</v>
      </c>
      <c r="C245" s="1" t="n">
        <v>12</v>
      </c>
      <c r="D245" s="1" t="s">
        <v>198</v>
      </c>
      <c r="E245" s="1" t="s">
        <v>208</v>
      </c>
      <c r="F245" s="1" t="n">
        <v>3350</v>
      </c>
      <c r="G245" s="4" t="n">
        <v>0</v>
      </c>
      <c r="H245" s="1" t="s">
        <v>288</v>
      </c>
      <c r="I245" s="4" t="n">
        <v>1</v>
      </c>
      <c r="J245" s="1" t="str">
        <f aca="false">_xlfn.CONCAT("с",F245," ",D245,"/",E245,IF(G245=0,"","-" &amp; G245))</f>
        <v>с3350 3а/СН</v>
      </c>
    </row>
    <row r="246" customFormat="false" ht="12.8" hidden="false" customHeight="false" outlineLevel="0" collapsed="false">
      <c r="A246" s="1" t="s">
        <v>7</v>
      </c>
      <c r="B246" s="1" t="n">
        <v>3</v>
      </c>
      <c r="C246" s="1" t="n">
        <v>13</v>
      </c>
      <c r="D246" s="1" t="s">
        <v>208</v>
      </c>
      <c r="E246" s="1" t="s">
        <v>206</v>
      </c>
      <c r="F246" s="1" t="n">
        <v>3350</v>
      </c>
      <c r="G246" s="4" t="n">
        <v>0</v>
      </c>
      <c r="H246" s="1" t="s">
        <v>289</v>
      </c>
      <c r="I246" s="4" t="n">
        <v>1</v>
      </c>
      <c r="J246" s="1" t="str">
        <f aca="false">_xlfn.CONCAT("с",F246," ",D246,"/",E246,IF(G246=0,"","-" &amp; G246))</f>
        <v>с3350 СН/Тип 10</v>
      </c>
    </row>
    <row r="247" customFormat="false" ht="12.8" hidden="false" customHeight="false" outlineLevel="0" collapsed="false">
      <c r="A247" s="1" t="s">
        <v>7</v>
      </c>
      <c r="B247" s="1" t="n">
        <v>3</v>
      </c>
      <c r="C247" s="1" t="n">
        <v>14</v>
      </c>
      <c r="D247" s="1" t="s">
        <v>206</v>
      </c>
      <c r="E247" s="1" t="s">
        <v>207</v>
      </c>
      <c r="F247" s="1" t="n">
        <v>3350</v>
      </c>
      <c r="G247" s="4" t="n">
        <v>0</v>
      </c>
      <c r="H247" s="1" t="s">
        <v>286</v>
      </c>
      <c r="I247" s="4" t="n">
        <v>1</v>
      </c>
      <c r="J247" s="1" t="str">
        <f aca="false">_xlfn.CONCAT("с",F247," ",D247,"/",E247,IF(G247=0,"","-" &amp; G247))</f>
        <v>с3350 Тип 10/ВС</v>
      </c>
    </row>
    <row r="248" customFormat="false" ht="12.8" hidden="false" customHeight="false" outlineLevel="0" collapsed="false">
      <c r="A248" s="1" t="s">
        <v>7</v>
      </c>
      <c r="B248" s="1" t="n">
        <v>3</v>
      </c>
      <c r="C248" s="1" t="n">
        <v>15</v>
      </c>
      <c r="D248" s="1" t="s">
        <v>207</v>
      </c>
      <c r="E248" s="1" t="s">
        <v>198</v>
      </c>
      <c r="F248" s="1" t="n">
        <v>3350</v>
      </c>
      <c r="G248" s="4" t="n">
        <v>0</v>
      </c>
      <c r="H248" s="1" t="s">
        <v>287</v>
      </c>
      <c r="I248" s="4" t="n">
        <v>1</v>
      </c>
      <c r="J248" s="1" t="str">
        <f aca="false">_xlfn.CONCAT("с",F248," ",D248,"/",E248,IF(G248=0,"","-" &amp; G248))</f>
        <v>с3350 ВС/3а</v>
      </c>
    </row>
    <row r="249" customFormat="false" ht="12.8" hidden="false" customHeight="false" outlineLevel="0" collapsed="false">
      <c r="A249" s="1" t="s">
        <v>7</v>
      </c>
      <c r="B249" s="1" t="n">
        <v>3</v>
      </c>
      <c r="C249" s="1" t="n">
        <v>16</v>
      </c>
      <c r="D249" s="1" t="s">
        <v>198</v>
      </c>
      <c r="E249" s="1" t="s">
        <v>206</v>
      </c>
      <c r="F249" s="1" t="n">
        <v>3350</v>
      </c>
      <c r="G249" s="4" t="n">
        <v>0</v>
      </c>
      <c r="H249" s="1" t="s">
        <v>296</v>
      </c>
      <c r="I249" s="4" t="n">
        <v>1</v>
      </c>
      <c r="J249" s="1" t="str">
        <f aca="false">_xlfn.CONCAT("с",F249," ",D249,"/",E249,IF(G249=0,"","-" &amp; G249))</f>
        <v>с3350 3а/Тип 10</v>
      </c>
    </row>
    <row r="250" customFormat="false" ht="12.8" hidden="false" customHeight="false" outlineLevel="0" collapsed="false">
      <c r="A250" s="1" t="s">
        <v>7</v>
      </c>
      <c r="B250" s="1" t="n">
        <v>3</v>
      </c>
      <c r="C250" s="1" t="n">
        <v>17</v>
      </c>
      <c r="D250" s="1" t="s">
        <v>206</v>
      </c>
      <c r="E250" s="1" t="s">
        <v>208</v>
      </c>
      <c r="F250" s="1" t="n">
        <v>3350</v>
      </c>
      <c r="G250" s="4" t="n">
        <v>0</v>
      </c>
      <c r="H250" s="1" t="s">
        <v>292</v>
      </c>
      <c r="I250" s="4" t="n">
        <v>1</v>
      </c>
      <c r="J250" s="1" t="str">
        <f aca="false">_xlfn.CONCAT("с",F250," ",D250,"/",E250,IF(G250=0,"","-" &amp; G250))</f>
        <v>с3350 Тип 10/СН</v>
      </c>
    </row>
    <row r="251" customFormat="false" ht="12.8" hidden="false" customHeight="false" outlineLevel="0" collapsed="false">
      <c r="A251" s="1" t="s">
        <v>7</v>
      </c>
      <c r="B251" s="1" t="n">
        <v>3</v>
      </c>
      <c r="C251" s="1" t="n">
        <v>18</v>
      </c>
      <c r="D251" s="1" t="s">
        <v>208</v>
      </c>
      <c r="E251" s="1" t="s">
        <v>207</v>
      </c>
      <c r="F251" s="1" t="n">
        <v>3350</v>
      </c>
      <c r="G251" s="4" t="n">
        <v>0</v>
      </c>
      <c r="H251" s="1" t="s">
        <v>293</v>
      </c>
      <c r="I251" s="4" t="n">
        <v>1</v>
      </c>
      <c r="J251" s="1" t="str">
        <f aca="false">_xlfn.CONCAT("с",F251," ",D251,"/",E251,IF(G251=0,"","-" &amp; G251))</f>
        <v>с3350 СН/ВС</v>
      </c>
    </row>
    <row r="252" customFormat="false" ht="12.8" hidden="false" customHeight="false" outlineLevel="0" collapsed="false">
      <c r="A252" s="1" t="s">
        <v>7</v>
      </c>
      <c r="B252" s="1" t="n">
        <v>3</v>
      </c>
      <c r="C252" s="1" t="n">
        <v>19</v>
      </c>
      <c r="D252" s="1" t="s">
        <v>207</v>
      </c>
      <c r="E252" s="1" t="s">
        <v>198</v>
      </c>
      <c r="F252" s="1" t="n">
        <v>3350</v>
      </c>
      <c r="G252" s="4" t="n">
        <v>0</v>
      </c>
      <c r="H252" s="1" t="s">
        <v>287</v>
      </c>
      <c r="I252" s="4" t="n">
        <v>1</v>
      </c>
      <c r="J252" s="1" t="str">
        <f aca="false">_xlfn.CONCAT("с",F252," ",D252,"/",E252,IF(G252=0,"","-" &amp; G252))</f>
        <v>с3350 ВС/3а</v>
      </c>
    </row>
    <row r="253" customFormat="false" ht="12.8" hidden="false" customHeight="false" outlineLevel="0" collapsed="false">
      <c r="A253" s="1" t="s">
        <v>7</v>
      </c>
      <c r="B253" s="1" t="n">
        <v>3</v>
      </c>
      <c r="C253" s="1" t="n">
        <v>20</v>
      </c>
      <c r="D253" s="1" t="s">
        <v>198</v>
      </c>
      <c r="E253" s="1" t="s">
        <v>206</v>
      </c>
      <c r="F253" s="1" t="n">
        <v>3350</v>
      </c>
      <c r="G253" s="4" t="n">
        <v>0</v>
      </c>
      <c r="H253" s="1" t="s">
        <v>296</v>
      </c>
      <c r="I253" s="4" t="n">
        <v>1</v>
      </c>
      <c r="J253" s="1" t="str">
        <f aca="false">_xlfn.CONCAT("с",F253," ",D253,"/",E253,IF(G253=0,"","-" &amp; G253))</f>
        <v>с3350 3а/Тип 10</v>
      </c>
    </row>
    <row r="254" customFormat="false" ht="12.8" hidden="false" customHeight="false" outlineLevel="0" collapsed="false">
      <c r="A254" s="1" t="s">
        <v>7</v>
      </c>
      <c r="B254" s="1" t="n">
        <v>3</v>
      </c>
      <c r="C254" s="1" t="n">
        <v>21</v>
      </c>
      <c r="D254" s="1" t="s">
        <v>206</v>
      </c>
      <c r="E254" s="1" t="s">
        <v>208</v>
      </c>
      <c r="F254" s="1" t="n">
        <v>3350</v>
      </c>
      <c r="G254" s="4" t="n">
        <v>0</v>
      </c>
      <c r="H254" s="1" t="s">
        <v>292</v>
      </c>
      <c r="I254" s="4" t="n">
        <v>1</v>
      </c>
      <c r="J254" s="1" t="str">
        <f aca="false">_xlfn.CONCAT("с",F254," ",D254,"/",E254,IF(G254=0,"","-" &amp; G254))</f>
        <v>с3350 Тип 10/СН</v>
      </c>
    </row>
    <row r="255" customFormat="false" ht="12.8" hidden="false" customHeight="false" outlineLevel="0" collapsed="false">
      <c r="A255" s="1" t="s">
        <v>7</v>
      </c>
      <c r="B255" s="1" t="n">
        <v>3</v>
      </c>
      <c r="C255" s="1" t="n">
        <v>22</v>
      </c>
      <c r="D255" s="1" t="s">
        <v>208</v>
      </c>
      <c r="E255" s="1" t="s">
        <v>207</v>
      </c>
      <c r="F255" s="1" t="n">
        <v>3350</v>
      </c>
      <c r="G255" s="4" t="n">
        <v>0</v>
      </c>
      <c r="H255" s="1" t="s">
        <v>293</v>
      </c>
      <c r="I255" s="4" t="n">
        <v>1</v>
      </c>
      <c r="J255" s="1" t="str">
        <f aca="false">_xlfn.CONCAT("с",F255," ",D255,"/",E255,IF(G255=0,"","-" &amp; G255))</f>
        <v>с3350 СН/ВС</v>
      </c>
    </row>
    <row r="256" customFormat="false" ht="12.8" hidden="false" customHeight="false" outlineLevel="0" collapsed="false">
      <c r="A256" s="1" t="s">
        <v>7</v>
      </c>
      <c r="B256" s="1" t="n">
        <v>3</v>
      </c>
      <c r="C256" s="1" t="n">
        <v>23</v>
      </c>
      <c r="D256" s="1" t="s">
        <v>207</v>
      </c>
      <c r="E256" s="1" t="s">
        <v>198</v>
      </c>
      <c r="F256" s="1" t="n">
        <v>3350</v>
      </c>
      <c r="G256" s="4" t="n">
        <v>0</v>
      </c>
      <c r="H256" s="1" t="s">
        <v>287</v>
      </c>
      <c r="I256" s="4" t="n">
        <v>1</v>
      </c>
      <c r="J256" s="1" t="str">
        <f aca="false">_xlfn.CONCAT("с",F256," ",D256,"/",E256,IF(G256=0,"","-" &amp; G256))</f>
        <v>с3350 ВС/3а</v>
      </c>
    </row>
    <row r="257" customFormat="false" ht="12.8" hidden="false" customHeight="false" outlineLevel="0" collapsed="false">
      <c r="A257" s="1" t="s">
        <v>7</v>
      </c>
      <c r="B257" s="1" t="n">
        <v>3</v>
      </c>
      <c r="C257" s="1" t="n">
        <v>24</v>
      </c>
      <c r="D257" s="1" t="s">
        <v>198</v>
      </c>
      <c r="E257" s="1" t="s">
        <v>206</v>
      </c>
      <c r="F257" s="1" t="n">
        <v>3350</v>
      </c>
      <c r="G257" s="4" t="n">
        <v>0</v>
      </c>
      <c r="H257" s="1" t="s">
        <v>296</v>
      </c>
      <c r="I257" s="4" t="n">
        <v>1</v>
      </c>
      <c r="J257" s="1" t="str">
        <f aca="false">_xlfn.CONCAT("с",F257," ",D257,"/",E257,IF(G257=0,"","-" &amp; G257))</f>
        <v>с3350 3а/Тип 10</v>
      </c>
    </row>
    <row r="258" customFormat="false" ht="12.8" hidden="false" customHeight="false" outlineLevel="0" collapsed="false">
      <c r="A258" s="1" t="s">
        <v>7</v>
      </c>
      <c r="B258" s="1" t="n">
        <v>3</v>
      </c>
      <c r="C258" s="1" t="n">
        <v>25</v>
      </c>
      <c r="D258" s="1" t="s">
        <v>206</v>
      </c>
      <c r="E258" s="1" t="s">
        <v>208</v>
      </c>
      <c r="F258" s="1" t="n">
        <v>3350</v>
      </c>
      <c r="G258" s="4" t="n">
        <v>0</v>
      </c>
      <c r="H258" s="1" t="s">
        <v>292</v>
      </c>
      <c r="I258" s="4" t="n">
        <v>1</v>
      </c>
      <c r="J258" s="1" t="str">
        <f aca="false">_xlfn.CONCAT("с",F258," ",D258,"/",E258,IF(G258=0,"","-" &amp; G258))</f>
        <v>с3350 Тип 10/СН</v>
      </c>
    </row>
    <row r="259" customFormat="false" ht="12.8" hidden="false" customHeight="false" outlineLevel="0" collapsed="false">
      <c r="A259" s="1" t="s">
        <v>7</v>
      </c>
      <c r="B259" s="1" t="n">
        <v>3</v>
      </c>
      <c r="C259" s="1" t="n">
        <v>26</v>
      </c>
      <c r="D259" s="1" t="s">
        <v>208</v>
      </c>
      <c r="E259" s="1" t="s">
        <v>207</v>
      </c>
      <c r="F259" s="1" t="n">
        <v>3350</v>
      </c>
      <c r="G259" s="4" t="n">
        <v>0</v>
      </c>
      <c r="H259" s="1" t="s">
        <v>293</v>
      </c>
      <c r="I259" s="4" t="n">
        <v>1</v>
      </c>
      <c r="J259" s="1" t="str">
        <f aca="false">_xlfn.CONCAT("с",F259," ",D259,"/",E259,IF(G259=0,"","-" &amp; G259))</f>
        <v>с3350 СН/ВС</v>
      </c>
    </row>
    <row r="260" customFormat="false" ht="12.8" hidden="false" customHeight="false" outlineLevel="0" collapsed="false">
      <c r="A260" s="1" t="s">
        <v>7</v>
      </c>
      <c r="B260" s="1" t="n">
        <v>3</v>
      </c>
      <c r="C260" s="1" t="n">
        <v>27</v>
      </c>
      <c r="D260" s="1" t="s">
        <v>207</v>
      </c>
      <c r="E260" s="1" t="s">
        <v>198</v>
      </c>
      <c r="F260" s="1" t="n">
        <v>3350</v>
      </c>
      <c r="G260" s="4" t="n">
        <v>0</v>
      </c>
      <c r="H260" s="1" t="s">
        <v>287</v>
      </c>
      <c r="I260" s="4" t="n">
        <v>1</v>
      </c>
      <c r="J260" s="1" t="str">
        <f aca="false">_xlfn.CONCAT("с",F260," ",D260,"/",E260,IF(G260=0,"","-" &amp; G260))</f>
        <v>с3350 ВС/3а</v>
      </c>
    </row>
    <row r="261" customFormat="false" ht="12.8" hidden="false" customHeight="false" outlineLevel="0" collapsed="false">
      <c r="A261" s="1" t="s">
        <v>7</v>
      </c>
      <c r="B261" s="1" t="n">
        <v>3</v>
      </c>
      <c r="C261" s="1" t="n">
        <v>28</v>
      </c>
      <c r="D261" s="1" t="s">
        <v>198</v>
      </c>
      <c r="E261" s="1" t="s">
        <v>206</v>
      </c>
      <c r="F261" s="1" t="n">
        <v>3350</v>
      </c>
      <c r="G261" s="4" t="n">
        <v>0</v>
      </c>
      <c r="H261" s="1" t="s">
        <v>296</v>
      </c>
      <c r="I261" s="4" t="n">
        <v>1</v>
      </c>
      <c r="J261" s="1" t="str">
        <f aca="false">_xlfn.CONCAT("с",F261," ",D261,"/",E261,IF(G261=0,"","-" &amp; G261))</f>
        <v>с3350 3а/Тип 10</v>
      </c>
    </row>
    <row r="262" customFormat="false" ht="12.8" hidden="false" customHeight="false" outlineLevel="0" collapsed="false">
      <c r="A262" s="1" t="s">
        <v>7</v>
      </c>
      <c r="B262" s="1" t="n">
        <v>3</v>
      </c>
      <c r="C262" s="1" t="n">
        <v>29</v>
      </c>
      <c r="D262" s="1" t="s">
        <v>206</v>
      </c>
      <c r="E262" s="1" t="s">
        <v>210</v>
      </c>
      <c r="F262" s="1" t="n">
        <v>3350</v>
      </c>
      <c r="G262" s="4" t="n">
        <v>0</v>
      </c>
      <c r="H262" s="1" t="s">
        <v>297</v>
      </c>
      <c r="I262" s="4" t="n">
        <v>1</v>
      </c>
      <c r="J262" s="1" t="str">
        <f aca="false">_xlfn.CONCAT("с",F262," ",D262,"/",E262,IF(G262=0,"","-" &amp; G262))</f>
        <v>с3350 Тип 10/Лист 1 мм</v>
      </c>
    </row>
    <row r="263" customFormat="false" ht="12.8" hidden="false" customHeight="false" outlineLevel="0" collapsed="false">
      <c r="A263" s="1" t="s">
        <v>7</v>
      </c>
      <c r="B263" s="1" t="n">
        <v>4</v>
      </c>
      <c r="C263" s="1" t="n">
        <v>1</v>
      </c>
      <c r="D263" s="1" t="s">
        <v>210</v>
      </c>
      <c r="E263" s="1" t="s">
        <v>206</v>
      </c>
      <c r="F263" s="1" t="n">
        <v>3350</v>
      </c>
      <c r="G263" s="4" t="n">
        <v>0</v>
      </c>
      <c r="H263" s="1" t="s">
        <v>285</v>
      </c>
      <c r="I263" s="4" t="n">
        <v>1</v>
      </c>
      <c r="J263" s="1" t="str">
        <f aca="false">_xlfn.CONCAT("с",F263," ",D263,"/",E263,IF(G263=0,"","-" &amp; G263))</f>
        <v>с3350 Лист 1 мм/Тип 10</v>
      </c>
    </row>
    <row r="264" customFormat="false" ht="12.8" hidden="false" customHeight="false" outlineLevel="0" collapsed="false">
      <c r="A264" s="1" t="s">
        <v>7</v>
      </c>
      <c r="B264" s="1" t="n">
        <v>4</v>
      </c>
      <c r="C264" s="1" t="n">
        <v>2</v>
      </c>
      <c r="D264" s="1" t="s">
        <v>206</v>
      </c>
      <c r="E264" s="1" t="s">
        <v>198</v>
      </c>
      <c r="F264" s="1" t="n">
        <v>3350</v>
      </c>
      <c r="G264" s="4" t="n">
        <v>0</v>
      </c>
      <c r="H264" s="1" t="s">
        <v>298</v>
      </c>
      <c r="I264" s="4" t="n">
        <v>1</v>
      </c>
      <c r="J264" s="1" t="str">
        <f aca="false">_xlfn.CONCAT("с",F264," ",D264,"/",E264,IF(G264=0,"","-" &amp; G264))</f>
        <v>с3350 Тип 10/3а</v>
      </c>
    </row>
    <row r="265" customFormat="false" ht="12.8" hidden="false" customHeight="false" outlineLevel="0" collapsed="false">
      <c r="A265" s="1" t="s">
        <v>7</v>
      </c>
      <c r="B265" s="1" t="n">
        <v>4</v>
      </c>
      <c r="C265" s="1" t="n">
        <v>3</v>
      </c>
      <c r="D265" s="1" t="s">
        <v>198</v>
      </c>
      <c r="E265" s="1" t="s">
        <v>207</v>
      </c>
      <c r="F265" s="1" t="n">
        <v>3350</v>
      </c>
      <c r="G265" s="4" t="n">
        <v>0</v>
      </c>
      <c r="H265" s="1" t="s">
        <v>299</v>
      </c>
      <c r="I265" s="4" t="n">
        <v>1</v>
      </c>
      <c r="J265" s="1" t="str">
        <f aca="false">_xlfn.CONCAT("с",F265," ",D265,"/",E265,IF(G265=0,"","-" &amp; G265))</f>
        <v>с3350 3а/ВС</v>
      </c>
    </row>
    <row r="266" customFormat="false" ht="12.8" hidden="false" customHeight="false" outlineLevel="0" collapsed="false">
      <c r="A266" s="1" t="s">
        <v>7</v>
      </c>
      <c r="B266" s="1" t="n">
        <v>4</v>
      </c>
      <c r="C266" s="1" t="n">
        <v>4</v>
      </c>
      <c r="D266" s="1" t="s">
        <v>207</v>
      </c>
      <c r="E266" s="1" t="s">
        <v>208</v>
      </c>
      <c r="F266" s="1" t="n">
        <v>3350</v>
      </c>
      <c r="G266" s="4" t="n">
        <v>0</v>
      </c>
      <c r="H266" s="1" t="s">
        <v>300</v>
      </c>
      <c r="I266" s="4" t="n">
        <v>1</v>
      </c>
      <c r="J266" s="1" t="str">
        <f aca="false">_xlfn.CONCAT("с",F266," ",D266,"/",E266,IF(G266=0,"","-" &amp; G266))</f>
        <v>с3350 ВС/СН</v>
      </c>
    </row>
    <row r="267" customFormat="false" ht="12.8" hidden="false" customHeight="false" outlineLevel="0" collapsed="false">
      <c r="A267" s="1" t="s">
        <v>7</v>
      </c>
      <c r="B267" s="1" t="n">
        <v>4</v>
      </c>
      <c r="C267" s="1" t="n">
        <v>5</v>
      </c>
      <c r="D267" s="1" t="s">
        <v>208</v>
      </c>
      <c r="E267" s="1" t="s">
        <v>206</v>
      </c>
      <c r="F267" s="1" t="n">
        <v>3350</v>
      </c>
      <c r="G267" s="4" t="n">
        <v>0</v>
      </c>
      <c r="H267" s="1" t="s">
        <v>289</v>
      </c>
      <c r="I267" s="4" t="n">
        <v>1</v>
      </c>
      <c r="J267" s="1" t="str">
        <f aca="false">_xlfn.CONCAT("с",F267," ",D267,"/",E267,IF(G267=0,"","-" &amp; G267))</f>
        <v>с3350 СН/Тип 10</v>
      </c>
    </row>
    <row r="268" customFormat="false" ht="12.8" hidden="false" customHeight="false" outlineLevel="0" collapsed="false">
      <c r="A268" s="1" t="s">
        <v>7</v>
      </c>
      <c r="B268" s="1" t="n">
        <v>4</v>
      </c>
      <c r="C268" s="1" t="n">
        <v>6</v>
      </c>
      <c r="D268" s="1" t="s">
        <v>206</v>
      </c>
      <c r="E268" s="1" t="s">
        <v>198</v>
      </c>
      <c r="F268" s="1" t="n">
        <v>3350</v>
      </c>
      <c r="G268" s="4" t="n">
        <v>0</v>
      </c>
      <c r="H268" s="1" t="s">
        <v>298</v>
      </c>
      <c r="I268" s="4" t="n">
        <v>1</v>
      </c>
      <c r="J268" s="1" t="str">
        <f aca="false">_xlfn.CONCAT("с",F268," ",D268,"/",E268,IF(G268=0,"","-" &amp; G268))</f>
        <v>с3350 Тип 10/3а</v>
      </c>
    </row>
    <row r="269" customFormat="false" ht="12.8" hidden="false" customHeight="false" outlineLevel="0" collapsed="false">
      <c r="A269" s="1" t="s">
        <v>7</v>
      </c>
      <c r="B269" s="1" t="n">
        <v>4</v>
      </c>
      <c r="C269" s="1" t="n">
        <v>7</v>
      </c>
      <c r="D269" s="1" t="s">
        <v>198</v>
      </c>
      <c r="E269" s="1" t="s">
        <v>207</v>
      </c>
      <c r="F269" s="1" t="n">
        <v>3350</v>
      </c>
      <c r="G269" s="4" t="n">
        <v>0</v>
      </c>
      <c r="H269" s="1" t="s">
        <v>299</v>
      </c>
      <c r="I269" s="4" t="n">
        <v>1</v>
      </c>
      <c r="J269" s="1" t="str">
        <f aca="false">_xlfn.CONCAT("с",F269," ",D269,"/",E269,IF(G269=0,"","-" &amp; G269))</f>
        <v>с3350 3а/ВС</v>
      </c>
    </row>
    <row r="270" customFormat="false" ht="12.8" hidden="false" customHeight="false" outlineLevel="0" collapsed="false">
      <c r="A270" s="1" t="s">
        <v>7</v>
      </c>
      <c r="B270" s="1" t="n">
        <v>4</v>
      </c>
      <c r="C270" s="1" t="n">
        <v>8</v>
      </c>
      <c r="D270" s="1" t="s">
        <v>207</v>
      </c>
      <c r="E270" s="1" t="s">
        <v>208</v>
      </c>
      <c r="F270" s="1" t="n">
        <v>3350</v>
      </c>
      <c r="G270" s="4" t="n">
        <v>0</v>
      </c>
      <c r="H270" s="1" t="s">
        <v>300</v>
      </c>
      <c r="I270" s="4" t="n">
        <v>1</v>
      </c>
      <c r="J270" s="1" t="str">
        <f aca="false">_xlfn.CONCAT("с",F270," ",D270,"/",E270,IF(G270=0,"","-" &amp; G270))</f>
        <v>с3350 ВС/СН</v>
      </c>
    </row>
    <row r="271" customFormat="false" ht="12.8" hidden="false" customHeight="false" outlineLevel="0" collapsed="false">
      <c r="A271" s="1" t="s">
        <v>7</v>
      </c>
      <c r="B271" s="1" t="n">
        <v>4</v>
      </c>
      <c r="C271" s="1" t="n">
        <v>9</v>
      </c>
      <c r="D271" s="1" t="s">
        <v>208</v>
      </c>
      <c r="E271" s="1" t="s">
        <v>206</v>
      </c>
      <c r="F271" s="1" t="n">
        <v>3350</v>
      </c>
      <c r="G271" s="4" t="n">
        <v>0</v>
      </c>
      <c r="H271" s="1" t="s">
        <v>289</v>
      </c>
      <c r="I271" s="4" t="n">
        <v>1</v>
      </c>
      <c r="J271" s="1" t="str">
        <f aca="false">_xlfn.CONCAT("с",F271," ",D271,"/",E271,IF(G271=0,"","-" &amp; G271))</f>
        <v>с3350 СН/Тип 10</v>
      </c>
    </row>
    <row r="272" customFormat="false" ht="12.8" hidden="false" customHeight="false" outlineLevel="0" collapsed="false">
      <c r="A272" s="1" t="s">
        <v>7</v>
      </c>
      <c r="B272" s="1" t="n">
        <v>4</v>
      </c>
      <c r="C272" s="1" t="n">
        <v>10</v>
      </c>
      <c r="D272" s="1" t="s">
        <v>206</v>
      </c>
      <c r="E272" s="1" t="s">
        <v>198</v>
      </c>
      <c r="F272" s="1" t="n">
        <v>3350</v>
      </c>
      <c r="G272" s="4" t="n">
        <v>0</v>
      </c>
      <c r="H272" s="1" t="s">
        <v>298</v>
      </c>
      <c r="I272" s="4" t="n">
        <v>1</v>
      </c>
      <c r="J272" s="1" t="str">
        <f aca="false">_xlfn.CONCAT("с",F272," ",D272,"/",E272,IF(G272=0,"","-" &amp; G272))</f>
        <v>с3350 Тип 10/3а</v>
      </c>
    </row>
    <row r="273" customFormat="false" ht="12.8" hidden="false" customHeight="false" outlineLevel="0" collapsed="false">
      <c r="A273" s="1" t="s">
        <v>7</v>
      </c>
      <c r="B273" s="1" t="n">
        <v>4</v>
      </c>
      <c r="C273" s="1" t="n">
        <v>11</v>
      </c>
      <c r="D273" s="1" t="s">
        <v>198</v>
      </c>
      <c r="E273" s="1" t="s">
        <v>207</v>
      </c>
      <c r="F273" s="1" t="n">
        <v>3350</v>
      </c>
      <c r="G273" s="4" t="n">
        <v>0</v>
      </c>
      <c r="H273" s="1" t="s">
        <v>299</v>
      </c>
      <c r="I273" s="4" t="n">
        <v>1</v>
      </c>
      <c r="J273" s="1" t="str">
        <f aca="false">_xlfn.CONCAT("с",F273," ",D273,"/",E273,IF(G273=0,"","-" &amp; G273))</f>
        <v>с3350 3а/ВС</v>
      </c>
    </row>
    <row r="274" customFormat="false" ht="12.8" hidden="false" customHeight="false" outlineLevel="0" collapsed="false">
      <c r="A274" s="1" t="s">
        <v>7</v>
      </c>
      <c r="B274" s="1" t="n">
        <v>4</v>
      </c>
      <c r="C274" s="1" t="n">
        <v>12</v>
      </c>
      <c r="D274" s="1" t="s">
        <v>207</v>
      </c>
      <c r="E274" s="1" t="s">
        <v>208</v>
      </c>
      <c r="F274" s="1" t="n">
        <v>3350</v>
      </c>
      <c r="G274" s="4" t="n">
        <v>0</v>
      </c>
      <c r="H274" s="1" t="s">
        <v>300</v>
      </c>
      <c r="I274" s="4" t="n">
        <v>1</v>
      </c>
      <c r="J274" s="1" t="str">
        <f aca="false">_xlfn.CONCAT("с",F274," ",D274,"/",E274,IF(G274=0,"","-" &amp; G274))</f>
        <v>с3350 ВС/СН</v>
      </c>
    </row>
    <row r="275" customFormat="false" ht="12.8" hidden="false" customHeight="false" outlineLevel="0" collapsed="false">
      <c r="A275" s="1" t="s">
        <v>7</v>
      </c>
      <c r="B275" s="1" t="n">
        <v>4</v>
      </c>
      <c r="C275" s="1" t="n">
        <v>13</v>
      </c>
      <c r="D275" s="1" t="s">
        <v>208</v>
      </c>
      <c r="E275" s="1" t="s">
        <v>206</v>
      </c>
      <c r="F275" s="1" t="n">
        <v>3350</v>
      </c>
      <c r="G275" s="4" t="n">
        <v>0</v>
      </c>
      <c r="H275" s="1" t="s">
        <v>289</v>
      </c>
      <c r="I275" s="4" t="n">
        <v>1</v>
      </c>
      <c r="J275" s="1" t="str">
        <f aca="false">_xlfn.CONCAT("с",F275," ",D275,"/",E275,IF(G275=0,"","-" &amp; G275))</f>
        <v>с3350 СН/Тип 10</v>
      </c>
    </row>
    <row r="276" customFormat="false" ht="12.8" hidden="false" customHeight="false" outlineLevel="0" collapsed="false">
      <c r="A276" s="1" t="s">
        <v>7</v>
      </c>
      <c r="B276" s="1" t="n">
        <v>4</v>
      </c>
      <c r="C276" s="1" t="n">
        <v>14</v>
      </c>
      <c r="D276" s="1" t="s">
        <v>206</v>
      </c>
      <c r="E276" s="1" t="s">
        <v>198</v>
      </c>
      <c r="F276" s="1" t="n">
        <v>3350</v>
      </c>
      <c r="G276" s="4" t="n">
        <v>0</v>
      </c>
      <c r="H276" s="1" t="s">
        <v>298</v>
      </c>
      <c r="I276" s="4" t="n">
        <v>1</v>
      </c>
      <c r="J276" s="1" t="str">
        <f aca="false">_xlfn.CONCAT("с",F276," ",D276,"/",E276,IF(G276=0,"","-" &amp; G276))</f>
        <v>с3350 Тип 10/3а</v>
      </c>
    </row>
    <row r="277" customFormat="false" ht="12.8" hidden="false" customHeight="false" outlineLevel="0" collapsed="false">
      <c r="A277" s="1" t="s">
        <v>7</v>
      </c>
      <c r="B277" s="1" t="n">
        <v>4</v>
      </c>
      <c r="C277" s="1" t="n">
        <v>15</v>
      </c>
      <c r="D277" s="1" t="s">
        <v>198</v>
      </c>
      <c r="E277" s="1" t="s">
        <v>207</v>
      </c>
      <c r="F277" s="1" t="n">
        <v>3350</v>
      </c>
      <c r="G277" s="4" t="n">
        <v>0</v>
      </c>
      <c r="H277" s="1" t="s">
        <v>299</v>
      </c>
      <c r="I277" s="4" t="n">
        <v>1</v>
      </c>
      <c r="J277" s="1" t="str">
        <f aca="false">_xlfn.CONCAT("с",F277," ",D277,"/",E277,IF(G277=0,"","-" &amp; G277))</f>
        <v>с3350 3а/ВС</v>
      </c>
    </row>
    <row r="278" customFormat="false" ht="12.8" hidden="false" customHeight="false" outlineLevel="0" collapsed="false">
      <c r="A278" s="1" t="s">
        <v>7</v>
      </c>
      <c r="B278" s="1" t="n">
        <v>4</v>
      </c>
      <c r="C278" s="1" t="n">
        <v>16</v>
      </c>
      <c r="D278" s="1" t="s">
        <v>207</v>
      </c>
      <c r="E278" s="1" t="s">
        <v>206</v>
      </c>
      <c r="F278" s="1" t="n">
        <v>3350</v>
      </c>
      <c r="G278" s="4" t="n">
        <v>0</v>
      </c>
      <c r="H278" s="1" t="s">
        <v>303</v>
      </c>
      <c r="I278" s="4" t="n">
        <v>1</v>
      </c>
      <c r="J278" s="1" t="str">
        <f aca="false">_xlfn.CONCAT("с",F278," ",D278,"/",E278,IF(G278=0,"","-" &amp; G278))</f>
        <v>с3350 ВС/Тип 10</v>
      </c>
    </row>
    <row r="279" customFormat="false" ht="12.8" hidden="false" customHeight="false" outlineLevel="0" collapsed="false">
      <c r="A279" s="1" t="s">
        <v>7</v>
      </c>
      <c r="B279" s="1" t="n">
        <v>4</v>
      </c>
      <c r="C279" s="1" t="n">
        <v>17</v>
      </c>
      <c r="D279" s="1" t="s">
        <v>206</v>
      </c>
      <c r="E279" s="1" t="s">
        <v>208</v>
      </c>
      <c r="F279" s="1" t="n">
        <v>3350</v>
      </c>
      <c r="G279" s="4" t="n">
        <v>0</v>
      </c>
      <c r="H279" s="1" t="s">
        <v>292</v>
      </c>
      <c r="I279" s="4" t="n">
        <v>1</v>
      </c>
      <c r="J279" s="1" t="str">
        <f aca="false">_xlfn.CONCAT("с",F279," ",D279,"/",E279,IF(G279=0,"","-" &amp; G279))</f>
        <v>с3350 Тип 10/СН</v>
      </c>
    </row>
    <row r="280" customFormat="false" ht="12.8" hidden="false" customHeight="false" outlineLevel="0" collapsed="false">
      <c r="A280" s="1" t="s">
        <v>7</v>
      </c>
      <c r="B280" s="1" t="n">
        <v>4</v>
      </c>
      <c r="C280" s="1" t="n">
        <v>18</v>
      </c>
      <c r="D280" s="1" t="s">
        <v>208</v>
      </c>
      <c r="E280" s="1" t="s">
        <v>198</v>
      </c>
      <c r="F280" s="1" t="n">
        <v>3350</v>
      </c>
      <c r="G280" s="4" t="n">
        <v>0</v>
      </c>
      <c r="H280" s="1" t="s">
        <v>306</v>
      </c>
      <c r="I280" s="4" t="n">
        <v>1</v>
      </c>
      <c r="J280" s="1" t="str">
        <f aca="false">_xlfn.CONCAT("с",F280," ",D280,"/",E280,IF(G280=0,"","-" &amp; G280))</f>
        <v>с3350 СН/3а</v>
      </c>
    </row>
    <row r="281" customFormat="false" ht="12.8" hidden="false" customHeight="false" outlineLevel="0" collapsed="false">
      <c r="A281" s="1" t="s">
        <v>7</v>
      </c>
      <c r="B281" s="1" t="n">
        <v>4</v>
      </c>
      <c r="C281" s="1" t="n">
        <v>19</v>
      </c>
      <c r="D281" s="1" t="s">
        <v>198</v>
      </c>
      <c r="E281" s="1" t="s">
        <v>207</v>
      </c>
      <c r="F281" s="1" t="n">
        <v>3350</v>
      </c>
      <c r="G281" s="4" t="n">
        <v>0</v>
      </c>
      <c r="H281" s="1" t="s">
        <v>299</v>
      </c>
      <c r="I281" s="4" t="n">
        <v>1</v>
      </c>
      <c r="J281" s="1" t="str">
        <f aca="false">_xlfn.CONCAT("с",F281," ",D281,"/",E281,IF(G281=0,"","-" &amp; G281))</f>
        <v>с3350 3а/ВС</v>
      </c>
    </row>
    <row r="282" customFormat="false" ht="12.8" hidden="false" customHeight="false" outlineLevel="0" collapsed="false">
      <c r="A282" s="1" t="s">
        <v>7</v>
      </c>
      <c r="B282" s="1" t="n">
        <v>4</v>
      </c>
      <c r="C282" s="1" t="n">
        <v>20</v>
      </c>
      <c r="D282" s="1" t="s">
        <v>207</v>
      </c>
      <c r="E282" s="1" t="s">
        <v>206</v>
      </c>
      <c r="F282" s="1" t="n">
        <v>3350</v>
      </c>
      <c r="G282" s="4" t="n">
        <v>0</v>
      </c>
      <c r="H282" s="1" t="s">
        <v>303</v>
      </c>
      <c r="I282" s="4" t="n">
        <v>1</v>
      </c>
      <c r="J282" s="1" t="str">
        <f aca="false">_xlfn.CONCAT("с",F282," ",D282,"/",E282,IF(G282=0,"","-" &amp; G282))</f>
        <v>с3350 ВС/Тип 10</v>
      </c>
    </row>
    <row r="283" customFormat="false" ht="12.8" hidden="false" customHeight="false" outlineLevel="0" collapsed="false">
      <c r="A283" s="1" t="s">
        <v>7</v>
      </c>
      <c r="B283" s="1" t="n">
        <v>4</v>
      </c>
      <c r="C283" s="1" t="n">
        <v>21</v>
      </c>
      <c r="D283" s="1" t="s">
        <v>206</v>
      </c>
      <c r="E283" s="1" t="s">
        <v>208</v>
      </c>
      <c r="F283" s="1" t="n">
        <v>3350</v>
      </c>
      <c r="G283" s="4" t="n">
        <v>0</v>
      </c>
      <c r="H283" s="1" t="s">
        <v>292</v>
      </c>
      <c r="I283" s="4" t="n">
        <v>1</v>
      </c>
      <c r="J283" s="1" t="str">
        <f aca="false">_xlfn.CONCAT("с",F283," ",D283,"/",E283,IF(G283=0,"","-" &amp; G283))</f>
        <v>с3350 Тип 10/СН</v>
      </c>
    </row>
    <row r="284" customFormat="false" ht="12.8" hidden="false" customHeight="false" outlineLevel="0" collapsed="false">
      <c r="A284" s="1" t="s">
        <v>7</v>
      </c>
      <c r="B284" s="1" t="n">
        <v>4</v>
      </c>
      <c r="C284" s="1" t="n">
        <v>22</v>
      </c>
      <c r="D284" s="1" t="s">
        <v>208</v>
      </c>
      <c r="E284" s="1" t="s">
        <v>198</v>
      </c>
      <c r="F284" s="1" t="n">
        <v>3350</v>
      </c>
      <c r="G284" s="4" t="n">
        <v>0</v>
      </c>
      <c r="H284" s="1" t="s">
        <v>306</v>
      </c>
      <c r="I284" s="4" t="n">
        <v>1</v>
      </c>
      <c r="J284" s="1" t="str">
        <f aca="false">_xlfn.CONCAT("с",F284," ",D284,"/",E284,IF(G284=0,"","-" &amp; G284))</f>
        <v>с3350 СН/3а</v>
      </c>
    </row>
    <row r="285" customFormat="false" ht="12.8" hidden="false" customHeight="false" outlineLevel="0" collapsed="false">
      <c r="A285" s="1" t="s">
        <v>7</v>
      </c>
      <c r="B285" s="1" t="n">
        <v>4</v>
      </c>
      <c r="C285" s="1" t="n">
        <v>23</v>
      </c>
      <c r="D285" s="1" t="s">
        <v>198</v>
      </c>
      <c r="E285" s="1" t="s">
        <v>207</v>
      </c>
      <c r="F285" s="1" t="n">
        <v>3350</v>
      </c>
      <c r="G285" s="4" t="n">
        <v>0</v>
      </c>
      <c r="H285" s="1" t="s">
        <v>299</v>
      </c>
      <c r="I285" s="4" t="n">
        <v>1</v>
      </c>
      <c r="J285" s="1" t="str">
        <f aca="false">_xlfn.CONCAT("с",F285," ",D285,"/",E285,IF(G285=0,"","-" &amp; G285))</f>
        <v>с3350 3а/ВС</v>
      </c>
    </row>
    <row r="286" customFormat="false" ht="12.8" hidden="false" customHeight="false" outlineLevel="0" collapsed="false">
      <c r="A286" s="1" t="s">
        <v>7</v>
      </c>
      <c r="B286" s="1" t="n">
        <v>4</v>
      </c>
      <c r="C286" s="1" t="n">
        <v>24</v>
      </c>
      <c r="D286" s="1" t="s">
        <v>207</v>
      </c>
      <c r="E286" s="1" t="s">
        <v>206</v>
      </c>
      <c r="F286" s="1" t="n">
        <v>3350</v>
      </c>
      <c r="G286" s="4" t="n">
        <v>0</v>
      </c>
      <c r="H286" s="1" t="s">
        <v>303</v>
      </c>
      <c r="I286" s="4" t="n">
        <v>1</v>
      </c>
      <c r="J286" s="1" t="str">
        <f aca="false">_xlfn.CONCAT("с",F286," ",D286,"/",E286,IF(G286=0,"","-" &amp; G286))</f>
        <v>с3350 ВС/Тип 10</v>
      </c>
    </row>
    <row r="287" customFormat="false" ht="12.8" hidden="false" customHeight="false" outlineLevel="0" collapsed="false">
      <c r="A287" s="1" t="s">
        <v>7</v>
      </c>
      <c r="B287" s="1" t="n">
        <v>4</v>
      </c>
      <c r="C287" s="1" t="n">
        <v>25</v>
      </c>
      <c r="D287" s="1" t="s">
        <v>206</v>
      </c>
      <c r="E287" s="1" t="s">
        <v>208</v>
      </c>
      <c r="F287" s="1" t="n">
        <v>3350</v>
      </c>
      <c r="G287" s="4" t="n">
        <v>0</v>
      </c>
      <c r="H287" s="1" t="s">
        <v>292</v>
      </c>
      <c r="I287" s="4" t="n">
        <v>1</v>
      </c>
      <c r="J287" s="1" t="str">
        <f aca="false">_xlfn.CONCAT("с",F287," ",D287,"/",E287,IF(G287=0,"","-" &amp; G287))</f>
        <v>с3350 Тип 10/СН</v>
      </c>
    </row>
    <row r="288" customFormat="false" ht="12.8" hidden="false" customHeight="false" outlineLevel="0" collapsed="false">
      <c r="A288" s="1" t="s">
        <v>7</v>
      </c>
      <c r="B288" s="1" t="n">
        <v>4</v>
      </c>
      <c r="C288" s="1" t="n">
        <v>26</v>
      </c>
      <c r="D288" s="1" t="s">
        <v>208</v>
      </c>
      <c r="E288" s="1" t="s">
        <v>198</v>
      </c>
      <c r="F288" s="1" t="n">
        <v>3350</v>
      </c>
      <c r="G288" s="4" t="n">
        <v>0</v>
      </c>
      <c r="H288" s="1" t="s">
        <v>306</v>
      </c>
      <c r="I288" s="4" t="n">
        <v>1</v>
      </c>
      <c r="J288" s="1" t="str">
        <f aca="false">_xlfn.CONCAT("с",F288," ",D288,"/",E288,IF(G288=0,"","-" &amp; G288))</f>
        <v>с3350 СН/3а</v>
      </c>
    </row>
    <row r="289" customFormat="false" ht="12.8" hidden="false" customHeight="false" outlineLevel="0" collapsed="false">
      <c r="A289" s="1" t="s">
        <v>7</v>
      </c>
      <c r="B289" s="1" t="n">
        <v>4</v>
      </c>
      <c r="C289" s="1" t="n">
        <v>27</v>
      </c>
      <c r="D289" s="1" t="s">
        <v>198</v>
      </c>
      <c r="E289" s="1" t="s">
        <v>207</v>
      </c>
      <c r="F289" s="1" t="n">
        <v>3350</v>
      </c>
      <c r="G289" s="4" t="n">
        <v>0</v>
      </c>
      <c r="H289" s="1" t="s">
        <v>299</v>
      </c>
      <c r="I289" s="4" t="n">
        <v>1</v>
      </c>
      <c r="J289" s="1" t="str">
        <f aca="false">_xlfn.CONCAT("с",F289," ",D289,"/",E289,IF(G289=0,"","-" &amp; G289))</f>
        <v>с3350 3а/ВС</v>
      </c>
    </row>
    <row r="290" customFormat="false" ht="12.8" hidden="false" customHeight="false" outlineLevel="0" collapsed="false">
      <c r="A290" s="1" t="s">
        <v>7</v>
      </c>
      <c r="B290" s="1" t="n">
        <v>4</v>
      </c>
      <c r="C290" s="1" t="n">
        <v>28</v>
      </c>
      <c r="D290" s="1" t="s">
        <v>207</v>
      </c>
      <c r="E290" s="1" t="s">
        <v>206</v>
      </c>
      <c r="F290" s="1" t="n">
        <v>3350</v>
      </c>
      <c r="G290" s="4" t="n">
        <v>0</v>
      </c>
      <c r="H290" s="1" t="s">
        <v>303</v>
      </c>
      <c r="I290" s="4" t="n">
        <v>1</v>
      </c>
      <c r="J290" s="1" t="str">
        <f aca="false">_xlfn.CONCAT("с",F290," ",D290,"/",E290,IF(G290=0,"","-" &amp; G290))</f>
        <v>с3350 ВС/Тип 10</v>
      </c>
    </row>
    <row r="291" customFormat="false" ht="12.8" hidden="false" customHeight="false" outlineLevel="0" collapsed="false">
      <c r="A291" s="1" t="s">
        <v>7</v>
      </c>
      <c r="B291" s="1" t="n">
        <v>4</v>
      </c>
      <c r="C291" s="1" t="n">
        <v>29</v>
      </c>
      <c r="D291" s="1" t="s">
        <v>206</v>
      </c>
      <c r="E291" s="1" t="s">
        <v>210</v>
      </c>
      <c r="F291" s="1" t="n">
        <v>3350</v>
      </c>
      <c r="G291" s="4" t="n">
        <v>0</v>
      </c>
      <c r="H291" s="1" t="s">
        <v>297</v>
      </c>
      <c r="I291" s="4" t="n">
        <v>1</v>
      </c>
      <c r="J291" s="1" t="str">
        <f aca="false">_xlfn.CONCAT("с",F291," ",D291,"/",E291,IF(G291=0,"","-" &amp; G291))</f>
        <v>с3350 Тип 10/Лист 1 мм</v>
      </c>
    </row>
    <row r="292" customFormat="false" ht="12.8" hidden="false" customHeight="false" outlineLevel="0" collapsed="false">
      <c r="A292" s="1" t="s">
        <v>7</v>
      </c>
      <c r="B292" s="1" t="n">
        <v>19</v>
      </c>
      <c r="C292" s="1" t="n">
        <v>1</v>
      </c>
      <c r="D292" s="1" t="s">
        <v>210</v>
      </c>
      <c r="E292" s="1" t="s">
        <v>206</v>
      </c>
      <c r="F292" s="1" t="n">
        <v>3510</v>
      </c>
      <c r="G292" s="4" t="n">
        <v>0</v>
      </c>
      <c r="H292" s="1" t="s">
        <v>307</v>
      </c>
      <c r="I292" s="4" t="n">
        <v>1</v>
      </c>
      <c r="J292" s="1" t="str">
        <f aca="false">_xlfn.CONCAT("с",F292," ",D292,"/",E292,IF(G292=0,"","-" &amp; G292))</f>
        <v>с3510 Лист 1 мм/Тип 10</v>
      </c>
    </row>
    <row r="293" customFormat="false" ht="12.8" hidden="false" customHeight="false" outlineLevel="0" collapsed="false">
      <c r="A293" s="1" t="s">
        <v>7</v>
      </c>
      <c r="B293" s="1" t="n">
        <v>19</v>
      </c>
      <c r="C293" s="1" t="n">
        <v>2</v>
      </c>
      <c r="D293" s="1" t="s">
        <v>206</v>
      </c>
      <c r="E293" s="1" t="s">
        <v>207</v>
      </c>
      <c r="F293" s="1" t="n">
        <v>3510</v>
      </c>
      <c r="G293" s="4" t="n">
        <v>0</v>
      </c>
      <c r="H293" s="1" t="s">
        <v>308</v>
      </c>
      <c r="I293" s="4" t="n">
        <v>1</v>
      </c>
      <c r="J293" s="1" t="str">
        <f aca="false">_xlfn.CONCAT("с",F293," ",D293,"/",E293,IF(G293=0,"","-" &amp; G293))</f>
        <v>с3510 Тип 10/ВС</v>
      </c>
    </row>
    <row r="294" customFormat="false" ht="12.8" hidden="false" customHeight="false" outlineLevel="0" collapsed="false">
      <c r="A294" s="1" t="s">
        <v>7</v>
      </c>
      <c r="B294" s="1" t="n">
        <v>19</v>
      </c>
      <c r="C294" s="1" t="n">
        <v>3</v>
      </c>
      <c r="D294" s="1" t="s">
        <v>207</v>
      </c>
      <c r="E294" s="1" t="s">
        <v>198</v>
      </c>
      <c r="F294" s="1" t="n">
        <v>3510</v>
      </c>
      <c r="G294" s="4" t="n">
        <v>0</v>
      </c>
      <c r="H294" s="1" t="s">
        <v>309</v>
      </c>
      <c r="I294" s="4" t="n">
        <v>1</v>
      </c>
      <c r="J294" s="1" t="str">
        <f aca="false">_xlfn.CONCAT("с",F294," ",D294,"/",E294,IF(G294=0,"","-" &amp; G294))</f>
        <v>с3510 ВС/3а</v>
      </c>
    </row>
    <row r="295" customFormat="false" ht="12.8" hidden="false" customHeight="false" outlineLevel="0" collapsed="false">
      <c r="A295" s="1" t="s">
        <v>7</v>
      </c>
      <c r="B295" s="1" t="n">
        <v>19</v>
      </c>
      <c r="C295" s="1" t="n">
        <v>4</v>
      </c>
      <c r="D295" s="1" t="s">
        <v>198</v>
      </c>
      <c r="E295" s="1" t="s">
        <v>208</v>
      </c>
      <c r="F295" s="1" t="n">
        <v>3510</v>
      </c>
      <c r="G295" s="4" t="n">
        <v>0</v>
      </c>
      <c r="H295" s="1" t="s">
        <v>310</v>
      </c>
      <c r="I295" s="4" t="n">
        <v>1</v>
      </c>
      <c r="J295" s="1" t="str">
        <f aca="false">_xlfn.CONCAT("с",F295," ",D295,"/",E295,IF(G295=0,"","-" &amp; G295))</f>
        <v>с3510 3а/СН</v>
      </c>
    </row>
    <row r="296" customFormat="false" ht="12.8" hidden="false" customHeight="false" outlineLevel="0" collapsed="false">
      <c r="A296" s="1" t="s">
        <v>7</v>
      </c>
      <c r="B296" s="1" t="n">
        <v>19</v>
      </c>
      <c r="C296" s="1" t="n">
        <v>5</v>
      </c>
      <c r="D296" s="1" t="s">
        <v>208</v>
      </c>
      <c r="E296" s="1" t="s">
        <v>206</v>
      </c>
      <c r="F296" s="1" t="n">
        <v>3510</v>
      </c>
      <c r="G296" s="4" t="n">
        <v>0</v>
      </c>
      <c r="H296" s="1" t="s">
        <v>311</v>
      </c>
      <c r="I296" s="4" t="n">
        <v>1</v>
      </c>
      <c r="J296" s="1" t="str">
        <f aca="false">_xlfn.CONCAT("с",F296," ",D296,"/",E296,IF(G296=0,"","-" &amp; G296))</f>
        <v>с3510 СН/Тип 10</v>
      </c>
    </row>
    <row r="297" customFormat="false" ht="12.8" hidden="false" customHeight="false" outlineLevel="0" collapsed="false">
      <c r="A297" s="1" t="s">
        <v>7</v>
      </c>
      <c r="B297" s="1" t="n">
        <v>19</v>
      </c>
      <c r="C297" s="1" t="n">
        <v>6</v>
      </c>
      <c r="D297" s="1" t="s">
        <v>206</v>
      </c>
      <c r="E297" s="1" t="s">
        <v>207</v>
      </c>
      <c r="F297" s="1" t="n">
        <v>3510</v>
      </c>
      <c r="G297" s="4" t="n">
        <v>0</v>
      </c>
      <c r="H297" s="1" t="s">
        <v>308</v>
      </c>
      <c r="I297" s="4" t="n">
        <v>1</v>
      </c>
      <c r="J297" s="1" t="str">
        <f aca="false">_xlfn.CONCAT("с",F297," ",D297,"/",E297,IF(G297=0,"","-" &amp; G297))</f>
        <v>с3510 Тип 10/ВС</v>
      </c>
    </row>
    <row r="298" customFormat="false" ht="12.8" hidden="false" customHeight="false" outlineLevel="0" collapsed="false">
      <c r="A298" s="1" t="s">
        <v>7</v>
      </c>
      <c r="B298" s="1" t="n">
        <v>19</v>
      </c>
      <c r="C298" s="1" t="n">
        <v>7</v>
      </c>
      <c r="D298" s="1" t="s">
        <v>207</v>
      </c>
      <c r="E298" s="1" t="s">
        <v>198</v>
      </c>
      <c r="F298" s="1" t="n">
        <v>3510</v>
      </c>
      <c r="G298" s="4" t="n">
        <v>0</v>
      </c>
      <c r="H298" s="1" t="s">
        <v>309</v>
      </c>
      <c r="I298" s="4" t="n">
        <v>1</v>
      </c>
      <c r="J298" s="1" t="str">
        <f aca="false">_xlfn.CONCAT("с",F298," ",D298,"/",E298,IF(G298=0,"","-" &amp; G298))</f>
        <v>с3510 ВС/3а</v>
      </c>
    </row>
    <row r="299" customFormat="false" ht="12.8" hidden="false" customHeight="false" outlineLevel="0" collapsed="false">
      <c r="A299" s="1" t="s">
        <v>7</v>
      </c>
      <c r="B299" s="1" t="n">
        <v>19</v>
      </c>
      <c r="C299" s="1" t="n">
        <v>8</v>
      </c>
      <c r="D299" s="1" t="s">
        <v>198</v>
      </c>
      <c r="E299" s="1" t="s">
        <v>208</v>
      </c>
      <c r="F299" s="1" t="n">
        <v>3510</v>
      </c>
      <c r="G299" s="4" t="n">
        <v>0</v>
      </c>
      <c r="H299" s="1" t="s">
        <v>310</v>
      </c>
      <c r="I299" s="4" t="n">
        <v>1</v>
      </c>
      <c r="J299" s="1" t="str">
        <f aca="false">_xlfn.CONCAT("с",F299," ",D299,"/",E299,IF(G299=0,"","-" &amp; G299))</f>
        <v>с3510 3а/СН</v>
      </c>
    </row>
    <row r="300" customFormat="false" ht="12.8" hidden="false" customHeight="false" outlineLevel="0" collapsed="false">
      <c r="A300" s="1" t="s">
        <v>7</v>
      </c>
      <c r="B300" s="1" t="n">
        <v>19</v>
      </c>
      <c r="C300" s="1" t="n">
        <v>9</v>
      </c>
      <c r="D300" s="1" t="s">
        <v>208</v>
      </c>
      <c r="E300" s="1" t="s">
        <v>206</v>
      </c>
      <c r="F300" s="1" t="n">
        <v>3510</v>
      </c>
      <c r="G300" s="4" t="n">
        <v>0</v>
      </c>
      <c r="H300" s="1" t="s">
        <v>311</v>
      </c>
      <c r="I300" s="4" t="n">
        <v>1</v>
      </c>
      <c r="J300" s="1" t="str">
        <f aca="false">_xlfn.CONCAT("с",F300," ",D300,"/",E300,IF(G300=0,"","-" &amp; G300))</f>
        <v>с3510 СН/Тип 10</v>
      </c>
    </row>
    <row r="301" customFormat="false" ht="12.8" hidden="false" customHeight="false" outlineLevel="0" collapsed="false">
      <c r="A301" s="1" t="s">
        <v>7</v>
      </c>
      <c r="B301" s="1" t="n">
        <v>19</v>
      </c>
      <c r="C301" s="1" t="n">
        <v>10</v>
      </c>
      <c r="D301" s="1" t="s">
        <v>206</v>
      </c>
      <c r="E301" s="1" t="s">
        <v>207</v>
      </c>
      <c r="F301" s="1" t="n">
        <v>3510</v>
      </c>
      <c r="G301" s="4" t="n">
        <v>0</v>
      </c>
      <c r="H301" s="1" t="s">
        <v>308</v>
      </c>
      <c r="I301" s="4" t="n">
        <v>1</v>
      </c>
      <c r="J301" s="1" t="str">
        <f aca="false">_xlfn.CONCAT("с",F301," ",D301,"/",E301,IF(G301=0,"","-" &amp; G301))</f>
        <v>с3510 Тип 10/ВС</v>
      </c>
    </row>
    <row r="302" customFormat="false" ht="12.8" hidden="false" customHeight="false" outlineLevel="0" collapsed="false">
      <c r="A302" s="1" t="s">
        <v>7</v>
      </c>
      <c r="B302" s="1" t="n">
        <v>19</v>
      </c>
      <c r="C302" s="1" t="n">
        <v>11</v>
      </c>
      <c r="D302" s="1" t="s">
        <v>207</v>
      </c>
      <c r="E302" s="1" t="s">
        <v>198</v>
      </c>
      <c r="F302" s="1" t="n">
        <v>3510</v>
      </c>
      <c r="G302" s="4" t="n">
        <v>0</v>
      </c>
      <c r="H302" s="1" t="s">
        <v>309</v>
      </c>
      <c r="I302" s="4" t="n">
        <v>1</v>
      </c>
      <c r="J302" s="1" t="str">
        <f aca="false">_xlfn.CONCAT("с",F302," ",D302,"/",E302,IF(G302=0,"","-" &amp; G302))</f>
        <v>с3510 ВС/3а</v>
      </c>
    </row>
    <row r="303" customFormat="false" ht="12.8" hidden="false" customHeight="false" outlineLevel="0" collapsed="false">
      <c r="A303" s="1" t="s">
        <v>7</v>
      </c>
      <c r="B303" s="1" t="n">
        <v>19</v>
      </c>
      <c r="C303" s="1" t="n">
        <v>12</v>
      </c>
      <c r="D303" s="1" t="s">
        <v>198</v>
      </c>
      <c r="E303" s="1" t="s">
        <v>208</v>
      </c>
      <c r="F303" s="1" t="n">
        <v>3510</v>
      </c>
      <c r="G303" s="4" t="n">
        <v>0</v>
      </c>
      <c r="H303" s="1" t="s">
        <v>310</v>
      </c>
      <c r="I303" s="4" t="n">
        <v>1</v>
      </c>
      <c r="J303" s="1" t="str">
        <f aca="false">_xlfn.CONCAT("с",F303," ",D303,"/",E303,IF(G303=0,"","-" &amp; G303))</f>
        <v>с3510 3а/СН</v>
      </c>
    </row>
    <row r="304" customFormat="false" ht="12.8" hidden="false" customHeight="false" outlineLevel="0" collapsed="false">
      <c r="A304" s="1" t="s">
        <v>7</v>
      </c>
      <c r="B304" s="1" t="n">
        <v>19</v>
      </c>
      <c r="C304" s="1" t="n">
        <v>13</v>
      </c>
      <c r="D304" s="1" t="s">
        <v>208</v>
      </c>
      <c r="E304" s="1" t="s">
        <v>206</v>
      </c>
      <c r="F304" s="1" t="n">
        <v>3510</v>
      </c>
      <c r="G304" s="4" t="n">
        <v>0</v>
      </c>
      <c r="H304" s="1" t="s">
        <v>311</v>
      </c>
      <c r="I304" s="4" t="n">
        <v>1</v>
      </c>
      <c r="J304" s="1" t="str">
        <f aca="false">_xlfn.CONCAT("с",F304," ",D304,"/",E304,IF(G304=0,"","-" &amp; G304))</f>
        <v>с3510 СН/Тип 10</v>
      </c>
    </row>
    <row r="305" customFormat="false" ht="12.8" hidden="false" customHeight="false" outlineLevel="0" collapsed="false">
      <c r="A305" s="1" t="s">
        <v>7</v>
      </c>
      <c r="B305" s="1" t="n">
        <v>19</v>
      </c>
      <c r="C305" s="1" t="n">
        <v>14</v>
      </c>
      <c r="D305" s="1" t="s">
        <v>206</v>
      </c>
      <c r="E305" s="1" t="s">
        <v>207</v>
      </c>
      <c r="F305" s="1" t="n">
        <v>3510</v>
      </c>
      <c r="G305" s="4" t="n">
        <v>0</v>
      </c>
      <c r="H305" s="1" t="s">
        <v>308</v>
      </c>
      <c r="I305" s="4" t="n">
        <v>1</v>
      </c>
      <c r="J305" s="1" t="str">
        <f aca="false">_xlfn.CONCAT("с",F305," ",D305,"/",E305,IF(G305=0,"","-" &amp; G305))</f>
        <v>с3510 Тип 10/ВС</v>
      </c>
    </row>
    <row r="306" customFormat="false" ht="12.8" hidden="false" customHeight="false" outlineLevel="0" collapsed="false">
      <c r="A306" s="1" t="s">
        <v>7</v>
      </c>
      <c r="B306" s="1" t="n">
        <v>19</v>
      </c>
      <c r="C306" s="1" t="n">
        <v>15</v>
      </c>
      <c r="D306" s="1" t="s">
        <v>207</v>
      </c>
      <c r="E306" s="1" t="s">
        <v>198</v>
      </c>
      <c r="F306" s="1" t="n">
        <v>3510</v>
      </c>
      <c r="G306" s="4" t="n">
        <v>1</v>
      </c>
      <c r="H306" s="1" t="s">
        <v>356</v>
      </c>
      <c r="I306" s="4" t="n">
        <v>1</v>
      </c>
      <c r="J306" s="1" t="str">
        <f aca="false">_xlfn.CONCAT("с",F306," ",D306,"/",E306,IF(G306=0,"","-" &amp; G306))</f>
        <v>с3510 ВС/3а-1</v>
      </c>
    </row>
    <row r="307" customFormat="false" ht="12.8" hidden="false" customHeight="false" outlineLevel="0" collapsed="false">
      <c r="A307" s="1" t="s">
        <v>7</v>
      </c>
      <c r="B307" s="1" t="n">
        <v>19</v>
      </c>
      <c r="C307" s="1" t="n">
        <v>16</v>
      </c>
      <c r="D307" s="1" t="s">
        <v>198</v>
      </c>
      <c r="E307" s="1" t="s">
        <v>206</v>
      </c>
      <c r="F307" s="1" t="n">
        <v>3510</v>
      </c>
      <c r="G307" s="4" t="n">
        <v>0</v>
      </c>
      <c r="H307" s="1" t="s">
        <v>318</v>
      </c>
      <c r="I307" s="4" t="n">
        <v>1</v>
      </c>
      <c r="J307" s="1" t="str">
        <f aca="false">_xlfn.CONCAT("с",F307," ",D307,"/",E307,IF(G307=0,"","-" &amp; G307))</f>
        <v>с3510 3а/Тип 10</v>
      </c>
    </row>
    <row r="308" customFormat="false" ht="12.8" hidden="false" customHeight="false" outlineLevel="0" collapsed="false">
      <c r="A308" s="1" t="s">
        <v>7</v>
      </c>
      <c r="B308" s="1" t="n">
        <v>19</v>
      </c>
      <c r="C308" s="1" t="n">
        <v>17</v>
      </c>
      <c r="D308" s="1" t="s">
        <v>206</v>
      </c>
      <c r="E308" s="1" t="s">
        <v>208</v>
      </c>
      <c r="F308" s="1" t="n">
        <v>3510</v>
      </c>
      <c r="G308" s="4" t="n">
        <v>0</v>
      </c>
      <c r="H308" s="1" t="s">
        <v>314</v>
      </c>
      <c r="I308" s="4" t="n">
        <v>1</v>
      </c>
      <c r="J308" s="1" t="str">
        <f aca="false">_xlfn.CONCAT("с",F308," ",D308,"/",E308,IF(G308=0,"","-" &amp; G308))</f>
        <v>с3510 Тип 10/СН</v>
      </c>
    </row>
    <row r="309" customFormat="false" ht="12.8" hidden="false" customHeight="false" outlineLevel="0" collapsed="false">
      <c r="A309" s="1" t="s">
        <v>7</v>
      </c>
      <c r="B309" s="1" t="n">
        <v>19</v>
      </c>
      <c r="C309" s="1" t="n">
        <v>18</v>
      </c>
      <c r="D309" s="1" t="s">
        <v>208</v>
      </c>
      <c r="E309" s="1" t="s">
        <v>207</v>
      </c>
      <c r="F309" s="1" t="n">
        <v>3510</v>
      </c>
      <c r="G309" s="4" t="n">
        <v>0</v>
      </c>
      <c r="H309" s="1" t="s">
        <v>315</v>
      </c>
      <c r="I309" s="4" t="n">
        <v>1</v>
      </c>
      <c r="J309" s="1" t="str">
        <f aca="false">_xlfn.CONCAT("с",F309," ",D309,"/",E309,IF(G309=0,"","-" &amp; G309))</f>
        <v>с3510 СН/ВС</v>
      </c>
    </row>
    <row r="310" customFormat="false" ht="12.8" hidden="false" customHeight="false" outlineLevel="0" collapsed="false">
      <c r="A310" s="1" t="s">
        <v>7</v>
      </c>
      <c r="B310" s="1" t="n">
        <v>19</v>
      </c>
      <c r="C310" s="1" t="n">
        <v>19</v>
      </c>
      <c r="D310" s="1" t="s">
        <v>207</v>
      </c>
      <c r="E310" s="1" t="s">
        <v>198</v>
      </c>
      <c r="F310" s="1" t="n">
        <v>3510</v>
      </c>
      <c r="G310" s="4" t="n">
        <v>0</v>
      </c>
      <c r="H310" s="1" t="s">
        <v>309</v>
      </c>
      <c r="I310" s="4" t="n">
        <v>1</v>
      </c>
      <c r="J310" s="1" t="str">
        <f aca="false">_xlfn.CONCAT("с",F310," ",D310,"/",E310,IF(G310=0,"","-" &amp; G310))</f>
        <v>с3510 ВС/3а</v>
      </c>
    </row>
    <row r="311" customFormat="false" ht="12.8" hidden="false" customHeight="false" outlineLevel="0" collapsed="false">
      <c r="A311" s="1" t="s">
        <v>7</v>
      </c>
      <c r="B311" s="1" t="n">
        <v>19</v>
      </c>
      <c r="C311" s="1" t="n">
        <v>20</v>
      </c>
      <c r="D311" s="1" t="s">
        <v>198</v>
      </c>
      <c r="E311" s="1" t="s">
        <v>206</v>
      </c>
      <c r="F311" s="1" t="n">
        <v>3510</v>
      </c>
      <c r="G311" s="4" t="n">
        <v>0</v>
      </c>
      <c r="H311" s="1" t="s">
        <v>318</v>
      </c>
      <c r="I311" s="4" t="n">
        <v>1</v>
      </c>
      <c r="J311" s="1" t="str">
        <f aca="false">_xlfn.CONCAT("с",F311," ",D311,"/",E311,IF(G311=0,"","-" &amp; G311))</f>
        <v>с3510 3а/Тип 10</v>
      </c>
    </row>
    <row r="312" customFormat="false" ht="12.8" hidden="false" customHeight="false" outlineLevel="0" collapsed="false">
      <c r="A312" s="1" t="s">
        <v>7</v>
      </c>
      <c r="B312" s="1" t="n">
        <v>19</v>
      </c>
      <c r="C312" s="1" t="n">
        <v>21</v>
      </c>
      <c r="D312" s="1" t="s">
        <v>206</v>
      </c>
      <c r="E312" s="1" t="s">
        <v>208</v>
      </c>
      <c r="F312" s="1" t="n">
        <v>3510</v>
      </c>
      <c r="G312" s="4" t="n">
        <v>0</v>
      </c>
      <c r="H312" s="1" t="s">
        <v>314</v>
      </c>
      <c r="I312" s="4" t="n">
        <v>1</v>
      </c>
      <c r="J312" s="1" t="str">
        <f aca="false">_xlfn.CONCAT("с",F312," ",D312,"/",E312,IF(G312=0,"","-" &amp; G312))</f>
        <v>с3510 Тип 10/СН</v>
      </c>
    </row>
    <row r="313" customFormat="false" ht="12.8" hidden="false" customHeight="false" outlineLevel="0" collapsed="false">
      <c r="A313" s="1" t="s">
        <v>7</v>
      </c>
      <c r="B313" s="1" t="n">
        <v>19</v>
      </c>
      <c r="C313" s="1" t="n">
        <v>22</v>
      </c>
      <c r="D313" s="1" t="s">
        <v>208</v>
      </c>
      <c r="E313" s="1" t="s">
        <v>207</v>
      </c>
      <c r="F313" s="1" t="n">
        <v>3510</v>
      </c>
      <c r="G313" s="4" t="n">
        <v>0</v>
      </c>
      <c r="H313" s="1" t="s">
        <v>315</v>
      </c>
      <c r="I313" s="4" t="n">
        <v>1</v>
      </c>
      <c r="J313" s="1" t="str">
        <f aca="false">_xlfn.CONCAT("с",F313," ",D313,"/",E313,IF(G313=0,"","-" &amp; G313))</f>
        <v>с3510 СН/ВС</v>
      </c>
    </row>
    <row r="314" customFormat="false" ht="12.8" hidden="false" customHeight="false" outlineLevel="0" collapsed="false">
      <c r="A314" s="1" t="s">
        <v>7</v>
      </c>
      <c r="B314" s="1" t="n">
        <v>19</v>
      </c>
      <c r="C314" s="1" t="n">
        <v>23</v>
      </c>
      <c r="D314" s="1" t="s">
        <v>207</v>
      </c>
      <c r="E314" s="1" t="s">
        <v>198</v>
      </c>
      <c r="F314" s="1" t="n">
        <v>3510</v>
      </c>
      <c r="G314" s="4" t="n">
        <v>0</v>
      </c>
      <c r="H314" s="1" t="s">
        <v>309</v>
      </c>
      <c r="I314" s="4" t="n">
        <v>1</v>
      </c>
      <c r="J314" s="1" t="str">
        <f aca="false">_xlfn.CONCAT("с",F314," ",D314,"/",E314,IF(G314=0,"","-" &amp; G314))</f>
        <v>с3510 ВС/3а</v>
      </c>
    </row>
    <row r="315" customFormat="false" ht="12.8" hidden="false" customHeight="false" outlineLevel="0" collapsed="false">
      <c r="A315" s="1" t="s">
        <v>7</v>
      </c>
      <c r="B315" s="1" t="n">
        <v>19</v>
      </c>
      <c r="C315" s="1" t="n">
        <v>24</v>
      </c>
      <c r="D315" s="1" t="s">
        <v>198</v>
      </c>
      <c r="E315" s="1" t="s">
        <v>206</v>
      </c>
      <c r="F315" s="1" t="n">
        <v>3510</v>
      </c>
      <c r="G315" s="4" t="n">
        <v>0</v>
      </c>
      <c r="H315" s="1" t="s">
        <v>318</v>
      </c>
      <c r="I315" s="4" t="n">
        <v>1</v>
      </c>
      <c r="J315" s="1" t="str">
        <f aca="false">_xlfn.CONCAT("с",F315," ",D315,"/",E315,IF(G315=0,"","-" &amp; G315))</f>
        <v>с3510 3а/Тип 10</v>
      </c>
    </row>
    <row r="316" customFormat="false" ht="12.8" hidden="false" customHeight="false" outlineLevel="0" collapsed="false">
      <c r="A316" s="1" t="s">
        <v>7</v>
      </c>
      <c r="B316" s="1" t="n">
        <v>19</v>
      </c>
      <c r="C316" s="1" t="n">
        <v>25</v>
      </c>
      <c r="D316" s="1" t="s">
        <v>206</v>
      </c>
      <c r="E316" s="1" t="s">
        <v>208</v>
      </c>
      <c r="F316" s="1" t="n">
        <v>3510</v>
      </c>
      <c r="G316" s="4" t="n">
        <v>0</v>
      </c>
      <c r="H316" s="1" t="s">
        <v>314</v>
      </c>
      <c r="I316" s="4" t="n">
        <v>1</v>
      </c>
      <c r="J316" s="1" t="str">
        <f aca="false">_xlfn.CONCAT("с",F316," ",D316,"/",E316,IF(G316=0,"","-" &amp; G316))</f>
        <v>с3510 Тип 10/СН</v>
      </c>
    </row>
    <row r="317" customFormat="false" ht="12.8" hidden="false" customHeight="false" outlineLevel="0" collapsed="false">
      <c r="A317" s="1" t="s">
        <v>7</v>
      </c>
      <c r="B317" s="1" t="n">
        <v>19</v>
      </c>
      <c r="C317" s="1" t="n">
        <v>26</v>
      </c>
      <c r="D317" s="1" t="s">
        <v>208</v>
      </c>
      <c r="E317" s="1" t="s">
        <v>207</v>
      </c>
      <c r="F317" s="1" t="n">
        <v>3510</v>
      </c>
      <c r="G317" s="4" t="n">
        <v>0</v>
      </c>
      <c r="H317" s="1" t="s">
        <v>315</v>
      </c>
      <c r="I317" s="4" t="n">
        <v>1</v>
      </c>
      <c r="J317" s="1" t="str">
        <f aca="false">_xlfn.CONCAT("с",F317," ",D317,"/",E317,IF(G317=0,"","-" &amp; G317))</f>
        <v>с3510 СН/ВС</v>
      </c>
    </row>
    <row r="318" customFormat="false" ht="12.8" hidden="false" customHeight="false" outlineLevel="0" collapsed="false">
      <c r="A318" s="1" t="s">
        <v>7</v>
      </c>
      <c r="B318" s="1" t="n">
        <v>19</v>
      </c>
      <c r="C318" s="1" t="n">
        <v>27</v>
      </c>
      <c r="D318" s="1" t="s">
        <v>207</v>
      </c>
      <c r="E318" s="1" t="s">
        <v>198</v>
      </c>
      <c r="F318" s="1" t="n">
        <v>3510</v>
      </c>
      <c r="G318" s="4" t="n">
        <v>0</v>
      </c>
      <c r="H318" s="1" t="s">
        <v>309</v>
      </c>
      <c r="I318" s="4" t="n">
        <v>1</v>
      </c>
      <c r="J318" s="1" t="str">
        <f aca="false">_xlfn.CONCAT("с",F318," ",D318,"/",E318,IF(G318=0,"","-" &amp; G318))</f>
        <v>с3510 ВС/3а</v>
      </c>
    </row>
    <row r="319" customFormat="false" ht="12.8" hidden="false" customHeight="false" outlineLevel="0" collapsed="false">
      <c r="A319" s="1" t="s">
        <v>7</v>
      </c>
      <c r="B319" s="1" t="n">
        <v>19</v>
      </c>
      <c r="C319" s="1" t="n">
        <v>28</v>
      </c>
      <c r="D319" s="1" t="s">
        <v>198</v>
      </c>
      <c r="E319" s="1" t="s">
        <v>206</v>
      </c>
      <c r="F319" s="1" t="n">
        <v>3510</v>
      </c>
      <c r="G319" s="4" t="n">
        <v>0</v>
      </c>
      <c r="H319" s="1" t="s">
        <v>318</v>
      </c>
      <c r="I319" s="4" t="n">
        <v>1</v>
      </c>
      <c r="J319" s="1" t="str">
        <f aca="false">_xlfn.CONCAT("с",F319," ",D319,"/",E319,IF(G319=0,"","-" &amp; G319))</f>
        <v>с3510 3а/Тип 10</v>
      </c>
    </row>
    <row r="320" customFormat="false" ht="12.8" hidden="false" customHeight="false" outlineLevel="0" collapsed="false">
      <c r="A320" s="1" t="s">
        <v>7</v>
      </c>
      <c r="B320" s="1" t="n">
        <v>19</v>
      </c>
      <c r="C320" s="1" t="n">
        <v>29</v>
      </c>
      <c r="D320" s="1" t="s">
        <v>206</v>
      </c>
      <c r="E320" s="1" t="s">
        <v>210</v>
      </c>
      <c r="F320" s="1" t="n">
        <v>3510</v>
      </c>
      <c r="G320" s="4" t="n">
        <v>0</v>
      </c>
      <c r="H320" s="1" t="s">
        <v>319</v>
      </c>
      <c r="I320" s="4" t="n">
        <v>1</v>
      </c>
      <c r="J320" s="1" t="str">
        <f aca="false">_xlfn.CONCAT("с",F320," ",D320,"/",E320,IF(G320=0,"","-" &amp; G320))</f>
        <v>с3510 Тип 10/Лист 1 мм</v>
      </c>
    </row>
    <row r="321" customFormat="false" ht="12.8" hidden="false" customHeight="false" outlineLevel="0" collapsed="false">
      <c r="A321" s="1" t="s">
        <v>7</v>
      </c>
      <c r="B321" s="1" t="n">
        <v>20</v>
      </c>
      <c r="C321" s="1" t="n">
        <v>1</v>
      </c>
      <c r="D321" s="1" t="s">
        <v>210</v>
      </c>
      <c r="E321" s="1" t="s">
        <v>206</v>
      </c>
      <c r="F321" s="1" t="n">
        <v>3350</v>
      </c>
      <c r="G321" s="4" t="n">
        <v>1</v>
      </c>
      <c r="H321" s="1" t="s">
        <v>320</v>
      </c>
      <c r="I321" s="4" t="n">
        <v>1</v>
      </c>
      <c r="J321" s="1" t="str">
        <f aca="false">_xlfn.CONCAT("с",F321," ",D321,"/",E321,IF(G321=0,"","-" &amp; G321))</f>
        <v>с3350 Лист 1 мм/Тип 10-1</v>
      </c>
    </row>
    <row r="322" customFormat="false" ht="12.8" hidden="false" customHeight="false" outlineLevel="0" collapsed="false">
      <c r="A322" s="1" t="s">
        <v>7</v>
      </c>
      <c r="B322" s="1" t="n">
        <v>20</v>
      </c>
      <c r="C322" s="1" t="n">
        <v>2</v>
      </c>
      <c r="D322" s="1" t="s">
        <v>206</v>
      </c>
      <c r="E322" s="1" t="s">
        <v>198</v>
      </c>
      <c r="F322" s="1" t="n">
        <v>3350</v>
      </c>
      <c r="G322" s="4" t="n">
        <v>1</v>
      </c>
      <c r="H322" s="1" t="s">
        <v>321</v>
      </c>
      <c r="I322" s="4" t="n">
        <v>1</v>
      </c>
      <c r="J322" s="1" t="str">
        <f aca="false">_xlfn.CONCAT("с",F322," ",D322,"/",E322,IF(G322=0,"","-" &amp; G322))</f>
        <v>с3350 Тип 10/3а-1</v>
      </c>
    </row>
    <row r="323" customFormat="false" ht="12.8" hidden="false" customHeight="false" outlineLevel="0" collapsed="false">
      <c r="A323" s="1" t="s">
        <v>7</v>
      </c>
      <c r="B323" s="1" t="n">
        <v>20</v>
      </c>
      <c r="C323" s="1" t="n">
        <v>3</v>
      </c>
      <c r="D323" s="1" t="s">
        <v>198</v>
      </c>
      <c r="E323" s="1" t="s">
        <v>207</v>
      </c>
      <c r="F323" s="1" t="n">
        <v>3350</v>
      </c>
      <c r="G323" s="4" t="n">
        <v>1</v>
      </c>
      <c r="H323" s="1" t="s">
        <v>322</v>
      </c>
      <c r="I323" s="4" t="n">
        <v>1</v>
      </c>
      <c r="J323" s="1" t="str">
        <f aca="false">_xlfn.CONCAT("с",F323," ",D323,"/",E323,IF(G323=0,"","-" &amp; G323))</f>
        <v>с3350 3а/ВС-1</v>
      </c>
    </row>
    <row r="324" customFormat="false" ht="12.8" hidden="false" customHeight="false" outlineLevel="0" collapsed="false">
      <c r="A324" s="1" t="s">
        <v>7</v>
      </c>
      <c r="B324" s="1" t="n">
        <v>20</v>
      </c>
      <c r="C324" s="1" t="n">
        <v>4</v>
      </c>
      <c r="D324" s="1" t="s">
        <v>207</v>
      </c>
      <c r="E324" s="1" t="s">
        <v>208</v>
      </c>
      <c r="F324" s="1" t="n">
        <v>3350</v>
      </c>
      <c r="G324" s="4" t="n">
        <v>1</v>
      </c>
      <c r="H324" s="1" t="s">
        <v>323</v>
      </c>
      <c r="I324" s="4" t="n">
        <v>1</v>
      </c>
      <c r="J324" s="1" t="str">
        <f aca="false">_xlfn.CONCAT("с",F324," ",D324,"/",E324,IF(G324=0,"","-" &amp; G324))</f>
        <v>с3350 ВС/СН-1</v>
      </c>
    </row>
    <row r="325" customFormat="false" ht="12.8" hidden="false" customHeight="false" outlineLevel="0" collapsed="false">
      <c r="A325" s="1" t="s">
        <v>7</v>
      </c>
      <c r="B325" s="1" t="n">
        <v>20</v>
      </c>
      <c r="C325" s="1" t="n">
        <v>5</v>
      </c>
      <c r="D325" s="1" t="s">
        <v>208</v>
      </c>
      <c r="E325" s="1" t="s">
        <v>206</v>
      </c>
      <c r="F325" s="1" t="n">
        <v>3350</v>
      </c>
      <c r="G325" s="4" t="n">
        <v>1</v>
      </c>
      <c r="H325" s="1" t="s">
        <v>324</v>
      </c>
      <c r="I325" s="4" t="n">
        <v>1</v>
      </c>
      <c r="J325" s="1" t="str">
        <f aca="false">_xlfn.CONCAT("с",F325," ",D325,"/",E325,IF(G325=0,"","-" &amp; G325))</f>
        <v>с3350 СН/Тип 10-1</v>
      </c>
    </row>
    <row r="326" customFormat="false" ht="12.8" hidden="false" customHeight="false" outlineLevel="0" collapsed="false">
      <c r="A326" s="1" t="s">
        <v>7</v>
      </c>
      <c r="B326" s="1" t="n">
        <v>20</v>
      </c>
      <c r="C326" s="1" t="n">
        <v>6</v>
      </c>
      <c r="D326" s="1" t="s">
        <v>206</v>
      </c>
      <c r="E326" s="1" t="s">
        <v>198</v>
      </c>
      <c r="F326" s="1" t="n">
        <v>3350</v>
      </c>
      <c r="G326" s="4" t="n">
        <v>1</v>
      </c>
      <c r="H326" s="1" t="s">
        <v>321</v>
      </c>
      <c r="I326" s="4" t="n">
        <v>1</v>
      </c>
      <c r="J326" s="1" t="str">
        <f aca="false">_xlfn.CONCAT("с",F326," ",D326,"/",E326,IF(G326=0,"","-" &amp; G326))</f>
        <v>с3350 Тип 10/3а-1</v>
      </c>
    </row>
    <row r="327" customFormat="false" ht="12.8" hidden="false" customHeight="false" outlineLevel="0" collapsed="false">
      <c r="A327" s="1" t="s">
        <v>7</v>
      </c>
      <c r="B327" s="1" t="n">
        <v>20</v>
      </c>
      <c r="C327" s="1" t="n">
        <v>7</v>
      </c>
      <c r="D327" s="1" t="s">
        <v>198</v>
      </c>
      <c r="E327" s="1" t="s">
        <v>207</v>
      </c>
      <c r="F327" s="1" t="n">
        <v>3350</v>
      </c>
      <c r="G327" s="4" t="n">
        <v>1</v>
      </c>
      <c r="H327" s="1" t="s">
        <v>322</v>
      </c>
      <c r="I327" s="4" t="n">
        <v>1</v>
      </c>
      <c r="J327" s="1" t="str">
        <f aca="false">_xlfn.CONCAT("с",F327," ",D327,"/",E327,IF(G327=0,"","-" &amp; G327))</f>
        <v>с3350 3а/ВС-1</v>
      </c>
    </row>
    <row r="328" customFormat="false" ht="12.8" hidden="false" customHeight="false" outlineLevel="0" collapsed="false">
      <c r="A328" s="1" t="s">
        <v>7</v>
      </c>
      <c r="B328" s="1" t="n">
        <v>20</v>
      </c>
      <c r="C328" s="1" t="n">
        <v>8</v>
      </c>
      <c r="D328" s="1" t="s">
        <v>207</v>
      </c>
      <c r="E328" s="1" t="s">
        <v>208</v>
      </c>
      <c r="F328" s="1" t="n">
        <v>3350</v>
      </c>
      <c r="G328" s="4" t="n">
        <v>1</v>
      </c>
      <c r="H328" s="1" t="s">
        <v>323</v>
      </c>
      <c r="I328" s="4" t="n">
        <v>1</v>
      </c>
      <c r="J328" s="1" t="str">
        <f aca="false">_xlfn.CONCAT("с",F328," ",D328,"/",E328,IF(G328=0,"","-" &amp; G328))</f>
        <v>с3350 ВС/СН-1</v>
      </c>
    </row>
    <row r="329" customFormat="false" ht="12.8" hidden="false" customHeight="false" outlineLevel="0" collapsed="false">
      <c r="A329" s="1" t="s">
        <v>7</v>
      </c>
      <c r="B329" s="1" t="n">
        <v>20</v>
      </c>
      <c r="C329" s="1" t="n">
        <v>9</v>
      </c>
      <c r="D329" s="1" t="s">
        <v>208</v>
      </c>
      <c r="E329" s="1" t="s">
        <v>206</v>
      </c>
      <c r="F329" s="1" t="n">
        <v>3350</v>
      </c>
      <c r="G329" s="4" t="n">
        <v>1</v>
      </c>
      <c r="H329" s="1" t="s">
        <v>324</v>
      </c>
      <c r="I329" s="4" t="n">
        <v>1</v>
      </c>
      <c r="J329" s="1" t="str">
        <f aca="false">_xlfn.CONCAT("с",F329," ",D329,"/",E329,IF(G329=0,"","-" &amp; G329))</f>
        <v>с3350 СН/Тип 10-1</v>
      </c>
    </row>
    <row r="330" customFormat="false" ht="12.8" hidden="false" customHeight="false" outlineLevel="0" collapsed="false">
      <c r="A330" s="1" t="s">
        <v>7</v>
      </c>
      <c r="B330" s="1" t="n">
        <v>20</v>
      </c>
      <c r="C330" s="1" t="n">
        <v>10</v>
      </c>
      <c r="D330" s="1" t="s">
        <v>206</v>
      </c>
      <c r="E330" s="1" t="s">
        <v>198</v>
      </c>
      <c r="F330" s="1" t="n">
        <v>3350</v>
      </c>
      <c r="G330" s="4" t="n">
        <v>1</v>
      </c>
      <c r="H330" s="1" t="s">
        <v>321</v>
      </c>
      <c r="I330" s="4" t="n">
        <v>1</v>
      </c>
      <c r="J330" s="1" t="str">
        <f aca="false">_xlfn.CONCAT("с",F330," ",D330,"/",E330,IF(G330=0,"","-" &amp; G330))</f>
        <v>с3350 Тип 10/3а-1</v>
      </c>
    </row>
    <row r="331" customFormat="false" ht="12.8" hidden="false" customHeight="false" outlineLevel="0" collapsed="false">
      <c r="A331" s="1" t="s">
        <v>7</v>
      </c>
      <c r="B331" s="1" t="n">
        <v>20</v>
      </c>
      <c r="C331" s="1" t="n">
        <v>11</v>
      </c>
      <c r="D331" s="1" t="s">
        <v>198</v>
      </c>
      <c r="E331" s="1" t="s">
        <v>207</v>
      </c>
      <c r="F331" s="1" t="n">
        <v>3350</v>
      </c>
      <c r="G331" s="4" t="n">
        <v>1</v>
      </c>
      <c r="H331" s="1" t="s">
        <v>322</v>
      </c>
      <c r="I331" s="4" t="n">
        <v>1</v>
      </c>
      <c r="J331" s="1" t="str">
        <f aca="false">_xlfn.CONCAT("с",F331," ",D331,"/",E331,IF(G331=0,"","-" &amp; G331))</f>
        <v>с3350 3а/ВС-1</v>
      </c>
    </row>
    <row r="332" customFormat="false" ht="12.8" hidden="false" customHeight="false" outlineLevel="0" collapsed="false">
      <c r="A332" s="1" t="s">
        <v>7</v>
      </c>
      <c r="B332" s="1" t="n">
        <v>20</v>
      </c>
      <c r="C332" s="1" t="n">
        <v>12</v>
      </c>
      <c r="D332" s="1" t="s">
        <v>207</v>
      </c>
      <c r="E332" s="1" t="s">
        <v>208</v>
      </c>
      <c r="F332" s="1" t="n">
        <v>3350</v>
      </c>
      <c r="G332" s="4" t="n">
        <v>1</v>
      </c>
      <c r="H332" s="1" t="s">
        <v>323</v>
      </c>
      <c r="I332" s="4" t="n">
        <v>1</v>
      </c>
      <c r="J332" s="1" t="str">
        <f aca="false">_xlfn.CONCAT("с",F332," ",D332,"/",E332,IF(G332=0,"","-" &amp; G332))</f>
        <v>с3350 ВС/СН-1</v>
      </c>
    </row>
    <row r="333" customFormat="false" ht="12.8" hidden="false" customHeight="false" outlineLevel="0" collapsed="false">
      <c r="A333" s="1" t="s">
        <v>7</v>
      </c>
      <c r="B333" s="1" t="n">
        <v>20</v>
      </c>
      <c r="C333" s="1" t="n">
        <v>13</v>
      </c>
      <c r="D333" s="1" t="s">
        <v>208</v>
      </c>
      <c r="E333" s="1" t="s">
        <v>206</v>
      </c>
      <c r="F333" s="1" t="n">
        <v>3350</v>
      </c>
      <c r="G333" s="4" t="n">
        <v>1</v>
      </c>
      <c r="H333" s="1" t="s">
        <v>324</v>
      </c>
      <c r="I333" s="4" t="n">
        <v>1</v>
      </c>
      <c r="J333" s="1" t="str">
        <f aca="false">_xlfn.CONCAT("с",F333," ",D333,"/",E333,IF(G333=0,"","-" &amp; G333))</f>
        <v>с3350 СН/Тип 10-1</v>
      </c>
    </row>
    <row r="334" customFormat="false" ht="12.8" hidden="false" customHeight="false" outlineLevel="0" collapsed="false">
      <c r="A334" s="1" t="s">
        <v>7</v>
      </c>
      <c r="B334" s="1" t="n">
        <v>20</v>
      </c>
      <c r="C334" s="1" t="n">
        <v>14</v>
      </c>
      <c r="D334" s="1" t="s">
        <v>206</v>
      </c>
      <c r="E334" s="1" t="s">
        <v>198</v>
      </c>
      <c r="F334" s="1" t="n">
        <v>3350</v>
      </c>
      <c r="G334" s="4" t="n">
        <v>2</v>
      </c>
      <c r="H334" s="1" t="s">
        <v>357</v>
      </c>
      <c r="I334" s="4" t="n">
        <v>1</v>
      </c>
      <c r="J334" s="1" t="str">
        <f aca="false">_xlfn.CONCAT("с",F334," ",D334,"/",E334,IF(G334=0,"","-" &amp; G334))</f>
        <v>с3350 Тип 10/3а-2</v>
      </c>
    </row>
    <row r="335" customFormat="false" ht="12.8" hidden="false" customHeight="false" outlineLevel="0" collapsed="false">
      <c r="A335" s="1" t="s">
        <v>7</v>
      </c>
      <c r="B335" s="1" t="n">
        <v>20</v>
      </c>
      <c r="C335" s="1" t="n">
        <v>15</v>
      </c>
      <c r="D335" s="1" t="s">
        <v>198</v>
      </c>
      <c r="E335" s="1" t="s">
        <v>207</v>
      </c>
      <c r="F335" s="1" t="n">
        <v>3350</v>
      </c>
      <c r="G335" s="4" t="n">
        <v>2</v>
      </c>
      <c r="H335" s="1" t="s">
        <v>358</v>
      </c>
      <c r="I335" s="4" t="n">
        <v>1</v>
      </c>
      <c r="J335" s="1" t="str">
        <f aca="false">_xlfn.CONCAT("с",F335," ",D335,"/",E335,IF(G335=0,"","-" &amp; G335))</f>
        <v>с3350 3а/ВС-2</v>
      </c>
    </row>
    <row r="336" customFormat="false" ht="12.8" hidden="false" customHeight="false" outlineLevel="0" collapsed="false">
      <c r="A336" s="1" t="s">
        <v>7</v>
      </c>
      <c r="B336" s="1" t="n">
        <v>20</v>
      </c>
      <c r="C336" s="1" t="n">
        <v>16</v>
      </c>
      <c r="D336" s="1" t="s">
        <v>207</v>
      </c>
      <c r="E336" s="1" t="s">
        <v>206</v>
      </c>
      <c r="F336" s="1" t="n">
        <v>3350</v>
      </c>
      <c r="G336" s="4" t="n">
        <v>1</v>
      </c>
      <c r="H336" s="1" t="s">
        <v>327</v>
      </c>
      <c r="I336" s="4" t="n">
        <v>1</v>
      </c>
      <c r="J336" s="1" t="str">
        <f aca="false">_xlfn.CONCAT("с",F336," ",D336,"/",E336,IF(G336=0,"","-" &amp; G336))</f>
        <v>с3350 ВС/Тип 10-1</v>
      </c>
    </row>
    <row r="337" customFormat="false" ht="12.8" hidden="false" customHeight="false" outlineLevel="0" collapsed="false">
      <c r="A337" s="1" t="s">
        <v>7</v>
      </c>
      <c r="B337" s="1" t="n">
        <v>20</v>
      </c>
      <c r="C337" s="1" t="n">
        <v>17</v>
      </c>
      <c r="D337" s="1" t="s">
        <v>206</v>
      </c>
      <c r="E337" s="1" t="s">
        <v>208</v>
      </c>
      <c r="F337" s="1" t="n">
        <v>3350</v>
      </c>
      <c r="G337" s="4" t="n">
        <v>1</v>
      </c>
      <c r="H337" s="1" t="s">
        <v>328</v>
      </c>
      <c r="I337" s="4" t="n">
        <v>1</v>
      </c>
      <c r="J337" s="1" t="str">
        <f aca="false">_xlfn.CONCAT("с",F337," ",D337,"/",E337,IF(G337=0,"","-" &amp; G337))</f>
        <v>с3350 Тип 10/СН-1</v>
      </c>
    </row>
    <row r="338" customFormat="false" ht="12.8" hidden="false" customHeight="false" outlineLevel="0" collapsed="false">
      <c r="A338" s="1" t="s">
        <v>7</v>
      </c>
      <c r="B338" s="1" t="n">
        <v>20</v>
      </c>
      <c r="C338" s="1" t="n">
        <v>18</v>
      </c>
      <c r="D338" s="1" t="s">
        <v>208</v>
      </c>
      <c r="E338" s="1" t="s">
        <v>198</v>
      </c>
      <c r="F338" s="1" t="n">
        <v>3350</v>
      </c>
      <c r="G338" s="4" t="n">
        <v>1</v>
      </c>
      <c r="H338" s="1" t="s">
        <v>331</v>
      </c>
      <c r="I338" s="4" t="n">
        <v>1</v>
      </c>
      <c r="J338" s="1" t="str">
        <f aca="false">_xlfn.CONCAT("с",F338," ",D338,"/",E338,IF(G338=0,"","-" &amp; G338))</f>
        <v>с3350 СН/3а-1</v>
      </c>
    </row>
    <row r="339" customFormat="false" ht="12.8" hidden="false" customHeight="false" outlineLevel="0" collapsed="false">
      <c r="A339" s="1" t="s">
        <v>7</v>
      </c>
      <c r="B339" s="1" t="n">
        <v>20</v>
      </c>
      <c r="C339" s="1" t="n">
        <v>19</v>
      </c>
      <c r="D339" s="1" t="s">
        <v>198</v>
      </c>
      <c r="E339" s="1" t="s">
        <v>207</v>
      </c>
      <c r="F339" s="1" t="n">
        <v>3350</v>
      </c>
      <c r="G339" s="4" t="n">
        <v>1</v>
      </c>
      <c r="H339" s="1" t="s">
        <v>322</v>
      </c>
      <c r="I339" s="4" t="n">
        <v>1</v>
      </c>
      <c r="J339" s="1" t="str">
        <f aca="false">_xlfn.CONCAT("с",F339," ",D339,"/",E339,IF(G339=0,"","-" &amp; G339))</f>
        <v>с3350 3а/ВС-1</v>
      </c>
    </row>
    <row r="340" customFormat="false" ht="12.8" hidden="false" customHeight="false" outlineLevel="0" collapsed="false">
      <c r="A340" s="1" t="s">
        <v>7</v>
      </c>
      <c r="B340" s="1" t="n">
        <v>20</v>
      </c>
      <c r="C340" s="1" t="n">
        <v>20</v>
      </c>
      <c r="D340" s="1" t="s">
        <v>207</v>
      </c>
      <c r="E340" s="1" t="s">
        <v>206</v>
      </c>
      <c r="F340" s="1" t="n">
        <v>3350</v>
      </c>
      <c r="G340" s="4" t="n">
        <v>1</v>
      </c>
      <c r="H340" s="1" t="s">
        <v>327</v>
      </c>
      <c r="I340" s="4" t="n">
        <v>1</v>
      </c>
      <c r="J340" s="1" t="str">
        <f aca="false">_xlfn.CONCAT("с",F340," ",D340,"/",E340,IF(G340=0,"","-" &amp; G340))</f>
        <v>с3350 ВС/Тип 10-1</v>
      </c>
    </row>
    <row r="341" customFormat="false" ht="12.8" hidden="false" customHeight="false" outlineLevel="0" collapsed="false">
      <c r="A341" s="1" t="s">
        <v>7</v>
      </c>
      <c r="B341" s="1" t="n">
        <v>20</v>
      </c>
      <c r="C341" s="1" t="n">
        <v>21</v>
      </c>
      <c r="D341" s="1" t="s">
        <v>206</v>
      </c>
      <c r="E341" s="1" t="s">
        <v>208</v>
      </c>
      <c r="F341" s="1" t="n">
        <v>3350</v>
      </c>
      <c r="G341" s="4" t="n">
        <v>1</v>
      </c>
      <c r="H341" s="1" t="s">
        <v>328</v>
      </c>
      <c r="I341" s="4" t="n">
        <v>1</v>
      </c>
      <c r="J341" s="1" t="str">
        <f aca="false">_xlfn.CONCAT("с",F341," ",D341,"/",E341,IF(G341=0,"","-" &amp; G341))</f>
        <v>с3350 Тип 10/СН-1</v>
      </c>
    </row>
    <row r="342" customFormat="false" ht="12.8" hidden="false" customHeight="false" outlineLevel="0" collapsed="false">
      <c r="A342" s="1" t="s">
        <v>7</v>
      </c>
      <c r="B342" s="1" t="n">
        <v>20</v>
      </c>
      <c r="C342" s="1" t="n">
        <v>22</v>
      </c>
      <c r="D342" s="1" t="s">
        <v>208</v>
      </c>
      <c r="E342" s="1" t="s">
        <v>198</v>
      </c>
      <c r="F342" s="1" t="n">
        <v>3350</v>
      </c>
      <c r="G342" s="4" t="n">
        <v>1</v>
      </c>
      <c r="H342" s="1" t="s">
        <v>331</v>
      </c>
      <c r="I342" s="4" t="n">
        <v>1</v>
      </c>
      <c r="J342" s="1" t="str">
        <f aca="false">_xlfn.CONCAT("с",F342," ",D342,"/",E342,IF(G342=0,"","-" &amp; G342))</f>
        <v>с3350 СН/3а-1</v>
      </c>
    </row>
    <row r="343" customFormat="false" ht="12.8" hidden="false" customHeight="false" outlineLevel="0" collapsed="false">
      <c r="A343" s="1" t="s">
        <v>7</v>
      </c>
      <c r="B343" s="1" t="n">
        <v>20</v>
      </c>
      <c r="C343" s="1" t="n">
        <v>23</v>
      </c>
      <c r="D343" s="1" t="s">
        <v>198</v>
      </c>
      <c r="E343" s="1" t="s">
        <v>207</v>
      </c>
      <c r="F343" s="1" t="n">
        <v>3350</v>
      </c>
      <c r="G343" s="4" t="n">
        <v>1</v>
      </c>
      <c r="H343" s="1" t="s">
        <v>322</v>
      </c>
      <c r="I343" s="4" t="n">
        <v>1</v>
      </c>
      <c r="J343" s="1" t="str">
        <f aca="false">_xlfn.CONCAT("с",F343," ",D343,"/",E343,IF(G343=0,"","-" &amp; G343))</f>
        <v>с3350 3а/ВС-1</v>
      </c>
    </row>
    <row r="344" customFormat="false" ht="12.8" hidden="false" customHeight="false" outlineLevel="0" collapsed="false">
      <c r="A344" s="1" t="s">
        <v>7</v>
      </c>
      <c r="B344" s="1" t="n">
        <v>20</v>
      </c>
      <c r="C344" s="1" t="n">
        <v>24</v>
      </c>
      <c r="D344" s="1" t="s">
        <v>207</v>
      </c>
      <c r="E344" s="1" t="s">
        <v>206</v>
      </c>
      <c r="F344" s="1" t="n">
        <v>3350</v>
      </c>
      <c r="G344" s="4" t="n">
        <v>1</v>
      </c>
      <c r="H344" s="1" t="s">
        <v>327</v>
      </c>
      <c r="I344" s="4" t="n">
        <v>1</v>
      </c>
      <c r="J344" s="1" t="str">
        <f aca="false">_xlfn.CONCAT("с",F344," ",D344,"/",E344,IF(G344=0,"","-" &amp; G344))</f>
        <v>с3350 ВС/Тип 10-1</v>
      </c>
    </row>
    <row r="345" customFormat="false" ht="12.8" hidden="false" customHeight="false" outlineLevel="0" collapsed="false">
      <c r="A345" s="1" t="s">
        <v>7</v>
      </c>
      <c r="B345" s="1" t="n">
        <v>20</v>
      </c>
      <c r="C345" s="1" t="n">
        <v>25</v>
      </c>
      <c r="D345" s="1" t="s">
        <v>206</v>
      </c>
      <c r="E345" s="1" t="s">
        <v>208</v>
      </c>
      <c r="F345" s="1" t="n">
        <v>3350</v>
      </c>
      <c r="G345" s="4" t="n">
        <v>1</v>
      </c>
      <c r="H345" s="1" t="s">
        <v>328</v>
      </c>
      <c r="I345" s="4" t="n">
        <v>1</v>
      </c>
      <c r="J345" s="1" t="str">
        <f aca="false">_xlfn.CONCAT("с",F345," ",D345,"/",E345,IF(G345=0,"","-" &amp; G345))</f>
        <v>с3350 Тип 10/СН-1</v>
      </c>
    </row>
    <row r="346" customFormat="false" ht="12.8" hidden="false" customHeight="false" outlineLevel="0" collapsed="false">
      <c r="A346" s="1" t="s">
        <v>7</v>
      </c>
      <c r="B346" s="1" t="n">
        <v>20</v>
      </c>
      <c r="C346" s="1" t="n">
        <v>26</v>
      </c>
      <c r="D346" s="1" t="s">
        <v>208</v>
      </c>
      <c r="E346" s="1" t="s">
        <v>198</v>
      </c>
      <c r="F346" s="1" t="n">
        <v>3350</v>
      </c>
      <c r="G346" s="4" t="n">
        <v>1</v>
      </c>
      <c r="H346" s="1" t="s">
        <v>331</v>
      </c>
      <c r="I346" s="4" t="n">
        <v>1</v>
      </c>
      <c r="J346" s="1" t="str">
        <f aca="false">_xlfn.CONCAT("с",F346," ",D346,"/",E346,IF(G346=0,"","-" &amp; G346))</f>
        <v>с3350 СН/3а-1</v>
      </c>
    </row>
    <row r="347" customFormat="false" ht="12.8" hidden="false" customHeight="false" outlineLevel="0" collapsed="false">
      <c r="A347" s="1" t="s">
        <v>7</v>
      </c>
      <c r="B347" s="1" t="n">
        <v>20</v>
      </c>
      <c r="C347" s="1" t="n">
        <v>27</v>
      </c>
      <c r="D347" s="1" t="s">
        <v>198</v>
      </c>
      <c r="E347" s="1" t="s">
        <v>207</v>
      </c>
      <c r="F347" s="1" t="n">
        <v>3350</v>
      </c>
      <c r="G347" s="4" t="n">
        <v>1</v>
      </c>
      <c r="H347" s="1" t="s">
        <v>322</v>
      </c>
      <c r="I347" s="4" t="n">
        <v>1</v>
      </c>
      <c r="J347" s="1" t="str">
        <f aca="false">_xlfn.CONCAT("с",F347," ",D347,"/",E347,IF(G347=0,"","-" &amp; G347))</f>
        <v>с3350 3а/ВС-1</v>
      </c>
    </row>
    <row r="348" customFormat="false" ht="12.8" hidden="false" customHeight="false" outlineLevel="0" collapsed="false">
      <c r="A348" s="1" t="s">
        <v>7</v>
      </c>
      <c r="B348" s="1" t="n">
        <v>20</v>
      </c>
      <c r="C348" s="1" t="n">
        <v>28</v>
      </c>
      <c r="D348" s="1" t="s">
        <v>207</v>
      </c>
      <c r="E348" s="1" t="s">
        <v>206</v>
      </c>
      <c r="F348" s="1" t="n">
        <v>3350</v>
      </c>
      <c r="G348" s="4" t="n">
        <v>1</v>
      </c>
      <c r="H348" s="1" t="s">
        <v>327</v>
      </c>
      <c r="I348" s="4" t="n">
        <v>1</v>
      </c>
      <c r="J348" s="1" t="str">
        <f aca="false">_xlfn.CONCAT("с",F348," ",D348,"/",E348,IF(G348=0,"","-" &amp; G348))</f>
        <v>с3350 ВС/Тип 10-1</v>
      </c>
    </row>
    <row r="349" customFormat="false" ht="12.8" hidden="false" customHeight="false" outlineLevel="0" collapsed="false">
      <c r="A349" s="1" t="s">
        <v>7</v>
      </c>
      <c r="B349" s="1" t="n">
        <v>20</v>
      </c>
      <c r="C349" s="1" t="n">
        <v>29</v>
      </c>
      <c r="D349" s="1" t="s">
        <v>206</v>
      </c>
      <c r="E349" s="1" t="s">
        <v>210</v>
      </c>
      <c r="F349" s="1" t="n">
        <v>3350</v>
      </c>
      <c r="G349" s="4" t="n">
        <v>1</v>
      </c>
      <c r="H349" s="1" t="s">
        <v>332</v>
      </c>
      <c r="I349" s="4" t="n">
        <v>1</v>
      </c>
      <c r="J349" s="1" t="str">
        <f aca="false">_xlfn.CONCAT("с",F349," ",D349,"/",E349,IF(G349=0,"","-" &amp; G349))</f>
        <v>с3350 Тип 10/Лист 1 мм-1</v>
      </c>
    </row>
    <row r="350" customFormat="false" ht="12.8" hidden="false" customHeight="false" outlineLevel="0" collapsed="false">
      <c r="A350" s="1" t="s">
        <v>7</v>
      </c>
      <c r="B350" s="1" t="n">
        <v>57</v>
      </c>
      <c r="C350" s="1" t="n">
        <v>1</v>
      </c>
      <c r="D350" s="1" t="s">
        <v>210</v>
      </c>
      <c r="E350" s="1" t="s">
        <v>204</v>
      </c>
      <c r="F350" s="1" t="n">
        <v>5360</v>
      </c>
      <c r="G350" s="4" t="n">
        <v>0</v>
      </c>
      <c r="H350" s="1" t="s">
        <v>333</v>
      </c>
      <c r="I350" s="4" t="n">
        <v>1</v>
      </c>
      <c r="J350" s="1" t="str">
        <f aca="false">_xlfn.CONCAT("с",F350," ",D350,"/",E350,IF(G350=0,"","-" &amp; G350))</f>
        <v>с5360 Лист 1 мм/Тип 8</v>
      </c>
    </row>
    <row r="351" customFormat="false" ht="12.8" hidden="false" customHeight="false" outlineLevel="0" collapsed="false">
      <c r="A351" s="1" t="s">
        <v>7</v>
      </c>
      <c r="B351" s="1" t="n">
        <v>57</v>
      </c>
      <c r="C351" s="1" t="n">
        <v>2</v>
      </c>
      <c r="D351" s="1" t="s">
        <v>204</v>
      </c>
      <c r="E351" s="1" t="s">
        <v>207</v>
      </c>
      <c r="F351" s="1" t="n">
        <v>5360</v>
      </c>
      <c r="G351" s="4" t="n">
        <v>0</v>
      </c>
      <c r="H351" s="1" t="s">
        <v>334</v>
      </c>
      <c r="I351" s="4" t="n">
        <v>1</v>
      </c>
      <c r="J351" s="1" t="str">
        <f aca="false">_xlfn.CONCAT("с",F351," ",D351,"/",E351,IF(G351=0,"","-" &amp; G351))</f>
        <v>с5360 Тип 8/ВС</v>
      </c>
    </row>
    <row r="352" customFormat="false" ht="12.8" hidden="false" customHeight="false" outlineLevel="0" collapsed="false">
      <c r="A352" s="1" t="s">
        <v>7</v>
      </c>
      <c r="B352" s="1" t="n">
        <v>57</v>
      </c>
      <c r="C352" s="1" t="n">
        <v>3</v>
      </c>
      <c r="D352" s="1" t="s">
        <v>207</v>
      </c>
      <c r="E352" s="1" t="s">
        <v>198</v>
      </c>
      <c r="F352" s="1" t="n">
        <v>5360</v>
      </c>
      <c r="G352" s="4" t="n">
        <v>0</v>
      </c>
      <c r="H352" s="1" t="s">
        <v>335</v>
      </c>
      <c r="I352" s="4" t="n">
        <v>1</v>
      </c>
      <c r="J352" s="1" t="str">
        <f aca="false">_xlfn.CONCAT("с",F352," ",D352,"/",E352,IF(G352=0,"","-" &amp; G352))</f>
        <v>с5360 ВС/3а</v>
      </c>
    </row>
    <row r="353" customFormat="false" ht="12.8" hidden="false" customHeight="false" outlineLevel="0" collapsed="false">
      <c r="A353" s="1" t="s">
        <v>7</v>
      </c>
      <c r="B353" s="1" t="n">
        <v>57</v>
      </c>
      <c r="C353" s="1" t="n">
        <v>4</v>
      </c>
      <c r="D353" s="1" t="s">
        <v>198</v>
      </c>
      <c r="E353" s="1" t="s">
        <v>208</v>
      </c>
      <c r="F353" s="1" t="n">
        <v>5360</v>
      </c>
      <c r="G353" s="4" t="n">
        <v>0</v>
      </c>
      <c r="H353" s="1" t="s">
        <v>336</v>
      </c>
      <c r="I353" s="4" t="n">
        <v>1</v>
      </c>
      <c r="J353" s="1" t="str">
        <f aca="false">_xlfn.CONCAT("с",F353," ",D353,"/",E353,IF(G353=0,"","-" &amp; G353))</f>
        <v>с5360 3а/СН</v>
      </c>
    </row>
    <row r="354" customFormat="false" ht="12.8" hidden="false" customHeight="false" outlineLevel="0" collapsed="false">
      <c r="A354" s="1" t="s">
        <v>7</v>
      </c>
      <c r="B354" s="1" t="n">
        <v>57</v>
      </c>
      <c r="C354" s="1" t="n">
        <v>5</v>
      </c>
      <c r="D354" s="1" t="s">
        <v>208</v>
      </c>
      <c r="E354" s="1" t="s">
        <v>204</v>
      </c>
      <c r="F354" s="1" t="n">
        <v>5360</v>
      </c>
      <c r="G354" s="4" t="n">
        <v>0</v>
      </c>
      <c r="H354" s="1" t="s">
        <v>337</v>
      </c>
      <c r="I354" s="4" t="n">
        <v>1</v>
      </c>
      <c r="J354" s="1" t="str">
        <f aca="false">_xlfn.CONCAT("с",F354," ",D354,"/",E354,IF(G354=0,"","-" &amp; G354))</f>
        <v>с5360 СН/Тип 8</v>
      </c>
    </row>
    <row r="355" customFormat="false" ht="12.8" hidden="false" customHeight="false" outlineLevel="0" collapsed="false">
      <c r="A355" s="1" t="s">
        <v>7</v>
      </c>
      <c r="B355" s="1" t="n">
        <v>57</v>
      </c>
      <c r="C355" s="1" t="n">
        <v>6</v>
      </c>
      <c r="D355" s="1" t="s">
        <v>204</v>
      </c>
      <c r="E355" s="1" t="s">
        <v>207</v>
      </c>
      <c r="F355" s="1" t="n">
        <v>5360</v>
      </c>
      <c r="G355" s="4" t="n">
        <v>0</v>
      </c>
      <c r="H355" s="1" t="s">
        <v>334</v>
      </c>
      <c r="I355" s="4" t="n">
        <v>1</v>
      </c>
      <c r="J355" s="1" t="str">
        <f aca="false">_xlfn.CONCAT("с",F355," ",D355,"/",E355,IF(G355=0,"","-" &amp; G355))</f>
        <v>с5360 Тип 8/ВС</v>
      </c>
    </row>
    <row r="356" customFormat="false" ht="12.8" hidden="false" customHeight="false" outlineLevel="0" collapsed="false">
      <c r="A356" s="1" t="s">
        <v>7</v>
      </c>
      <c r="B356" s="1" t="n">
        <v>57</v>
      </c>
      <c r="C356" s="1" t="n">
        <v>7</v>
      </c>
      <c r="D356" s="1" t="s">
        <v>207</v>
      </c>
      <c r="E356" s="1" t="s">
        <v>198</v>
      </c>
      <c r="F356" s="1" t="n">
        <v>5360</v>
      </c>
      <c r="G356" s="4" t="n">
        <v>0</v>
      </c>
      <c r="H356" s="1" t="s">
        <v>335</v>
      </c>
      <c r="I356" s="4" t="n">
        <v>1</v>
      </c>
      <c r="J356" s="1" t="str">
        <f aca="false">_xlfn.CONCAT("с",F356," ",D356,"/",E356,IF(G356=0,"","-" &amp; G356))</f>
        <v>с5360 ВС/3а</v>
      </c>
    </row>
    <row r="357" customFormat="false" ht="12.8" hidden="false" customHeight="false" outlineLevel="0" collapsed="false">
      <c r="A357" s="1" t="s">
        <v>7</v>
      </c>
      <c r="B357" s="1" t="n">
        <v>57</v>
      </c>
      <c r="C357" s="1" t="n">
        <v>8</v>
      </c>
      <c r="D357" s="1" t="s">
        <v>198</v>
      </c>
      <c r="E357" s="1" t="s">
        <v>208</v>
      </c>
      <c r="F357" s="1" t="n">
        <v>5360</v>
      </c>
      <c r="G357" s="4" t="n">
        <v>0</v>
      </c>
      <c r="H357" s="1" t="s">
        <v>336</v>
      </c>
      <c r="I357" s="4" t="n">
        <v>1</v>
      </c>
      <c r="J357" s="1" t="str">
        <f aca="false">_xlfn.CONCAT("с",F357," ",D357,"/",E357,IF(G357=0,"","-" &amp; G357))</f>
        <v>с5360 3а/СН</v>
      </c>
    </row>
    <row r="358" customFormat="false" ht="12.8" hidden="false" customHeight="false" outlineLevel="0" collapsed="false">
      <c r="A358" s="1" t="s">
        <v>7</v>
      </c>
      <c r="B358" s="1" t="n">
        <v>57</v>
      </c>
      <c r="C358" s="1" t="n">
        <v>9</v>
      </c>
      <c r="D358" s="1" t="s">
        <v>208</v>
      </c>
      <c r="E358" s="1" t="s">
        <v>204</v>
      </c>
      <c r="F358" s="1" t="n">
        <v>5360</v>
      </c>
      <c r="G358" s="4" t="n">
        <v>0</v>
      </c>
      <c r="H358" s="1" t="s">
        <v>337</v>
      </c>
      <c r="I358" s="4" t="n">
        <v>1</v>
      </c>
      <c r="J358" s="1" t="str">
        <f aca="false">_xlfn.CONCAT("с",F358," ",D358,"/",E358,IF(G358=0,"","-" &amp; G358))</f>
        <v>с5360 СН/Тип 8</v>
      </c>
    </row>
    <row r="359" customFormat="false" ht="12.8" hidden="false" customHeight="false" outlineLevel="0" collapsed="false">
      <c r="A359" s="1" t="s">
        <v>7</v>
      </c>
      <c r="B359" s="1" t="n">
        <v>57</v>
      </c>
      <c r="C359" s="1" t="n">
        <v>10</v>
      </c>
      <c r="D359" s="1" t="s">
        <v>204</v>
      </c>
      <c r="E359" s="1" t="s">
        <v>207</v>
      </c>
      <c r="F359" s="1" t="n">
        <v>5360</v>
      </c>
      <c r="G359" s="4" t="n">
        <v>0</v>
      </c>
      <c r="H359" s="1" t="s">
        <v>334</v>
      </c>
      <c r="I359" s="4" t="n">
        <v>1</v>
      </c>
      <c r="J359" s="1" t="str">
        <f aca="false">_xlfn.CONCAT("с",F359," ",D359,"/",E359,IF(G359=0,"","-" &amp; G359))</f>
        <v>с5360 Тип 8/ВС</v>
      </c>
    </row>
    <row r="360" customFormat="false" ht="12.8" hidden="false" customHeight="false" outlineLevel="0" collapsed="false">
      <c r="A360" s="1" t="s">
        <v>7</v>
      </c>
      <c r="B360" s="1" t="n">
        <v>57</v>
      </c>
      <c r="C360" s="1" t="n">
        <v>11</v>
      </c>
      <c r="D360" s="1" t="s">
        <v>207</v>
      </c>
      <c r="E360" s="1" t="s">
        <v>198</v>
      </c>
      <c r="F360" s="1" t="n">
        <v>5360</v>
      </c>
      <c r="G360" s="4" t="n">
        <v>0</v>
      </c>
      <c r="H360" s="1" t="s">
        <v>335</v>
      </c>
      <c r="I360" s="4" t="n">
        <v>1</v>
      </c>
      <c r="J360" s="1" t="str">
        <f aca="false">_xlfn.CONCAT("с",F360," ",D360,"/",E360,IF(G360=0,"","-" &amp; G360))</f>
        <v>с5360 ВС/3а</v>
      </c>
    </row>
    <row r="361" customFormat="false" ht="12.8" hidden="false" customHeight="false" outlineLevel="0" collapsed="false">
      <c r="A361" s="1" t="s">
        <v>7</v>
      </c>
      <c r="B361" s="1" t="n">
        <v>57</v>
      </c>
      <c r="C361" s="1" t="n">
        <v>12</v>
      </c>
      <c r="D361" s="1" t="s">
        <v>198</v>
      </c>
      <c r="E361" s="1" t="s">
        <v>208</v>
      </c>
      <c r="F361" s="1" t="n">
        <v>5360</v>
      </c>
      <c r="G361" s="4" t="n">
        <v>0</v>
      </c>
      <c r="H361" s="1" t="s">
        <v>336</v>
      </c>
      <c r="I361" s="4" t="n">
        <v>1</v>
      </c>
      <c r="J361" s="1" t="str">
        <f aca="false">_xlfn.CONCAT("с",F361," ",D361,"/",E361,IF(G361=0,"","-" &amp; G361))</f>
        <v>с5360 3а/СН</v>
      </c>
    </row>
    <row r="362" customFormat="false" ht="12.8" hidden="false" customHeight="false" outlineLevel="0" collapsed="false">
      <c r="A362" s="1" t="s">
        <v>7</v>
      </c>
      <c r="B362" s="1" t="n">
        <v>57</v>
      </c>
      <c r="C362" s="1" t="n">
        <v>13</v>
      </c>
      <c r="D362" s="1" t="s">
        <v>208</v>
      </c>
      <c r="E362" s="1" t="s">
        <v>204</v>
      </c>
      <c r="F362" s="1" t="n">
        <v>5360</v>
      </c>
      <c r="G362" s="4" t="n">
        <v>0</v>
      </c>
      <c r="H362" s="1" t="s">
        <v>337</v>
      </c>
      <c r="I362" s="4" t="n">
        <v>1</v>
      </c>
      <c r="J362" s="1" t="str">
        <f aca="false">_xlfn.CONCAT("с",F362," ",D362,"/",E362,IF(G362=0,"","-" &amp; G362))</f>
        <v>с5360 СН/Тип 8</v>
      </c>
    </row>
    <row r="363" customFormat="false" ht="12.8" hidden="false" customHeight="false" outlineLevel="0" collapsed="false">
      <c r="A363" s="1" t="s">
        <v>7</v>
      </c>
      <c r="B363" s="1" t="n">
        <v>57</v>
      </c>
      <c r="C363" s="1" t="n">
        <v>14</v>
      </c>
      <c r="D363" s="1" t="s">
        <v>204</v>
      </c>
      <c r="E363" s="1" t="s">
        <v>207</v>
      </c>
      <c r="F363" s="1" t="n">
        <v>5360</v>
      </c>
      <c r="G363" s="4" t="n">
        <v>0</v>
      </c>
      <c r="H363" s="1" t="s">
        <v>334</v>
      </c>
      <c r="I363" s="4" t="n">
        <v>1</v>
      </c>
      <c r="J363" s="1" t="str">
        <f aca="false">_xlfn.CONCAT("с",F363," ",D363,"/",E363,IF(G363=0,"","-" &amp; G363))</f>
        <v>с5360 Тип 8/ВС</v>
      </c>
    </row>
    <row r="364" customFormat="false" ht="12.8" hidden="false" customHeight="false" outlineLevel="0" collapsed="false">
      <c r="A364" s="1" t="s">
        <v>7</v>
      </c>
      <c r="B364" s="1" t="n">
        <v>57</v>
      </c>
      <c r="C364" s="1" t="n">
        <v>15</v>
      </c>
      <c r="D364" s="1" t="s">
        <v>207</v>
      </c>
      <c r="E364" s="1" t="s">
        <v>198</v>
      </c>
      <c r="F364" s="1" t="n">
        <v>5360</v>
      </c>
      <c r="G364" s="4" t="n">
        <v>1</v>
      </c>
      <c r="H364" s="1" t="s">
        <v>359</v>
      </c>
      <c r="I364" s="4" t="n">
        <v>1</v>
      </c>
      <c r="J364" s="1" t="str">
        <f aca="false">_xlfn.CONCAT("с",F364," ",D364,"/",E364,IF(G364=0,"","-" &amp; G364))</f>
        <v>с5360 ВС/3а-1</v>
      </c>
    </row>
    <row r="365" customFormat="false" ht="12.8" hidden="false" customHeight="false" outlineLevel="0" collapsed="false">
      <c r="A365" s="1" t="s">
        <v>7</v>
      </c>
      <c r="B365" s="1" t="n">
        <v>57</v>
      </c>
      <c r="C365" s="1" t="n">
        <v>16</v>
      </c>
      <c r="D365" s="1" t="s">
        <v>198</v>
      </c>
      <c r="E365" s="1" t="s">
        <v>204</v>
      </c>
      <c r="F365" s="1" t="n">
        <v>5360</v>
      </c>
      <c r="G365" s="4" t="n">
        <v>0</v>
      </c>
      <c r="H365" s="1" t="s">
        <v>345</v>
      </c>
      <c r="I365" s="4" t="n">
        <v>1</v>
      </c>
      <c r="J365" s="1" t="str">
        <f aca="false">_xlfn.CONCAT("с",F365," ",D365,"/",E365,IF(G365=0,"","-" &amp; G365))</f>
        <v>с5360 3а/Тип 8</v>
      </c>
    </row>
    <row r="366" customFormat="false" ht="12.8" hidden="false" customHeight="false" outlineLevel="0" collapsed="false">
      <c r="A366" s="1" t="s">
        <v>7</v>
      </c>
      <c r="B366" s="1" t="n">
        <v>57</v>
      </c>
      <c r="C366" s="1" t="n">
        <v>17</v>
      </c>
      <c r="D366" s="1" t="s">
        <v>204</v>
      </c>
      <c r="E366" s="1" t="s">
        <v>208</v>
      </c>
      <c r="F366" s="1" t="n">
        <v>5360</v>
      </c>
      <c r="G366" s="4" t="n">
        <v>0</v>
      </c>
      <c r="H366" s="1" t="s">
        <v>340</v>
      </c>
      <c r="I366" s="4" t="n">
        <v>1</v>
      </c>
      <c r="J366" s="1" t="str">
        <f aca="false">_xlfn.CONCAT("с",F366," ",D366,"/",E366,IF(G366=0,"","-" &amp; G366))</f>
        <v>с5360 Тип 8/СН</v>
      </c>
    </row>
    <row r="367" customFormat="false" ht="12.8" hidden="false" customHeight="false" outlineLevel="0" collapsed="false">
      <c r="A367" s="1" t="s">
        <v>7</v>
      </c>
      <c r="B367" s="1" t="n">
        <v>57</v>
      </c>
      <c r="C367" s="1" t="n">
        <v>18</v>
      </c>
      <c r="D367" s="1" t="s">
        <v>208</v>
      </c>
      <c r="E367" s="1" t="s">
        <v>207</v>
      </c>
      <c r="F367" s="1" t="n">
        <v>5360</v>
      </c>
      <c r="G367" s="4" t="n">
        <v>1</v>
      </c>
      <c r="H367" s="1" t="s">
        <v>344</v>
      </c>
      <c r="I367" s="4" t="n">
        <v>1</v>
      </c>
      <c r="J367" s="1" t="str">
        <f aca="false">_xlfn.CONCAT("с",F367," ",D367,"/",E367,IF(G367=0,"","-" &amp; G367))</f>
        <v>с5360 СН/ВС-1</v>
      </c>
    </row>
    <row r="368" customFormat="false" ht="12.8" hidden="false" customHeight="false" outlineLevel="0" collapsed="false">
      <c r="A368" s="1" t="s">
        <v>7</v>
      </c>
      <c r="B368" s="1" t="n">
        <v>57</v>
      </c>
      <c r="C368" s="1" t="n">
        <v>19</v>
      </c>
      <c r="D368" s="1" t="s">
        <v>207</v>
      </c>
      <c r="E368" s="1" t="s">
        <v>198</v>
      </c>
      <c r="F368" s="1" t="n">
        <v>5360</v>
      </c>
      <c r="G368" s="4" t="n">
        <v>0</v>
      </c>
      <c r="H368" s="1" t="s">
        <v>335</v>
      </c>
      <c r="I368" s="4" t="n">
        <v>1</v>
      </c>
      <c r="J368" s="1" t="str">
        <f aca="false">_xlfn.CONCAT("с",F368," ",D368,"/",E368,IF(G368=0,"","-" &amp; G368))</f>
        <v>с5360 ВС/3а</v>
      </c>
    </row>
    <row r="369" customFormat="false" ht="12.8" hidden="false" customHeight="false" outlineLevel="0" collapsed="false">
      <c r="A369" s="1" t="s">
        <v>7</v>
      </c>
      <c r="B369" s="1" t="n">
        <v>57</v>
      </c>
      <c r="C369" s="1" t="n">
        <v>20</v>
      </c>
      <c r="D369" s="1" t="s">
        <v>198</v>
      </c>
      <c r="E369" s="1" t="s">
        <v>204</v>
      </c>
      <c r="F369" s="1" t="n">
        <v>5360</v>
      </c>
      <c r="G369" s="4" t="n">
        <v>0</v>
      </c>
      <c r="H369" s="1" t="s">
        <v>345</v>
      </c>
      <c r="I369" s="4" t="n">
        <v>1</v>
      </c>
      <c r="J369" s="1" t="str">
        <f aca="false">_xlfn.CONCAT("с",F369," ",D369,"/",E369,IF(G369=0,"","-" &amp; G369))</f>
        <v>с5360 3а/Тип 8</v>
      </c>
    </row>
    <row r="370" customFormat="false" ht="12.8" hidden="false" customHeight="false" outlineLevel="0" collapsed="false">
      <c r="A370" s="1" t="s">
        <v>7</v>
      </c>
      <c r="B370" s="1" t="n">
        <v>57</v>
      </c>
      <c r="C370" s="1" t="n">
        <v>21</v>
      </c>
      <c r="D370" s="1" t="s">
        <v>204</v>
      </c>
      <c r="E370" s="1" t="s">
        <v>208</v>
      </c>
      <c r="F370" s="1" t="n">
        <v>5360</v>
      </c>
      <c r="G370" s="4" t="n">
        <v>0</v>
      </c>
      <c r="H370" s="1" t="s">
        <v>340</v>
      </c>
      <c r="I370" s="4" t="n">
        <v>1</v>
      </c>
      <c r="J370" s="1" t="str">
        <f aca="false">_xlfn.CONCAT("с",F370," ",D370,"/",E370,IF(G370=0,"","-" &amp; G370))</f>
        <v>с5360 Тип 8/СН</v>
      </c>
    </row>
    <row r="371" customFormat="false" ht="12.8" hidden="false" customHeight="false" outlineLevel="0" collapsed="false">
      <c r="A371" s="1" t="s">
        <v>7</v>
      </c>
      <c r="B371" s="1" t="n">
        <v>57</v>
      </c>
      <c r="C371" s="1" t="n">
        <v>22</v>
      </c>
      <c r="D371" s="1" t="s">
        <v>208</v>
      </c>
      <c r="E371" s="1" t="s">
        <v>207</v>
      </c>
      <c r="F371" s="1" t="n">
        <v>5360</v>
      </c>
      <c r="G371" s="4" t="n">
        <v>1</v>
      </c>
      <c r="H371" s="1" t="s">
        <v>344</v>
      </c>
      <c r="I371" s="4" t="n">
        <v>1</v>
      </c>
      <c r="J371" s="1" t="str">
        <f aca="false">_xlfn.CONCAT("с",F371," ",D371,"/",E371,IF(G371=0,"","-" &amp; G371))</f>
        <v>с5360 СН/ВС-1</v>
      </c>
    </row>
    <row r="372" customFormat="false" ht="12.8" hidden="false" customHeight="false" outlineLevel="0" collapsed="false">
      <c r="A372" s="1" t="s">
        <v>7</v>
      </c>
      <c r="B372" s="1" t="n">
        <v>57</v>
      </c>
      <c r="C372" s="1" t="n">
        <v>23</v>
      </c>
      <c r="D372" s="1" t="s">
        <v>207</v>
      </c>
      <c r="E372" s="1" t="s">
        <v>198</v>
      </c>
      <c r="F372" s="1" t="n">
        <v>5360</v>
      </c>
      <c r="G372" s="4" t="n">
        <v>0</v>
      </c>
      <c r="H372" s="1" t="s">
        <v>335</v>
      </c>
      <c r="I372" s="4" t="n">
        <v>1</v>
      </c>
      <c r="J372" s="1" t="str">
        <f aca="false">_xlfn.CONCAT("с",F372," ",D372,"/",E372,IF(G372=0,"","-" &amp; G372))</f>
        <v>с5360 ВС/3а</v>
      </c>
    </row>
    <row r="373" customFormat="false" ht="12.8" hidden="false" customHeight="false" outlineLevel="0" collapsed="false">
      <c r="A373" s="1" t="s">
        <v>7</v>
      </c>
      <c r="B373" s="1" t="n">
        <v>57</v>
      </c>
      <c r="C373" s="1" t="n">
        <v>24</v>
      </c>
      <c r="D373" s="1" t="s">
        <v>198</v>
      </c>
      <c r="E373" s="1" t="s">
        <v>204</v>
      </c>
      <c r="F373" s="1" t="n">
        <v>5360</v>
      </c>
      <c r="G373" s="4" t="n">
        <v>0</v>
      </c>
      <c r="H373" s="1" t="s">
        <v>345</v>
      </c>
      <c r="I373" s="4" t="n">
        <v>1</v>
      </c>
      <c r="J373" s="1" t="str">
        <f aca="false">_xlfn.CONCAT("с",F373," ",D373,"/",E373,IF(G373=0,"","-" &amp; G373))</f>
        <v>с5360 3а/Тип 8</v>
      </c>
    </row>
    <row r="374" customFormat="false" ht="12.8" hidden="false" customHeight="false" outlineLevel="0" collapsed="false">
      <c r="A374" s="1" t="s">
        <v>7</v>
      </c>
      <c r="B374" s="1" t="n">
        <v>57</v>
      </c>
      <c r="C374" s="1" t="n">
        <v>25</v>
      </c>
      <c r="D374" s="1" t="s">
        <v>204</v>
      </c>
      <c r="E374" s="1" t="s">
        <v>208</v>
      </c>
      <c r="F374" s="1" t="n">
        <v>5360</v>
      </c>
      <c r="G374" s="4" t="n">
        <v>0</v>
      </c>
      <c r="H374" s="1" t="s">
        <v>340</v>
      </c>
      <c r="I374" s="4" t="n">
        <v>1</v>
      </c>
      <c r="J374" s="1" t="str">
        <f aca="false">_xlfn.CONCAT("с",F374," ",D374,"/",E374,IF(G374=0,"","-" &amp; G374))</f>
        <v>с5360 Тип 8/СН</v>
      </c>
    </row>
    <row r="375" customFormat="false" ht="12.8" hidden="false" customHeight="false" outlineLevel="0" collapsed="false">
      <c r="A375" s="1" t="s">
        <v>7</v>
      </c>
      <c r="B375" s="1" t="n">
        <v>57</v>
      </c>
      <c r="C375" s="1" t="n">
        <v>26</v>
      </c>
      <c r="D375" s="1" t="s">
        <v>208</v>
      </c>
      <c r="E375" s="1" t="s">
        <v>207</v>
      </c>
      <c r="F375" s="1" t="n">
        <v>5360</v>
      </c>
      <c r="G375" s="4" t="n">
        <v>1</v>
      </c>
      <c r="H375" s="1" t="s">
        <v>344</v>
      </c>
      <c r="I375" s="4" t="n">
        <v>1</v>
      </c>
      <c r="J375" s="1" t="str">
        <f aca="false">_xlfn.CONCAT("с",F375," ",D375,"/",E375,IF(G375=0,"","-" &amp; G375))</f>
        <v>с5360 СН/ВС-1</v>
      </c>
    </row>
    <row r="376" customFormat="false" ht="12.8" hidden="false" customHeight="false" outlineLevel="0" collapsed="false">
      <c r="A376" s="1" t="s">
        <v>7</v>
      </c>
      <c r="B376" s="1" t="n">
        <v>57</v>
      </c>
      <c r="C376" s="1" t="n">
        <v>27</v>
      </c>
      <c r="D376" s="1" t="s">
        <v>207</v>
      </c>
      <c r="E376" s="1" t="s">
        <v>198</v>
      </c>
      <c r="F376" s="1" t="n">
        <v>5360</v>
      </c>
      <c r="G376" s="4" t="n">
        <v>0</v>
      </c>
      <c r="H376" s="1" t="s">
        <v>335</v>
      </c>
      <c r="I376" s="4" t="n">
        <v>1</v>
      </c>
      <c r="J376" s="1" t="str">
        <f aca="false">_xlfn.CONCAT("с",F376," ",D376,"/",E376,IF(G376=0,"","-" &amp; G376))</f>
        <v>с5360 ВС/3а</v>
      </c>
    </row>
    <row r="377" customFormat="false" ht="12.8" hidden="false" customHeight="false" outlineLevel="0" collapsed="false">
      <c r="A377" s="1" t="s">
        <v>7</v>
      </c>
      <c r="B377" s="1" t="n">
        <v>57</v>
      </c>
      <c r="C377" s="1" t="n">
        <v>28</v>
      </c>
      <c r="D377" s="1" t="s">
        <v>198</v>
      </c>
      <c r="E377" s="1" t="s">
        <v>204</v>
      </c>
      <c r="F377" s="1" t="n">
        <v>5360</v>
      </c>
      <c r="G377" s="4" t="n">
        <v>0</v>
      </c>
      <c r="H377" s="1" t="s">
        <v>345</v>
      </c>
      <c r="I377" s="4" t="n">
        <v>1</v>
      </c>
      <c r="J377" s="1" t="str">
        <f aca="false">_xlfn.CONCAT("с",F377," ",D377,"/",E377,IF(G377=0,"","-" &amp; G377))</f>
        <v>с5360 3а/Тип 8</v>
      </c>
    </row>
    <row r="378" customFormat="false" ht="12.8" hidden="false" customHeight="false" outlineLevel="0" collapsed="false">
      <c r="A378" s="1" t="s">
        <v>7</v>
      </c>
      <c r="B378" s="1" t="n">
        <v>57</v>
      </c>
      <c r="C378" s="1" t="n">
        <v>29</v>
      </c>
      <c r="D378" s="1" t="s">
        <v>204</v>
      </c>
      <c r="E378" s="1" t="s">
        <v>210</v>
      </c>
      <c r="F378" s="1" t="n">
        <v>5360</v>
      </c>
      <c r="G378" s="4" t="n">
        <v>0</v>
      </c>
      <c r="H378" s="1" t="s">
        <v>346</v>
      </c>
      <c r="I378" s="4" t="n">
        <v>1</v>
      </c>
      <c r="J378" s="1" t="str">
        <f aca="false">_xlfn.CONCAT("с",F378," ",D378,"/",E378,IF(G378=0,"","-" &amp; G378))</f>
        <v>с5360 Тип 8/Лист 1 мм</v>
      </c>
    </row>
    <row r="379" customFormat="false" ht="12.8" hidden="false" customHeight="false" outlineLevel="0" collapsed="false">
      <c r="A379" s="1" t="s">
        <v>8</v>
      </c>
      <c r="B379" s="1" t="n">
        <v>2</v>
      </c>
      <c r="C379" s="1" t="n">
        <v>1</v>
      </c>
      <c r="F379" s="1" t="n">
        <v>3350</v>
      </c>
      <c r="G379" s="4" t="n">
        <v>0</v>
      </c>
      <c r="H379" s="1" t="s">
        <v>360</v>
      </c>
      <c r="I379" s="4" t="n">
        <v>1</v>
      </c>
      <c r="J379" s="1" t="str">
        <f aca="false">_xlfn.CONCAT("с",F379," ",D379,"/",E379,IF(G379=0,"","-" &amp; G379))</f>
        <v>с3350 /</v>
      </c>
    </row>
    <row r="380" customFormat="false" ht="12.8" hidden="false" customHeight="false" outlineLevel="0" collapsed="false">
      <c r="A380" s="1" t="s">
        <v>8</v>
      </c>
      <c r="B380" s="1" t="n">
        <v>2</v>
      </c>
      <c r="C380" s="1" t="n">
        <v>2</v>
      </c>
      <c r="D380" s="1" t="s">
        <v>200</v>
      </c>
      <c r="E380" s="1" t="s">
        <v>211</v>
      </c>
      <c r="F380" s="1" t="n">
        <v>3350</v>
      </c>
      <c r="G380" s="4" t="n">
        <v>0</v>
      </c>
      <c r="H380" s="1" t="s">
        <v>361</v>
      </c>
      <c r="I380" s="4" t="n">
        <v>1</v>
      </c>
      <c r="J380" s="1" t="str">
        <f aca="false">_xlfn.CONCAT("с",F380," ",D380,"/",E380,IF(G380=0,"","-" &amp; G380))</f>
        <v>с3350 5а/ОК-1</v>
      </c>
    </row>
    <row r="381" customFormat="false" ht="12.8" hidden="false" customHeight="false" outlineLevel="0" collapsed="false">
      <c r="A381" s="1" t="s">
        <v>8</v>
      </c>
      <c r="B381" s="1" t="n">
        <v>2</v>
      </c>
      <c r="C381" s="1" t="n">
        <v>3</v>
      </c>
      <c r="D381" s="1" t="s">
        <v>211</v>
      </c>
      <c r="E381" s="1" t="s">
        <v>206</v>
      </c>
      <c r="F381" s="1" t="n">
        <v>3350</v>
      </c>
      <c r="G381" s="4" t="n">
        <v>0</v>
      </c>
      <c r="H381" s="1" t="s">
        <v>362</v>
      </c>
      <c r="I381" s="4" t="n">
        <v>1</v>
      </c>
      <c r="J381" s="1" t="str">
        <f aca="false">_xlfn.CONCAT("с",F381," ",D381,"/",E381,IF(G381=0,"","-" &amp; G381))</f>
        <v>с3350 ОК-1/Тип 10</v>
      </c>
    </row>
    <row r="382" customFormat="false" ht="12.8" hidden="false" customHeight="false" outlineLevel="0" collapsed="false">
      <c r="A382" s="1" t="s">
        <v>8</v>
      </c>
      <c r="B382" s="1" t="n">
        <v>2</v>
      </c>
      <c r="C382" s="1" t="n">
        <v>4</v>
      </c>
      <c r="D382" s="1" t="s">
        <v>206</v>
      </c>
      <c r="E382" s="1" t="s">
        <v>198</v>
      </c>
      <c r="F382" s="1" t="n">
        <v>3350</v>
      </c>
      <c r="G382" s="4" t="n">
        <v>3</v>
      </c>
      <c r="H382" s="1" t="s">
        <v>363</v>
      </c>
      <c r="I382" s="4" t="n">
        <v>1</v>
      </c>
      <c r="J382" s="1" t="str">
        <f aca="false">_xlfn.CONCAT("с",F382," ",D382,"/",E382,IF(G382=0,"","-" &amp; G382))</f>
        <v>с3350 Тип 10/3а-3</v>
      </c>
    </row>
    <row r="383" customFormat="false" ht="12.8" hidden="false" customHeight="false" outlineLevel="0" collapsed="false">
      <c r="A383" s="1" t="s">
        <v>8</v>
      </c>
      <c r="B383" s="1" t="n">
        <v>2</v>
      </c>
      <c r="C383" s="1" t="n">
        <v>5</v>
      </c>
      <c r="D383" s="1" t="s">
        <v>198</v>
      </c>
      <c r="E383" s="1" t="s">
        <v>211</v>
      </c>
      <c r="F383" s="1" t="n">
        <v>3350</v>
      </c>
      <c r="G383" s="4" t="n">
        <v>0</v>
      </c>
      <c r="H383" s="1" t="s">
        <v>364</v>
      </c>
      <c r="I383" s="4" t="n">
        <v>1</v>
      </c>
      <c r="J383" s="1" t="str">
        <f aca="false">_xlfn.CONCAT("с",F383," ",D383,"/",E383,IF(G383=0,"","-" &amp; G383))</f>
        <v>с3350 3а/ОК-1</v>
      </c>
    </row>
    <row r="384" customFormat="false" ht="12.8" hidden="false" customHeight="false" outlineLevel="0" collapsed="false">
      <c r="A384" s="1" t="s">
        <v>8</v>
      </c>
      <c r="B384" s="1" t="n">
        <v>2</v>
      </c>
      <c r="C384" s="1" t="n">
        <v>6</v>
      </c>
      <c r="D384" s="1" t="s">
        <v>211</v>
      </c>
      <c r="E384" s="1" t="s">
        <v>206</v>
      </c>
      <c r="F384" s="1" t="n">
        <v>3350</v>
      </c>
      <c r="G384" s="4" t="n">
        <v>0</v>
      </c>
      <c r="H384" s="1" t="s">
        <v>362</v>
      </c>
      <c r="I384" s="4" t="n">
        <v>1</v>
      </c>
      <c r="J384" s="1" t="str">
        <f aca="false">_xlfn.CONCAT("с",F384," ",D384,"/",E384,IF(G384=0,"","-" &amp; G384))</f>
        <v>с3350 ОК-1/Тип 10</v>
      </c>
    </row>
    <row r="385" customFormat="false" ht="12.8" hidden="false" customHeight="false" outlineLevel="0" collapsed="false">
      <c r="A385" s="1" t="s">
        <v>8</v>
      </c>
      <c r="B385" s="1" t="n">
        <v>2</v>
      </c>
      <c r="C385" s="1" t="n">
        <v>7</v>
      </c>
      <c r="D385" s="1" t="s">
        <v>206</v>
      </c>
      <c r="E385" s="1" t="s">
        <v>200</v>
      </c>
      <c r="F385" s="1" t="n">
        <v>3350</v>
      </c>
      <c r="G385" s="4" t="n">
        <v>2</v>
      </c>
      <c r="H385" s="1" t="s">
        <v>365</v>
      </c>
      <c r="I385" s="4" t="n">
        <v>1</v>
      </c>
      <c r="J385" s="1" t="str">
        <f aca="false">_xlfn.CONCAT("с",F385," ",D385,"/",E385,IF(G385=0,"","-" &amp; G385))</f>
        <v>с3350 Тип 10/5а-2</v>
      </c>
    </row>
    <row r="386" customFormat="false" ht="12.8" hidden="false" customHeight="false" outlineLevel="0" collapsed="false">
      <c r="A386" s="1" t="s">
        <v>8</v>
      </c>
      <c r="B386" s="1" t="n">
        <v>2</v>
      </c>
      <c r="C386" s="1" t="n">
        <v>8</v>
      </c>
      <c r="D386" s="1" t="s">
        <v>200</v>
      </c>
      <c r="E386" s="1" t="s">
        <v>211</v>
      </c>
      <c r="F386" s="1" t="n">
        <v>3350</v>
      </c>
      <c r="G386" s="4" t="n">
        <v>1</v>
      </c>
      <c r="H386" s="1" t="s">
        <v>366</v>
      </c>
      <c r="I386" s="4" t="n">
        <v>1</v>
      </c>
      <c r="J386" s="1" t="str">
        <f aca="false">_xlfn.CONCAT("с",F386," ",D386,"/",E386,IF(G386=0,"","-" &amp; G386))</f>
        <v>с3350 5а/ОК-1-1</v>
      </c>
    </row>
    <row r="387" customFormat="false" ht="12.8" hidden="false" customHeight="false" outlineLevel="0" collapsed="false">
      <c r="A387" s="1" t="s">
        <v>8</v>
      </c>
      <c r="B387" s="1" t="n">
        <v>2</v>
      </c>
      <c r="C387" s="1" t="n">
        <v>9</v>
      </c>
      <c r="D387" s="1" t="s">
        <v>211</v>
      </c>
      <c r="E387" s="1" t="s">
        <v>206</v>
      </c>
      <c r="F387" s="1" t="n">
        <v>3350</v>
      </c>
      <c r="G387" s="4" t="n">
        <v>0</v>
      </c>
      <c r="H387" s="1" t="s">
        <v>362</v>
      </c>
      <c r="I387" s="4" t="n">
        <v>1</v>
      </c>
      <c r="J387" s="1" t="str">
        <f aca="false">_xlfn.CONCAT("с",F387," ",D387,"/",E387,IF(G387=0,"","-" &amp; G387))</f>
        <v>с3350 ОК-1/Тип 10</v>
      </c>
    </row>
    <row r="388" customFormat="false" ht="12.8" hidden="false" customHeight="false" outlineLevel="0" collapsed="false">
      <c r="A388" s="1" t="s">
        <v>8</v>
      </c>
      <c r="B388" s="1" t="n">
        <v>2</v>
      </c>
      <c r="C388" s="1" t="n">
        <v>10</v>
      </c>
      <c r="D388" s="1" t="s">
        <v>206</v>
      </c>
      <c r="E388" s="1" t="s">
        <v>200</v>
      </c>
      <c r="F388" s="1" t="n">
        <v>3350</v>
      </c>
      <c r="G388" s="4" t="n">
        <v>2</v>
      </c>
      <c r="H388" s="1" t="s">
        <v>365</v>
      </c>
      <c r="I388" s="4" t="n">
        <v>1</v>
      </c>
      <c r="J388" s="1" t="str">
        <f aca="false">_xlfn.CONCAT("с",F388," ",D388,"/",E388,IF(G388=0,"","-" &amp; G388))</f>
        <v>с3350 Тип 10/5а-2</v>
      </c>
    </row>
    <row r="389" customFormat="false" ht="12.8" hidden="false" customHeight="false" outlineLevel="0" collapsed="false">
      <c r="A389" s="1" t="s">
        <v>8</v>
      </c>
      <c r="B389" s="1" t="n">
        <v>2</v>
      </c>
      <c r="C389" s="1" t="n">
        <v>11</v>
      </c>
      <c r="D389" s="1" t="s">
        <v>200</v>
      </c>
      <c r="E389" s="1" t="s">
        <v>211</v>
      </c>
      <c r="F389" s="1" t="n">
        <v>3350</v>
      </c>
      <c r="G389" s="4" t="n">
        <v>1</v>
      </c>
      <c r="H389" s="1" t="s">
        <v>366</v>
      </c>
      <c r="I389" s="4" t="n">
        <v>1</v>
      </c>
      <c r="J389" s="1" t="str">
        <f aca="false">_xlfn.CONCAT("с",F389," ",D389,"/",E389,IF(G389=0,"","-" &amp; G389))</f>
        <v>с3350 5а/ОК-1-1</v>
      </c>
    </row>
    <row r="390" customFormat="false" ht="12.8" hidden="false" customHeight="false" outlineLevel="0" collapsed="false">
      <c r="A390" s="1" t="s">
        <v>8</v>
      </c>
      <c r="B390" s="1" t="n">
        <v>2</v>
      </c>
      <c r="C390" s="1" t="n">
        <v>12</v>
      </c>
      <c r="D390" s="1" t="s">
        <v>211</v>
      </c>
      <c r="E390" s="1" t="s">
        <v>206</v>
      </c>
      <c r="F390" s="1" t="n">
        <v>3350</v>
      </c>
      <c r="G390" s="4" t="n">
        <v>0</v>
      </c>
      <c r="H390" s="1" t="s">
        <v>362</v>
      </c>
      <c r="I390" s="4" t="n">
        <v>1</v>
      </c>
      <c r="J390" s="1" t="str">
        <f aca="false">_xlfn.CONCAT("с",F390," ",D390,"/",E390,IF(G390=0,"","-" &amp; G390))</f>
        <v>с3350 ОК-1/Тип 10</v>
      </c>
    </row>
    <row r="391" customFormat="false" ht="12.8" hidden="false" customHeight="false" outlineLevel="0" collapsed="false">
      <c r="A391" s="1" t="s">
        <v>8</v>
      </c>
      <c r="B391" s="1" t="n">
        <v>2</v>
      </c>
      <c r="C391" s="1" t="n">
        <v>13</v>
      </c>
      <c r="D391" s="1" t="s">
        <v>206</v>
      </c>
      <c r="E391" s="1" t="s">
        <v>198</v>
      </c>
      <c r="F391" s="1" t="n">
        <v>3350</v>
      </c>
      <c r="G391" s="4" t="n">
        <v>3</v>
      </c>
      <c r="H391" s="1" t="s">
        <v>363</v>
      </c>
      <c r="I391" s="4" t="n">
        <v>1</v>
      </c>
      <c r="J391" s="1" t="str">
        <f aca="false">_xlfn.CONCAT("с",F391," ",D391,"/",E391,IF(G391=0,"","-" &amp; G391))</f>
        <v>с3350 Тип 10/3а-3</v>
      </c>
    </row>
    <row r="392" customFormat="false" ht="12.8" hidden="false" customHeight="false" outlineLevel="0" collapsed="false">
      <c r="A392" s="1" t="s">
        <v>8</v>
      </c>
      <c r="B392" s="1" t="n">
        <v>2</v>
      </c>
      <c r="C392" s="1" t="n">
        <v>14</v>
      </c>
      <c r="D392" s="1" t="s">
        <v>198</v>
      </c>
      <c r="E392" s="1" t="s">
        <v>211</v>
      </c>
      <c r="F392" s="1" t="n">
        <v>3350</v>
      </c>
      <c r="G392" s="4" t="n">
        <v>0</v>
      </c>
      <c r="H392" s="1" t="s">
        <v>364</v>
      </c>
      <c r="I392" s="4" t="n">
        <v>1</v>
      </c>
      <c r="J392" s="1" t="str">
        <f aca="false">_xlfn.CONCAT("с",F392," ",D392,"/",E392,IF(G392=0,"","-" &amp; G392))</f>
        <v>с3350 3а/ОК-1</v>
      </c>
    </row>
    <row r="393" customFormat="false" ht="12.8" hidden="false" customHeight="false" outlineLevel="0" collapsed="false">
      <c r="A393" s="1" t="s">
        <v>8</v>
      </c>
      <c r="B393" s="1" t="n">
        <v>2</v>
      </c>
      <c r="C393" s="1" t="n">
        <v>15</v>
      </c>
      <c r="D393" s="1" t="s">
        <v>211</v>
      </c>
      <c r="E393" s="1" t="s">
        <v>206</v>
      </c>
      <c r="F393" s="1" t="n">
        <v>3350</v>
      </c>
      <c r="G393" s="4" t="n">
        <v>0</v>
      </c>
      <c r="H393" s="1" t="s">
        <v>362</v>
      </c>
      <c r="I393" s="4" t="n">
        <v>1</v>
      </c>
      <c r="J393" s="1" t="str">
        <f aca="false">_xlfn.CONCAT("с",F393," ",D393,"/",E393,IF(G393=0,"","-" &amp; G393))</f>
        <v>с3350 ОК-1/Тип 10</v>
      </c>
    </row>
    <row r="394" customFormat="false" ht="12.8" hidden="false" customHeight="false" outlineLevel="0" collapsed="false">
      <c r="A394" s="1" t="s">
        <v>8</v>
      </c>
      <c r="B394" s="1" t="n">
        <v>2</v>
      </c>
      <c r="C394" s="1" t="n">
        <v>16</v>
      </c>
      <c r="D394" s="1" t="s">
        <v>206</v>
      </c>
      <c r="E394" s="1" t="s">
        <v>198</v>
      </c>
      <c r="F394" s="1" t="n">
        <v>3350</v>
      </c>
      <c r="G394" s="4" t="n">
        <v>3</v>
      </c>
      <c r="H394" s="1" t="s">
        <v>363</v>
      </c>
      <c r="I394" s="4" t="n">
        <v>1</v>
      </c>
      <c r="J394" s="1" t="str">
        <f aca="false">_xlfn.CONCAT("с",F394," ",D394,"/",E394,IF(G394=0,"","-" &amp; G394))</f>
        <v>с3350 Тип 10/3а-3</v>
      </c>
    </row>
    <row r="395" customFormat="false" ht="12.8" hidden="false" customHeight="false" outlineLevel="0" collapsed="false">
      <c r="A395" s="1" t="s">
        <v>8</v>
      </c>
      <c r="B395" s="1" t="n">
        <v>2</v>
      </c>
      <c r="C395" s="1" t="n">
        <v>17</v>
      </c>
      <c r="D395" s="1" t="s">
        <v>198</v>
      </c>
      <c r="E395" s="1" t="s">
        <v>211</v>
      </c>
      <c r="F395" s="1" t="n">
        <v>3350</v>
      </c>
      <c r="G395" s="4" t="n">
        <v>0</v>
      </c>
      <c r="H395" s="1" t="s">
        <v>364</v>
      </c>
      <c r="I395" s="4" t="n">
        <v>1</v>
      </c>
      <c r="J395" s="1" t="str">
        <f aca="false">_xlfn.CONCAT("с",F395," ",D395,"/",E395,IF(G395=0,"","-" &amp; G395))</f>
        <v>с3350 3а/ОК-1</v>
      </c>
    </row>
    <row r="396" customFormat="false" ht="12.8" hidden="false" customHeight="false" outlineLevel="0" collapsed="false">
      <c r="A396" s="1" t="s">
        <v>8</v>
      </c>
      <c r="B396" s="1" t="n">
        <v>2</v>
      </c>
      <c r="C396" s="1" t="n">
        <v>18</v>
      </c>
      <c r="D396" s="1" t="s">
        <v>211</v>
      </c>
      <c r="E396" s="1" t="s">
        <v>206</v>
      </c>
      <c r="F396" s="1" t="n">
        <v>3350</v>
      </c>
      <c r="G396" s="4" t="n">
        <v>0</v>
      </c>
      <c r="H396" s="1" t="s">
        <v>362</v>
      </c>
      <c r="I396" s="4" t="n">
        <v>1</v>
      </c>
      <c r="J396" s="1" t="str">
        <f aca="false">_xlfn.CONCAT("с",F396," ",D396,"/",E396,IF(G396=0,"","-" &amp; G396))</f>
        <v>с3350 ОК-1/Тип 10</v>
      </c>
    </row>
    <row r="397" customFormat="false" ht="12.8" hidden="false" customHeight="false" outlineLevel="0" collapsed="false">
      <c r="A397" s="1" t="s">
        <v>8</v>
      </c>
      <c r="B397" s="1" t="n">
        <v>2</v>
      </c>
      <c r="C397" s="1" t="n">
        <v>19</v>
      </c>
      <c r="D397" s="1" t="s">
        <v>206</v>
      </c>
      <c r="E397" s="1" t="s">
        <v>202</v>
      </c>
      <c r="F397" s="1" t="n">
        <v>3350</v>
      </c>
      <c r="G397" s="4" t="n">
        <v>0</v>
      </c>
      <c r="H397" s="1" t="s">
        <v>367</v>
      </c>
      <c r="I397" s="4" t="n">
        <v>1</v>
      </c>
      <c r="J397" s="1" t="str">
        <f aca="false">_xlfn.CONCAT("с",F397," ",D397,"/",E397,IF(G397=0,"","-" &amp; G397))</f>
        <v>с3350 Тип 10/6а</v>
      </c>
    </row>
    <row r="398" customFormat="false" ht="12.8" hidden="false" customHeight="false" outlineLevel="0" collapsed="false">
      <c r="A398" s="1" t="s">
        <v>8</v>
      </c>
      <c r="B398" s="1" t="n">
        <v>2</v>
      </c>
      <c r="C398" s="1" t="n">
        <v>20</v>
      </c>
      <c r="D398" s="1" t="s">
        <v>202</v>
      </c>
      <c r="E398" s="1" t="s">
        <v>211</v>
      </c>
      <c r="F398" s="1" t="n">
        <v>3350</v>
      </c>
      <c r="G398" s="4" t="n">
        <v>0</v>
      </c>
      <c r="H398" s="1" t="s">
        <v>368</v>
      </c>
      <c r="I398" s="4" t="n">
        <v>1</v>
      </c>
      <c r="J398" s="1" t="str">
        <f aca="false">_xlfn.CONCAT("с",F398," ",D398,"/",E398,IF(G398=0,"","-" &amp; G398))</f>
        <v>с3350 6а/ОК-1</v>
      </c>
    </row>
    <row r="399" customFormat="false" ht="12.8" hidden="false" customHeight="false" outlineLevel="0" collapsed="false">
      <c r="A399" s="1" t="s">
        <v>8</v>
      </c>
      <c r="B399" s="1" t="n">
        <v>2</v>
      </c>
      <c r="C399" s="1" t="n">
        <v>21</v>
      </c>
      <c r="D399" s="1" t="s">
        <v>211</v>
      </c>
      <c r="E399" s="1" t="s">
        <v>206</v>
      </c>
      <c r="F399" s="1" t="n">
        <v>3350</v>
      </c>
      <c r="G399" s="4" t="n">
        <v>0</v>
      </c>
      <c r="H399" s="1" t="s">
        <v>362</v>
      </c>
      <c r="I399" s="4" t="n">
        <v>1</v>
      </c>
      <c r="J399" s="1" t="str">
        <f aca="false">_xlfn.CONCAT("с",F399," ",D399,"/",E399,IF(G399=0,"","-" &amp; G399))</f>
        <v>с3350 ОК-1/Тип 10</v>
      </c>
    </row>
    <row r="400" customFormat="false" ht="12.8" hidden="false" customHeight="false" outlineLevel="0" collapsed="false">
      <c r="A400" s="1" t="s">
        <v>8</v>
      </c>
      <c r="B400" s="1" t="n">
        <v>2</v>
      </c>
      <c r="C400" s="1" t="n">
        <v>22</v>
      </c>
      <c r="D400" s="1" t="s">
        <v>206</v>
      </c>
      <c r="E400" s="1" t="s">
        <v>200</v>
      </c>
      <c r="F400" s="1" t="n">
        <v>3350</v>
      </c>
      <c r="G400" s="4" t="n">
        <v>2</v>
      </c>
      <c r="H400" s="1" t="s">
        <v>365</v>
      </c>
      <c r="I400" s="4" t="n">
        <v>1</v>
      </c>
      <c r="J400" s="1" t="str">
        <f aca="false">_xlfn.CONCAT("с",F400," ",D400,"/",E400,IF(G400=0,"","-" &amp; G400))</f>
        <v>с3350 Тип 10/5а-2</v>
      </c>
    </row>
    <row r="401" customFormat="false" ht="12.8" hidden="false" customHeight="false" outlineLevel="0" collapsed="false">
      <c r="A401" s="1" t="s">
        <v>8</v>
      </c>
      <c r="B401" s="1" t="n">
        <v>2</v>
      </c>
      <c r="C401" s="1" t="n">
        <v>23</v>
      </c>
      <c r="D401" s="1" t="s">
        <v>200</v>
      </c>
      <c r="E401" s="1" t="s">
        <v>206</v>
      </c>
      <c r="F401" s="1" t="n">
        <v>3350</v>
      </c>
      <c r="G401" s="4" t="n">
        <v>1</v>
      </c>
      <c r="H401" s="1" t="s">
        <v>369</v>
      </c>
      <c r="I401" s="4" t="n">
        <v>1</v>
      </c>
      <c r="J401" s="1" t="str">
        <f aca="false">_xlfn.CONCAT("с",F401," ",D401,"/",E401,IF(G401=0,"","-" &amp; G401))</f>
        <v>с3350 5а/Тип 10-1</v>
      </c>
    </row>
    <row r="402" customFormat="false" ht="12.8" hidden="false" customHeight="false" outlineLevel="0" collapsed="false">
      <c r="A402" s="1" t="s">
        <v>8</v>
      </c>
      <c r="B402" s="1" t="n">
        <v>2</v>
      </c>
      <c r="C402" s="1" t="n">
        <v>24</v>
      </c>
      <c r="D402" s="1" t="s">
        <v>206</v>
      </c>
      <c r="E402" s="1" t="s">
        <v>202</v>
      </c>
      <c r="F402" s="1" t="n">
        <v>3350</v>
      </c>
      <c r="G402" s="4" t="n">
        <v>0</v>
      </c>
      <c r="H402" s="1" t="s">
        <v>367</v>
      </c>
      <c r="I402" s="4" t="n">
        <v>1</v>
      </c>
      <c r="J402" s="1" t="str">
        <f aca="false">_xlfn.CONCAT("с",F402," ",D402,"/",E402,IF(G402=0,"","-" &amp; G402))</f>
        <v>с3350 Тип 10/6а</v>
      </c>
    </row>
    <row r="403" customFormat="false" ht="12.8" hidden="false" customHeight="false" outlineLevel="0" collapsed="false">
      <c r="A403" s="1" t="s">
        <v>8</v>
      </c>
      <c r="B403" s="1" t="n">
        <v>2</v>
      </c>
      <c r="C403" s="1" t="n">
        <v>25</v>
      </c>
      <c r="D403" s="1" t="s">
        <v>202</v>
      </c>
      <c r="E403" s="1" t="s">
        <v>211</v>
      </c>
      <c r="F403" s="1" t="n">
        <v>3350</v>
      </c>
      <c r="G403" s="4" t="n">
        <v>0</v>
      </c>
      <c r="H403" s="1" t="s">
        <v>368</v>
      </c>
      <c r="I403" s="4" t="n">
        <v>1</v>
      </c>
      <c r="J403" s="1" t="str">
        <f aca="false">_xlfn.CONCAT("с",F403," ",D403,"/",E403,IF(G403=0,"","-" &amp; G403))</f>
        <v>с3350 6а/ОК-1</v>
      </c>
    </row>
    <row r="404" customFormat="false" ht="12.8" hidden="false" customHeight="false" outlineLevel="0" collapsed="false">
      <c r="A404" s="1" t="s">
        <v>8</v>
      </c>
      <c r="B404" s="1" t="n">
        <v>2</v>
      </c>
      <c r="C404" s="1" t="n">
        <v>26</v>
      </c>
      <c r="D404" s="1" t="s">
        <v>211</v>
      </c>
      <c r="E404" s="1" t="s">
        <v>206</v>
      </c>
      <c r="F404" s="1" t="n">
        <v>3350</v>
      </c>
      <c r="G404" s="4" t="n">
        <v>0</v>
      </c>
      <c r="H404" s="1" t="s">
        <v>362</v>
      </c>
      <c r="I404" s="4" t="n">
        <v>1</v>
      </c>
      <c r="J404" s="1" t="str">
        <f aca="false">_xlfn.CONCAT("с",F404," ",D404,"/",E404,IF(G404=0,"","-" &amp; G404))</f>
        <v>с3350 ОК-1/Тип 10</v>
      </c>
    </row>
    <row r="405" customFormat="false" ht="12.8" hidden="false" customHeight="false" outlineLevel="0" collapsed="false">
      <c r="A405" s="1" t="s">
        <v>8</v>
      </c>
      <c r="B405" s="1" t="n">
        <v>2</v>
      </c>
      <c r="C405" s="1" t="n">
        <v>27</v>
      </c>
      <c r="D405" s="1" t="s">
        <v>206</v>
      </c>
      <c r="E405" s="1" t="s">
        <v>198</v>
      </c>
      <c r="F405" s="1" t="n">
        <v>3350</v>
      </c>
      <c r="G405" s="4" t="n">
        <v>3</v>
      </c>
      <c r="H405" s="1" t="s">
        <v>363</v>
      </c>
      <c r="I405" s="4" t="n">
        <v>1</v>
      </c>
      <c r="J405" s="1" t="str">
        <f aca="false">_xlfn.CONCAT("с",F405," ",D405,"/",E405,IF(G405=0,"","-" &amp; G405))</f>
        <v>с3350 Тип 10/3а-3</v>
      </c>
    </row>
    <row r="406" customFormat="false" ht="12.8" hidden="false" customHeight="false" outlineLevel="0" collapsed="false">
      <c r="A406" s="1" t="s">
        <v>8</v>
      </c>
      <c r="B406" s="1" t="n">
        <v>2</v>
      </c>
      <c r="C406" s="1" t="n">
        <v>28</v>
      </c>
      <c r="D406" s="1" t="s">
        <v>198</v>
      </c>
      <c r="E406" s="1" t="s">
        <v>211</v>
      </c>
      <c r="F406" s="1" t="n">
        <v>3350</v>
      </c>
      <c r="G406" s="4" t="n">
        <v>0</v>
      </c>
      <c r="H406" s="1" t="s">
        <v>364</v>
      </c>
      <c r="I406" s="4" t="n">
        <v>1</v>
      </c>
      <c r="J406" s="1" t="str">
        <f aca="false">_xlfn.CONCAT("с",F406," ",D406,"/",E406,IF(G406=0,"","-" &amp; G406))</f>
        <v>с3350 3а/ОК-1</v>
      </c>
    </row>
    <row r="407" customFormat="false" ht="12.8" hidden="false" customHeight="false" outlineLevel="0" collapsed="false">
      <c r="A407" s="1" t="s">
        <v>8</v>
      </c>
      <c r="B407" s="1" t="n">
        <v>2</v>
      </c>
      <c r="C407" s="1" t="n">
        <v>29</v>
      </c>
      <c r="D407" s="1" t="s">
        <v>211</v>
      </c>
      <c r="E407" s="1" t="s">
        <v>206</v>
      </c>
      <c r="F407" s="1" t="n">
        <v>3350</v>
      </c>
      <c r="G407" s="4" t="n">
        <v>0</v>
      </c>
      <c r="H407" s="1" t="s">
        <v>362</v>
      </c>
      <c r="I407" s="4" t="n">
        <v>1</v>
      </c>
      <c r="J407" s="1" t="str">
        <f aca="false">_xlfn.CONCAT("с",F407," ",D407,"/",E407,IF(G407=0,"","-" &amp; G407))</f>
        <v>с3350 ОК-1/Тип 10</v>
      </c>
    </row>
    <row r="408" customFormat="false" ht="12.8" hidden="false" customHeight="false" outlineLevel="0" collapsed="false">
      <c r="A408" s="1" t="s">
        <v>8</v>
      </c>
      <c r="B408" s="1" t="n">
        <v>2</v>
      </c>
      <c r="C408" s="1" t="n">
        <v>30</v>
      </c>
      <c r="D408" s="1" t="s">
        <v>206</v>
      </c>
      <c r="E408" s="1" t="s">
        <v>198</v>
      </c>
      <c r="F408" s="1" t="n">
        <v>3350</v>
      </c>
      <c r="G408" s="4" t="n">
        <v>3</v>
      </c>
      <c r="H408" s="1" t="s">
        <v>363</v>
      </c>
      <c r="I408" s="4" t="n">
        <v>1</v>
      </c>
      <c r="J408" s="1" t="str">
        <f aca="false">_xlfn.CONCAT("с",F408," ",D408,"/",E408,IF(G408=0,"","-" &amp; G408))</f>
        <v>с3350 Тип 10/3а-3</v>
      </c>
    </row>
    <row r="409" customFormat="false" ht="12.8" hidden="false" customHeight="false" outlineLevel="0" collapsed="false">
      <c r="A409" s="1" t="s">
        <v>8</v>
      </c>
      <c r="B409" s="1" t="n">
        <v>2</v>
      </c>
      <c r="C409" s="1" t="n">
        <v>31</v>
      </c>
      <c r="D409" s="1" t="s">
        <v>198</v>
      </c>
      <c r="E409" s="1" t="s">
        <v>211</v>
      </c>
      <c r="F409" s="1" t="n">
        <v>3350</v>
      </c>
      <c r="G409" s="4" t="n">
        <v>0</v>
      </c>
      <c r="H409" s="1" t="s">
        <v>364</v>
      </c>
      <c r="I409" s="4" t="n">
        <v>1</v>
      </c>
      <c r="J409" s="1" t="str">
        <f aca="false">_xlfn.CONCAT("с",F409," ",D409,"/",E409,IF(G409=0,"","-" &amp; G409))</f>
        <v>с3350 3а/ОК-1</v>
      </c>
    </row>
    <row r="410" customFormat="false" ht="12.8" hidden="false" customHeight="false" outlineLevel="0" collapsed="false">
      <c r="A410" s="1" t="s">
        <v>8</v>
      </c>
      <c r="B410" s="1" t="n">
        <v>2</v>
      </c>
      <c r="C410" s="1" t="n">
        <v>32</v>
      </c>
      <c r="D410" s="1" t="s">
        <v>211</v>
      </c>
      <c r="E410" s="1" t="s">
        <v>206</v>
      </c>
      <c r="F410" s="1" t="n">
        <v>3350</v>
      </c>
      <c r="G410" s="4" t="n">
        <v>0</v>
      </c>
      <c r="H410" s="1" t="s">
        <v>362</v>
      </c>
      <c r="I410" s="4" t="n">
        <v>1</v>
      </c>
      <c r="J410" s="1" t="str">
        <f aca="false">_xlfn.CONCAT("с",F410," ",D410,"/",E410,IF(G410=0,"","-" &amp; G410))</f>
        <v>с3350 ОК-1/Тип 10</v>
      </c>
    </row>
    <row r="411" customFormat="false" ht="12.8" hidden="false" customHeight="false" outlineLevel="0" collapsed="false">
      <c r="A411" s="1" t="s">
        <v>8</v>
      </c>
      <c r="B411" s="1" t="n">
        <v>2</v>
      </c>
      <c r="C411" s="1" t="n">
        <v>33</v>
      </c>
      <c r="D411" s="1" t="s">
        <v>206</v>
      </c>
      <c r="E411" s="1" t="s">
        <v>211</v>
      </c>
      <c r="F411" s="1" t="n">
        <v>3350</v>
      </c>
      <c r="G411" s="4" t="n">
        <v>0</v>
      </c>
      <c r="H411" s="1" t="s">
        <v>370</v>
      </c>
      <c r="I411" s="4" t="n">
        <v>1</v>
      </c>
      <c r="J411" s="1" t="str">
        <f aca="false">_xlfn.CONCAT("с",F411," ",D411,"/",E411,IF(G411=0,"","-" &amp; G411))</f>
        <v>с3350 Тип 10/ОК-1</v>
      </c>
    </row>
    <row r="412" customFormat="false" ht="12.8" hidden="false" customHeight="false" outlineLevel="0" collapsed="false">
      <c r="A412" s="1" t="s">
        <v>8</v>
      </c>
      <c r="B412" s="1" t="n">
        <v>2</v>
      </c>
      <c r="C412" s="1" t="n">
        <v>34</v>
      </c>
      <c r="D412" s="1" t="s">
        <v>211</v>
      </c>
      <c r="E412" s="1" t="s">
        <v>198</v>
      </c>
      <c r="F412" s="1" t="n">
        <v>3350</v>
      </c>
      <c r="G412" s="4" t="n">
        <v>0</v>
      </c>
      <c r="H412" s="1" t="s">
        <v>371</v>
      </c>
      <c r="I412" s="4" t="n">
        <v>1</v>
      </c>
      <c r="J412" s="1" t="str">
        <f aca="false">_xlfn.CONCAT("с",F412," ",D412,"/",E412,IF(G412=0,"","-" &amp; G412))</f>
        <v>с3350 ОК-1/3а</v>
      </c>
    </row>
    <row r="413" customFormat="false" ht="12.8" hidden="false" customHeight="false" outlineLevel="0" collapsed="false">
      <c r="A413" s="1" t="s">
        <v>8</v>
      </c>
      <c r="B413" s="1" t="n">
        <v>2</v>
      </c>
      <c r="C413" s="1" t="n">
        <v>35</v>
      </c>
      <c r="F413" s="1" t="n">
        <v>3350</v>
      </c>
      <c r="G413" s="4" t="n">
        <v>0</v>
      </c>
      <c r="H413" s="1" t="s">
        <v>360</v>
      </c>
      <c r="I413" s="4" t="n">
        <v>1</v>
      </c>
      <c r="J413" s="1" t="str">
        <f aca="false">_xlfn.CONCAT("с",F413," ",D413,"/",E413,IF(G413=0,"","-" &amp; G413))</f>
        <v>с3350 /</v>
      </c>
    </row>
    <row r="414" customFormat="false" ht="12.8" hidden="false" customHeight="false" outlineLevel="0" collapsed="false">
      <c r="A414" s="1" t="s">
        <v>8</v>
      </c>
      <c r="B414" s="1" t="n">
        <v>3</v>
      </c>
      <c r="C414" s="1" t="n">
        <v>1</v>
      </c>
      <c r="F414" s="1" t="n">
        <v>3350</v>
      </c>
      <c r="G414" s="4" t="n">
        <v>0</v>
      </c>
      <c r="H414" s="1" t="s">
        <v>360</v>
      </c>
      <c r="I414" s="4" t="n">
        <v>1</v>
      </c>
      <c r="J414" s="1" t="str">
        <f aca="false">_xlfn.CONCAT("с",F414," ",D414,"/",E414,IF(G414=0,"","-" &amp; G414))</f>
        <v>с3350 /</v>
      </c>
    </row>
    <row r="415" customFormat="false" ht="12.8" hidden="false" customHeight="false" outlineLevel="0" collapsed="false">
      <c r="A415" s="1" t="s">
        <v>8</v>
      </c>
      <c r="B415" s="1" t="n">
        <v>3</v>
      </c>
      <c r="C415" s="1" t="n">
        <v>2</v>
      </c>
      <c r="D415" s="1" t="s">
        <v>200</v>
      </c>
      <c r="E415" s="1" t="s">
        <v>211</v>
      </c>
      <c r="F415" s="1" t="n">
        <v>3350</v>
      </c>
      <c r="G415" s="4" t="n">
        <v>0</v>
      </c>
      <c r="H415" s="1" t="s">
        <v>361</v>
      </c>
      <c r="I415" s="4" t="n">
        <v>1</v>
      </c>
      <c r="J415" s="1" t="str">
        <f aca="false">_xlfn.CONCAT("с",F415," ",D415,"/",E415,IF(G415=0,"","-" &amp; G415))</f>
        <v>с3350 5а/ОК-1</v>
      </c>
    </row>
    <row r="416" customFormat="false" ht="12.8" hidden="false" customHeight="false" outlineLevel="0" collapsed="false">
      <c r="A416" s="1" t="s">
        <v>8</v>
      </c>
      <c r="B416" s="1" t="n">
        <v>3</v>
      </c>
      <c r="C416" s="1" t="n">
        <v>3</v>
      </c>
      <c r="D416" s="1" t="s">
        <v>211</v>
      </c>
      <c r="E416" s="1" t="s">
        <v>206</v>
      </c>
      <c r="F416" s="1" t="n">
        <v>3350</v>
      </c>
      <c r="G416" s="4" t="n">
        <v>0</v>
      </c>
      <c r="H416" s="1" t="s">
        <v>362</v>
      </c>
      <c r="I416" s="4" t="n">
        <v>1</v>
      </c>
      <c r="J416" s="1" t="str">
        <f aca="false">_xlfn.CONCAT("с",F416," ",D416,"/",E416,IF(G416=0,"","-" &amp; G416))</f>
        <v>с3350 ОК-1/Тип 10</v>
      </c>
    </row>
    <row r="417" customFormat="false" ht="12.8" hidden="false" customHeight="false" outlineLevel="0" collapsed="false">
      <c r="A417" s="1" t="s">
        <v>8</v>
      </c>
      <c r="B417" s="1" t="n">
        <v>3</v>
      </c>
      <c r="C417" s="1" t="n">
        <v>4</v>
      </c>
      <c r="D417" s="1" t="s">
        <v>206</v>
      </c>
      <c r="E417" s="1" t="s">
        <v>211</v>
      </c>
      <c r="F417" s="1" t="n">
        <v>3350</v>
      </c>
      <c r="G417" s="4" t="n">
        <v>0</v>
      </c>
      <c r="H417" s="1" t="s">
        <v>370</v>
      </c>
      <c r="I417" s="4" t="n">
        <v>1</v>
      </c>
      <c r="J417" s="1" t="str">
        <f aca="false">_xlfn.CONCAT("с",F417," ",D417,"/",E417,IF(G417=0,"","-" &amp; G417))</f>
        <v>с3350 Тип 10/ОК-1</v>
      </c>
    </row>
    <row r="418" customFormat="false" ht="12.8" hidden="false" customHeight="false" outlineLevel="0" collapsed="false">
      <c r="A418" s="1" t="s">
        <v>8</v>
      </c>
      <c r="B418" s="1" t="n">
        <v>3</v>
      </c>
      <c r="C418" s="1" t="n">
        <v>5</v>
      </c>
      <c r="D418" s="1" t="s">
        <v>211</v>
      </c>
      <c r="E418" s="1" t="s">
        <v>198</v>
      </c>
      <c r="F418" s="1" t="n">
        <v>3350</v>
      </c>
      <c r="G418" s="4" t="n">
        <v>1</v>
      </c>
      <c r="H418" s="1" t="s">
        <v>372</v>
      </c>
      <c r="I418" s="4" t="n">
        <v>1</v>
      </c>
      <c r="J418" s="1" t="str">
        <f aca="false">_xlfn.CONCAT("с",F418," ",D418,"/",E418,IF(G418=0,"","-" &amp; G418))</f>
        <v>с3350 ОК-1/3а-1</v>
      </c>
    </row>
    <row r="419" customFormat="false" ht="12.8" hidden="false" customHeight="false" outlineLevel="0" collapsed="false">
      <c r="A419" s="1" t="s">
        <v>8</v>
      </c>
      <c r="B419" s="1" t="n">
        <v>3</v>
      </c>
      <c r="C419" s="1" t="n">
        <v>6</v>
      </c>
      <c r="D419" s="1" t="s">
        <v>198</v>
      </c>
      <c r="E419" s="1" t="s">
        <v>206</v>
      </c>
      <c r="F419" s="1" t="n">
        <v>3350</v>
      </c>
      <c r="G419" s="4" t="n">
        <v>1</v>
      </c>
      <c r="H419" s="1" t="s">
        <v>373</v>
      </c>
      <c r="I419" s="4" t="n">
        <v>1</v>
      </c>
      <c r="J419" s="1" t="str">
        <f aca="false">_xlfn.CONCAT("с",F419," ",D419,"/",E419,IF(G419=0,"","-" &amp; G419))</f>
        <v>с3350 3а/Тип 10-1</v>
      </c>
    </row>
    <row r="420" customFormat="false" ht="12.8" hidden="false" customHeight="false" outlineLevel="0" collapsed="false">
      <c r="A420" s="1" t="s">
        <v>8</v>
      </c>
      <c r="B420" s="1" t="n">
        <v>3</v>
      </c>
      <c r="C420" s="1" t="n">
        <v>7</v>
      </c>
      <c r="D420" s="1" t="s">
        <v>206</v>
      </c>
      <c r="E420" s="1" t="s">
        <v>211</v>
      </c>
      <c r="F420" s="1" t="n">
        <v>3350</v>
      </c>
      <c r="G420" s="4" t="n">
        <v>0</v>
      </c>
      <c r="H420" s="1" t="s">
        <v>370</v>
      </c>
      <c r="I420" s="4" t="n">
        <v>1</v>
      </c>
      <c r="J420" s="1" t="str">
        <f aca="false">_xlfn.CONCAT("с",F420," ",D420,"/",E420,IF(G420=0,"","-" &amp; G420))</f>
        <v>с3350 Тип 10/ОК-1</v>
      </c>
    </row>
    <row r="421" customFormat="false" ht="12.8" hidden="false" customHeight="false" outlineLevel="0" collapsed="false">
      <c r="A421" s="1" t="s">
        <v>8</v>
      </c>
      <c r="B421" s="1" t="n">
        <v>3</v>
      </c>
      <c r="C421" s="1" t="n">
        <v>8</v>
      </c>
      <c r="D421" s="1" t="s">
        <v>211</v>
      </c>
      <c r="E421" s="1" t="s">
        <v>200</v>
      </c>
      <c r="F421" s="1" t="n">
        <v>3350</v>
      </c>
      <c r="G421" s="4" t="n">
        <v>0</v>
      </c>
      <c r="H421" s="1" t="s">
        <v>374</v>
      </c>
      <c r="I421" s="4" t="n">
        <v>1</v>
      </c>
      <c r="J421" s="1" t="str">
        <f aca="false">_xlfn.CONCAT("с",F421," ",D421,"/",E421,IF(G421=0,"","-" &amp; G421))</f>
        <v>с3350 ОК-1/5а</v>
      </c>
    </row>
    <row r="422" customFormat="false" ht="12.8" hidden="false" customHeight="false" outlineLevel="0" collapsed="false">
      <c r="A422" s="1" t="s">
        <v>8</v>
      </c>
      <c r="B422" s="1" t="n">
        <v>3</v>
      </c>
      <c r="C422" s="1" t="n">
        <v>9</v>
      </c>
      <c r="D422" s="1" t="s">
        <v>200</v>
      </c>
      <c r="E422" s="1" t="s">
        <v>206</v>
      </c>
      <c r="F422" s="1" t="n">
        <v>3350</v>
      </c>
      <c r="G422" s="4" t="n">
        <v>1</v>
      </c>
      <c r="H422" s="1" t="s">
        <v>369</v>
      </c>
      <c r="I422" s="4" t="n">
        <v>1</v>
      </c>
      <c r="J422" s="1" t="str">
        <f aca="false">_xlfn.CONCAT("с",F422," ",D422,"/",E422,IF(G422=0,"","-" &amp; G422))</f>
        <v>с3350 5а/Тип 10-1</v>
      </c>
    </row>
    <row r="423" customFormat="false" ht="12.8" hidden="false" customHeight="false" outlineLevel="0" collapsed="false">
      <c r="A423" s="1" t="s">
        <v>8</v>
      </c>
      <c r="B423" s="1" t="n">
        <v>3</v>
      </c>
      <c r="C423" s="1" t="n">
        <v>10</v>
      </c>
      <c r="D423" s="1" t="s">
        <v>206</v>
      </c>
      <c r="E423" s="1" t="s">
        <v>211</v>
      </c>
      <c r="F423" s="1" t="n">
        <v>3350</v>
      </c>
      <c r="G423" s="4" t="n">
        <v>0</v>
      </c>
      <c r="H423" s="1" t="s">
        <v>370</v>
      </c>
      <c r="I423" s="4" t="n">
        <v>1</v>
      </c>
      <c r="J423" s="1" t="str">
        <f aca="false">_xlfn.CONCAT("с",F423," ",D423,"/",E423,IF(G423=0,"","-" &amp; G423))</f>
        <v>с3350 Тип 10/ОК-1</v>
      </c>
    </row>
    <row r="424" customFormat="false" ht="12.8" hidden="false" customHeight="false" outlineLevel="0" collapsed="false">
      <c r="A424" s="1" t="s">
        <v>8</v>
      </c>
      <c r="B424" s="1" t="n">
        <v>3</v>
      </c>
      <c r="C424" s="1" t="n">
        <v>11</v>
      </c>
      <c r="D424" s="1" t="s">
        <v>211</v>
      </c>
      <c r="E424" s="1" t="s">
        <v>200</v>
      </c>
      <c r="F424" s="1" t="n">
        <v>3350</v>
      </c>
      <c r="G424" s="4" t="n">
        <v>0</v>
      </c>
      <c r="H424" s="1" t="s">
        <v>374</v>
      </c>
      <c r="I424" s="4" t="n">
        <v>1</v>
      </c>
      <c r="J424" s="1" t="str">
        <f aca="false">_xlfn.CONCAT("с",F424," ",D424,"/",E424,IF(G424=0,"","-" &amp; G424))</f>
        <v>с3350 ОК-1/5а</v>
      </c>
    </row>
    <row r="425" customFormat="false" ht="12.8" hidden="false" customHeight="false" outlineLevel="0" collapsed="false">
      <c r="A425" s="1" t="s">
        <v>8</v>
      </c>
      <c r="B425" s="1" t="n">
        <v>3</v>
      </c>
      <c r="C425" s="1" t="n">
        <v>12</v>
      </c>
      <c r="D425" s="1" t="s">
        <v>200</v>
      </c>
      <c r="E425" s="1" t="s">
        <v>206</v>
      </c>
      <c r="F425" s="1" t="n">
        <v>3350</v>
      </c>
      <c r="G425" s="4" t="n">
        <v>1</v>
      </c>
      <c r="H425" s="1" t="s">
        <v>369</v>
      </c>
      <c r="I425" s="4" t="n">
        <v>1</v>
      </c>
      <c r="J425" s="1" t="str">
        <f aca="false">_xlfn.CONCAT("с",F425," ",D425,"/",E425,IF(G425=0,"","-" &amp; G425))</f>
        <v>с3350 5а/Тип 10-1</v>
      </c>
    </row>
    <row r="426" customFormat="false" ht="12.8" hidden="false" customHeight="false" outlineLevel="0" collapsed="false">
      <c r="A426" s="1" t="s">
        <v>8</v>
      </c>
      <c r="B426" s="1" t="n">
        <v>3</v>
      </c>
      <c r="C426" s="1" t="n">
        <v>13</v>
      </c>
      <c r="D426" s="1" t="s">
        <v>206</v>
      </c>
      <c r="E426" s="1" t="s">
        <v>211</v>
      </c>
      <c r="F426" s="1" t="n">
        <v>3350</v>
      </c>
      <c r="G426" s="4" t="n">
        <v>0</v>
      </c>
      <c r="H426" s="1" t="s">
        <v>370</v>
      </c>
      <c r="I426" s="4" t="n">
        <v>1</v>
      </c>
      <c r="J426" s="1" t="str">
        <f aca="false">_xlfn.CONCAT("с",F426," ",D426,"/",E426,IF(G426=0,"","-" &amp; G426))</f>
        <v>с3350 Тип 10/ОК-1</v>
      </c>
    </row>
    <row r="427" customFormat="false" ht="12.8" hidden="false" customHeight="false" outlineLevel="0" collapsed="false">
      <c r="A427" s="1" t="s">
        <v>8</v>
      </c>
      <c r="B427" s="1" t="n">
        <v>3</v>
      </c>
      <c r="C427" s="1" t="n">
        <v>14</v>
      </c>
      <c r="D427" s="1" t="s">
        <v>211</v>
      </c>
      <c r="E427" s="1" t="s">
        <v>198</v>
      </c>
      <c r="F427" s="1" t="n">
        <v>3350</v>
      </c>
      <c r="G427" s="4" t="n">
        <v>1</v>
      </c>
      <c r="H427" s="1" t="s">
        <v>372</v>
      </c>
      <c r="I427" s="4" t="n">
        <v>1</v>
      </c>
      <c r="J427" s="1" t="str">
        <f aca="false">_xlfn.CONCAT("с",F427," ",D427,"/",E427,IF(G427=0,"","-" &amp; G427))</f>
        <v>с3350 ОК-1/3а-1</v>
      </c>
    </row>
    <row r="428" customFormat="false" ht="12.8" hidden="false" customHeight="false" outlineLevel="0" collapsed="false">
      <c r="A428" s="1" t="s">
        <v>8</v>
      </c>
      <c r="B428" s="1" t="n">
        <v>3</v>
      </c>
      <c r="C428" s="1" t="n">
        <v>15</v>
      </c>
      <c r="D428" s="1" t="s">
        <v>198</v>
      </c>
      <c r="E428" s="1" t="s">
        <v>206</v>
      </c>
      <c r="F428" s="1" t="n">
        <v>3350</v>
      </c>
      <c r="G428" s="4" t="n">
        <v>1</v>
      </c>
      <c r="H428" s="1" t="s">
        <v>373</v>
      </c>
      <c r="I428" s="4" t="n">
        <v>1</v>
      </c>
      <c r="J428" s="1" t="str">
        <f aca="false">_xlfn.CONCAT("с",F428," ",D428,"/",E428,IF(G428=0,"","-" &amp; G428))</f>
        <v>с3350 3а/Тип 10-1</v>
      </c>
    </row>
    <row r="429" customFormat="false" ht="12.8" hidden="false" customHeight="false" outlineLevel="0" collapsed="false">
      <c r="A429" s="1" t="s">
        <v>8</v>
      </c>
      <c r="B429" s="1" t="n">
        <v>3</v>
      </c>
      <c r="C429" s="1" t="n">
        <v>16</v>
      </c>
      <c r="D429" s="1" t="s">
        <v>206</v>
      </c>
      <c r="E429" s="1" t="s">
        <v>211</v>
      </c>
      <c r="F429" s="1" t="n">
        <v>3350</v>
      </c>
      <c r="G429" s="4" t="n">
        <v>0</v>
      </c>
      <c r="H429" s="1" t="s">
        <v>370</v>
      </c>
      <c r="I429" s="4" t="n">
        <v>1</v>
      </c>
      <c r="J429" s="1" t="str">
        <f aca="false">_xlfn.CONCAT("с",F429," ",D429,"/",E429,IF(G429=0,"","-" &amp; G429))</f>
        <v>с3350 Тип 10/ОК-1</v>
      </c>
    </row>
    <row r="430" customFormat="false" ht="12.8" hidden="false" customHeight="false" outlineLevel="0" collapsed="false">
      <c r="A430" s="1" t="s">
        <v>8</v>
      </c>
      <c r="B430" s="1" t="n">
        <v>3</v>
      </c>
      <c r="C430" s="1" t="n">
        <v>17</v>
      </c>
      <c r="D430" s="1" t="s">
        <v>211</v>
      </c>
      <c r="E430" s="1" t="s">
        <v>198</v>
      </c>
      <c r="F430" s="1" t="n">
        <v>3350</v>
      </c>
      <c r="G430" s="4" t="n">
        <v>1</v>
      </c>
      <c r="H430" s="1" t="s">
        <v>372</v>
      </c>
      <c r="I430" s="4" t="n">
        <v>1</v>
      </c>
      <c r="J430" s="1" t="str">
        <f aca="false">_xlfn.CONCAT("с",F430," ",D430,"/",E430,IF(G430=0,"","-" &amp; G430))</f>
        <v>с3350 ОК-1/3а-1</v>
      </c>
    </row>
    <row r="431" customFormat="false" ht="12.8" hidden="false" customHeight="false" outlineLevel="0" collapsed="false">
      <c r="A431" s="1" t="s">
        <v>8</v>
      </c>
      <c r="B431" s="1" t="n">
        <v>3</v>
      </c>
      <c r="C431" s="1" t="n">
        <v>18</v>
      </c>
      <c r="D431" s="1" t="s">
        <v>198</v>
      </c>
      <c r="E431" s="1" t="s">
        <v>206</v>
      </c>
      <c r="F431" s="1" t="n">
        <v>3350</v>
      </c>
      <c r="G431" s="4" t="n">
        <v>1</v>
      </c>
      <c r="H431" s="1" t="s">
        <v>373</v>
      </c>
      <c r="I431" s="4" t="n">
        <v>1</v>
      </c>
      <c r="J431" s="1" t="str">
        <f aca="false">_xlfn.CONCAT("с",F431," ",D431,"/",E431,IF(G431=0,"","-" &amp; G431))</f>
        <v>с3350 3а/Тип 10-1</v>
      </c>
    </row>
    <row r="432" customFormat="false" ht="12.8" hidden="false" customHeight="false" outlineLevel="0" collapsed="false">
      <c r="A432" s="1" t="s">
        <v>8</v>
      </c>
      <c r="B432" s="1" t="n">
        <v>3</v>
      </c>
      <c r="C432" s="1" t="n">
        <v>19</v>
      </c>
      <c r="D432" s="1" t="s">
        <v>206</v>
      </c>
      <c r="E432" s="1" t="s">
        <v>211</v>
      </c>
      <c r="F432" s="1" t="n">
        <v>3350</v>
      </c>
      <c r="G432" s="4" t="n">
        <v>0</v>
      </c>
      <c r="H432" s="1" t="s">
        <v>370</v>
      </c>
      <c r="I432" s="4" t="n">
        <v>1</v>
      </c>
      <c r="J432" s="1" t="str">
        <f aca="false">_xlfn.CONCAT("с",F432," ",D432,"/",E432,IF(G432=0,"","-" &amp; G432))</f>
        <v>с3350 Тип 10/ОК-1</v>
      </c>
    </row>
    <row r="433" customFormat="false" ht="12.8" hidden="false" customHeight="false" outlineLevel="0" collapsed="false">
      <c r="A433" s="1" t="s">
        <v>8</v>
      </c>
      <c r="B433" s="1" t="n">
        <v>3</v>
      </c>
      <c r="C433" s="1" t="n">
        <v>20</v>
      </c>
      <c r="D433" s="1" t="s">
        <v>211</v>
      </c>
      <c r="E433" s="1" t="s">
        <v>202</v>
      </c>
      <c r="F433" s="1" t="n">
        <v>3350</v>
      </c>
      <c r="G433" s="4" t="n">
        <v>0</v>
      </c>
      <c r="H433" s="1" t="s">
        <v>375</v>
      </c>
      <c r="I433" s="4" t="n">
        <v>1</v>
      </c>
      <c r="J433" s="1" t="str">
        <f aca="false">_xlfn.CONCAT("с",F433," ",D433,"/",E433,IF(G433=0,"","-" &amp; G433))</f>
        <v>с3350 ОК-1/6а</v>
      </c>
    </row>
    <row r="434" customFormat="false" ht="12.8" hidden="false" customHeight="false" outlineLevel="0" collapsed="false">
      <c r="A434" s="1" t="s">
        <v>8</v>
      </c>
      <c r="B434" s="1" t="n">
        <v>3</v>
      </c>
      <c r="C434" s="1" t="n">
        <v>21</v>
      </c>
      <c r="D434" s="1" t="s">
        <v>202</v>
      </c>
      <c r="E434" s="1" t="s">
        <v>206</v>
      </c>
      <c r="F434" s="1" t="n">
        <v>3350</v>
      </c>
      <c r="G434" s="4" t="n">
        <v>0</v>
      </c>
      <c r="H434" s="1" t="s">
        <v>376</v>
      </c>
      <c r="I434" s="4" t="n">
        <v>1</v>
      </c>
      <c r="J434" s="1" t="str">
        <f aca="false">_xlfn.CONCAT("с",F434," ",D434,"/",E434,IF(G434=0,"","-" &amp; G434))</f>
        <v>с3350 6а/Тип 10</v>
      </c>
    </row>
    <row r="435" customFormat="false" ht="12.8" hidden="false" customHeight="false" outlineLevel="0" collapsed="false">
      <c r="A435" s="1" t="s">
        <v>8</v>
      </c>
      <c r="B435" s="1" t="n">
        <v>3</v>
      </c>
      <c r="C435" s="1" t="n">
        <v>22</v>
      </c>
      <c r="D435" s="1" t="s">
        <v>206</v>
      </c>
      <c r="E435" s="1" t="s">
        <v>200</v>
      </c>
      <c r="F435" s="1" t="n">
        <v>3350</v>
      </c>
      <c r="G435" s="4" t="n">
        <v>2</v>
      </c>
      <c r="H435" s="1" t="s">
        <v>365</v>
      </c>
      <c r="I435" s="4" t="n">
        <v>1</v>
      </c>
      <c r="J435" s="1" t="str">
        <f aca="false">_xlfn.CONCAT("с",F435," ",D435,"/",E435,IF(G435=0,"","-" &amp; G435))</f>
        <v>с3350 Тип 10/5а-2</v>
      </c>
    </row>
    <row r="436" customFormat="false" ht="12.8" hidden="false" customHeight="false" outlineLevel="0" collapsed="false">
      <c r="A436" s="1" t="s">
        <v>8</v>
      </c>
      <c r="B436" s="1" t="n">
        <v>3</v>
      </c>
      <c r="C436" s="1" t="n">
        <v>23</v>
      </c>
      <c r="D436" s="1" t="s">
        <v>200</v>
      </c>
      <c r="E436" s="1" t="s">
        <v>206</v>
      </c>
      <c r="F436" s="1" t="n">
        <v>3350</v>
      </c>
      <c r="G436" s="4" t="n">
        <v>1</v>
      </c>
      <c r="H436" s="1" t="s">
        <v>369</v>
      </c>
      <c r="I436" s="4" t="n">
        <v>1</v>
      </c>
      <c r="J436" s="1" t="str">
        <f aca="false">_xlfn.CONCAT("с",F436," ",D436,"/",E436,IF(G436=0,"","-" &amp; G436))</f>
        <v>с3350 5а/Тип 10-1</v>
      </c>
    </row>
    <row r="437" customFormat="false" ht="12.8" hidden="false" customHeight="false" outlineLevel="0" collapsed="false">
      <c r="A437" s="1" t="s">
        <v>8</v>
      </c>
      <c r="B437" s="1" t="n">
        <v>3</v>
      </c>
      <c r="C437" s="1" t="n">
        <v>24</v>
      </c>
      <c r="D437" s="1" t="s">
        <v>206</v>
      </c>
      <c r="E437" s="1" t="s">
        <v>211</v>
      </c>
      <c r="F437" s="1" t="n">
        <v>3350</v>
      </c>
      <c r="G437" s="4" t="n">
        <v>0</v>
      </c>
      <c r="H437" s="1" t="s">
        <v>370</v>
      </c>
      <c r="I437" s="4" t="n">
        <v>1</v>
      </c>
      <c r="J437" s="1" t="str">
        <f aca="false">_xlfn.CONCAT("с",F437," ",D437,"/",E437,IF(G437=0,"","-" &amp; G437))</f>
        <v>с3350 Тип 10/ОК-1</v>
      </c>
    </row>
    <row r="438" customFormat="false" ht="12.8" hidden="false" customHeight="false" outlineLevel="0" collapsed="false">
      <c r="A438" s="1" t="s">
        <v>8</v>
      </c>
      <c r="B438" s="1" t="n">
        <v>3</v>
      </c>
      <c r="C438" s="1" t="n">
        <v>25</v>
      </c>
      <c r="D438" s="1" t="s">
        <v>211</v>
      </c>
      <c r="E438" s="1" t="s">
        <v>202</v>
      </c>
      <c r="F438" s="1" t="n">
        <v>3350</v>
      </c>
      <c r="G438" s="4" t="n">
        <v>0</v>
      </c>
      <c r="H438" s="1" t="s">
        <v>375</v>
      </c>
      <c r="I438" s="4" t="n">
        <v>1</v>
      </c>
      <c r="J438" s="1" t="str">
        <f aca="false">_xlfn.CONCAT("с",F438," ",D438,"/",E438,IF(G438=0,"","-" &amp; G438))</f>
        <v>с3350 ОК-1/6а</v>
      </c>
    </row>
    <row r="439" customFormat="false" ht="12.8" hidden="false" customHeight="false" outlineLevel="0" collapsed="false">
      <c r="A439" s="1" t="s">
        <v>8</v>
      </c>
      <c r="B439" s="1" t="n">
        <v>3</v>
      </c>
      <c r="C439" s="1" t="n">
        <v>26</v>
      </c>
      <c r="D439" s="1" t="s">
        <v>202</v>
      </c>
      <c r="E439" s="1" t="s">
        <v>206</v>
      </c>
      <c r="F439" s="1" t="n">
        <v>3350</v>
      </c>
      <c r="G439" s="4" t="n">
        <v>0</v>
      </c>
      <c r="H439" s="1" t="s">
        <v>376</v>
      </c>
      <c r="I439" s="4" t="n">
        <v>1</v>
      </c>
      <c r="J439" s="1" t="str">
        <f aca="false">_xlfn.CONCAT("с",F439," ",D439,"/",E439,IF(G439=0,"","-" &amp; G439))</f>
        <v>с3350 6а/Тип 10</v>
      </c>
    </row>
    <row r="440" customFormat="false" ht="12.8" hidden="false" customHeight="false" outlineLevel="0" collapsed="false">
      <c r="A440" s="1" t="s">
        <v>8</v>
      </c>
      <c r="B440" s="1" t="n">
        <v>3</v>
      </c>
      <c r="C440" s="1" t="n">
        <v>27</v>
      </c>
      <c r="D440" s="1" t="s">
        <v>206</v>
      </c>
      <c r="E440" s="1" t="s">
        <v>211</v>
      </c>
      <c r="F440" s="1" t="n">
        <v>3350</v>
      </c>
      <c r="G440" s="4" t="n">
        <v>0</v>
      </c>
      <c r="H440" s="1" t="s">
        <v>370</v>
      </c>
      <c r="I440" s="4" t="n">
        <v>1</v>
      </c>
      <c r="J440" s="1" t="str">
        <f aca="false">_xlfn.CONCAT("с",F440," ",D440,"/",E440,IF(G440=0,"","-" &amp; G440))</f>
        <v>с3350 Тип 10/ОК-1</v>
      </c>
    </row>
    <row r="441" customFormat="false" ht="12.8" hidden="false" customHeight="false" outlineLevel="0" collapsed="false">
      <c r="A441" s="1" t="s">
        <v>8</v>
      </c>
      <c r="B441" s="1" t="n">
        <v>3</v>
      </c>
      <c r="C441" s="1" t="n">
        <v>28</v>
      </c>
      <c r="D441" s="1" t="s">
        <v>211</v>
      </c>
      <c r="E441" s="1" t="s">
        <v>198</v>
      </c>
      <c r="F441" s="1" t="n">
        <v>3350</v>
      </c>
      <c r="G441" s="4" t="n">
        <v>1</v>
      </c>
      <c r="H441" s="1" t="s">
        <v>372</v>
      </c>
      <c r="I441" s="4" t="n">
        <v>1</v>
      </c>
      <c r="J441" s="1" t="str">
        <f aca="false">_xlfn.CONCAT("с",F441," ",D441,"/",E441,IF(G441=0,"","-" &amp; G441))</f>
        <v>с3350 ОК-1/3а-1</v>
      </c>
    </row>
    <row r="442" customFormat="false" ht="12.8" hidden="false" customHeight="false" outlineLevel="0" collapsed="false">
      <c r="A442" s="1" t="s">
        <v>8</v>
      </c>
      <c r="B442" s="1" t="n">
        <v>3</v>
      </c>
      <c r="C442" s="1" t="n">
        <v>29</v>
      </c>
      <c r="D442" s="1" t="s">
        <v>198</v>
      </c>
      <c r="E442" s="1" t="s">
        <v>206</v>
      </c>
      <c r="F442" s="1" t="n">
        <v>3350</v>
      </c>
      <c r="G442" s="4" t="n">
        <v>1</v>
      </c>
      <c r="H442" s="1" t="s">
        <v>373</v>
      </c>
      <c r="I442" s="4" t="n">
        <v>1</v>
      </c>
      <c r="J442" s="1" t="str">
        <f aca="false">_xlfn.CONCAT("с",F442," ",D442,"/",E442,IF(G442=0,"","-" &amp; G442))</f>
        <v>с3350 3а/Тип 10-1</v>
      </c>
    </row>
    <row r="443" customFormat="false" ht="12.8" hidden="false" customHeight="false" outlineLevel="0" collapsed="false">
      <c r="A443" s="1" t="s">
        <v>8</v>
      </c>
      <c r="B443" s="1" t="n">
        <v>3</v>
      </c>
      <c r="C443" s="1" t="n">
        <v>30</v>
      </c>
      <c r="D443" s="1" t="s">
        <v>206</v>
      </c>
      <c r="E443" s="1" t="s">
        <v>211</v>
      </c>
      <c r="F443" s="1" t="n">
        <v>3350</v>
      </c>
      <c r="G443" s="4" t="n">
        <v>0</v>
      </c>
      <c r="H443" s="1" t="s">
        <v>370</v>
      </c>
      <c r="I443" s="4" t="n">
        <v>1</v>
      </c>
      <c r="J443" s="1" t="str">
        <f aca="false">_xlfn.CONCAT("с",F443," ",D443,"/",E443,IF(G443=0,"","-" &amp; G443))</f>
        <v>с3350 Тип 10/ОК-1</v>
      </c>
    </row>
    <row r="444" customFormat="false" ht="12.8" hidden="false" customHeight="false" outlineLevel="0" collapsed="false">
      <c r="A444" s="1" t="s">
        <v>8</v>
      </c>
      <c r="B444" s="1" t="n">
        <v>3</v>
      </c>
      <c r="C444" s="1" t="n">
        <v>31</v>
      </c>
      <c r="D444" s="1" t="s">
        <v>211</v>
      </c>
      <c r="E444" s="1" t="s">
        <v>198</v>
      </c>
      <c r="F444" s="1" t="n">
        <v>3350</v>
      </c>
      <c r="G444" s="4" t="n">
        <v>1</v>
      </c>
      <c r="H444" s="1" t="s">
        <v>372</v>
      </c>
      <c r="I444" s="4" t="n">
        <v>1</v>
      </c>
      <c r="J444" s="1" t="str">
        <f aca="false">_xlfn.CONCAT("с",F444," ",D444,"/",E444,IF(G444=0,"","-" &amp; G444))</f>
        <v>с3350 ОК-1/3а-1</v>
      </c>
    </row>
    <row r="445" customFormat="false" ht="12.8" hidden="false" customHeight="false" outlineLevel="0" collapsed="false">
      <c r="A445" s="1" t="s">
        <v>8</v>
      </c>
      <c r="B445" s="1" t="n">
        <v>3</v>
      </c>
      <c r="C445" s="1" t="n">
        <v>32</v>
      </c>
      <c r="D445" s="1" t="s">
        <v>198</v>
      </c>
      <c r="E445" s="1" t="s">
        <v>206</v>
      </c>
      <c r="F445" s="1" t="n">
        <v>3350</v>
      </c>
      <c r="G445" s="4" t="n">
        <v>1</v>
      </c>
      <c r="H445" s="1" t="s">
        <v>373</v>
      </c>
      <c r="I445" s="4" t="n">
        <v>1</v>
      </c>
      <c r="J445" s="1" t="str">
        <f aca="false">_xlfn.CONCAT("с",F445," ",D445,"/",E445,IF(G445=0,"","-" &amp; G445))</f>
        <v>с3350 3а/Тип 10-1</v>
      </c>
    </row>
    <row r="446" customFormat="false" ht="12.8" hidden="false" customHeight="false" outlineLevel="0" collapsed="false">
      <c r="A446" s="1" t="s">
        <v>8</v>
      </c>
      <c r="B446" s="1" t="n">
        <v>3</v>
      </c>
      <c r="C446" s="1" t="n">
        <v>33</v>
      </c>
      <c r="D446" s="1" t="s">
        <v>206</v>
      </c>
      <c r="E446" s="1" t="s">
        <v>211</v>
      </c>
      <c r="F446" s="1" t="n">
        <v>3350</v>
      </c>
      <c r="G446" s="4" t="n">
        <v>0</v>
      </c>
      <c r="H446" s="1" t="s">
        <v>370</v>
      </c>
      <c r="I446" s="4" t="n">
        <v>1</v>
      </c>
      <c r="J446" s="1" t="str">
        <f aca="false">_xlfn.CONCAT("с",F446," ",D446,"/",E446,IF(G446=0,"","-" &amp; G446))</f>
        <v>с3350 Тип 10/ОК-1</v>
      </c>
    </row>
    <row r="447" customFormat="false" ht="12.8" hidden="false" customHeight="false" outlineLevel="0" collapsed="false">
      <c r="A447" s="1" t="s">
        <v>8</v>
      </c>
      <c r="B447" s="1" t="n">
        <v>3</v>
      </c>
      <c r="C447" s="1" t="n">
        <v>34</v>
      </c>
      <c r="D447" s="1" t="s">
        <v>211</v>
      </c>
      <c r="E447" s="1" t="s">
        <v>198</v>
      </c>
      <c r="F447" s="1" t="n">
        <v>3350</v>
      </c>
      <c r="G447" s="4" t="n">
        <v>0</v>
      </c>
      <c r="H447" s="1" t="s">
        <v>371</v>
      </c>
      <c r="I447" s="4" t="n">
        <v>1</v>
      </c>
      <c r="J447" s="1" t="str">
        <f aca="false">_xlfn.CONCAT("с",F447," ",D447,"/",E447,IF(G447=0,"","-" &amp; G447))</f>
        <v>с3350 ОК-1/3а</v>
      </c>
    </row>
    <row r="448" customFormat="false" ht="12.8" hidden="false" customHeight="false" outlineLevel="0" collapsed="false">
      <c r="A448" s="1" t="s">
        <v>8</v>
      </c>
      <c r="B448" s="1" t="n">
        <v>3</v>
      </c>
      <c r="C448" s="1" t="n">
        <v>35</v>
      </c>
      <c r="F448" s="1" t="n">
        <v>3350</v>
      </c>
      <c r="G448" s="4" t="n">
        <v>0</v>
      </c>
      <c r="H448" s="1" t="s">
        <v>360</v>
      </c>
      <c r="I448" s="4" t="n">
        <v>1</v>
      </c>
      <c r="J448" s="1" t="str">
        <f aca="false">_xlfn.CONCAT("с",F448," ",D448,"/",E448,IF(G448=0,"","-" &amp; G448))</f>
        <v>с3350 /</v>
      </c>
    </row>
    <row r="449" customFormat="false" ht="12.8" hidden="false" customHeight="false" outlineLevel="0" collapsed="false">
      <c r="A449" s="1" t="s">
        <v>8</v>
      </c>
      <c r="B449" s="1" t="n">
        <v>19</v>
      </c>
      <c r="C449" s="1" t="n">
        <v>1</v>
      </c>
      <c r="F449" s="1" t="n">
        <v>3510</v>
      </c>
      <c r="G449" s="4" t="n">
        <v>0</v>
      </c>
      <c r="H449" s="1" t="s">
        <v>377</v>
      </c>
      <c r="I449" s="4" t="n">
        <v>1</v>
      </c>
      <c r="J449" s="1" t="str">
        <f aca="false">_xlfn.CONCAT("с",F449," ",D449,"/",E449,IF(G449=0,"","-" &amp; G449))</f>
        <v>с3510 /</v>
      </c>
    </row>
    <row r="450" customFormat="false" ht="12.8" hidden="false" customHeight="false" outlineLevel="0" collapsed="false">
      <c r="A450" s="1" t="s">
        <v>8</v>
      </c>
      <c r="B450" s="1" t="n">
        <v>19</v>
      </c>
      <c r="C450" s="1" t="n">
        <v>2</v>
      </c>
      <c r="D450" s="1" t="s">
        <v>200</v>
      </c>
      <c r="E450" s="1" t="s">
        <v>211</v>
      </c>
      <c r="F450" s="1" t="n">
        <v>3510</v>
      </c>
      <c r="G450" s="4" t="n">
        <v>0</v>
      </c>
      <c r="H450" s="1" t="s">
        <v>378</v>
      </c>
      <c r="I450" s="4" t="n">
        <v>1</v>
      </c>
      <c r="J450" s="1" t="str">
        <f aca="false">_xlfn.CONCAT("с",F450," ",D450,"/",E450,IF(G450=0,"","-" &amp; G450))</f>
        <v>с3510 5а/ОК-1</v>
      </c>
    </row>
    <row r="451" customFormat="false" ht="12.8" hidden="false" customHeight="false" outlineLevel="0" collapsed="false">
      <c r="A451" s="1" t="s">
        <v>8</v>
      </c>
      <c r="B451" s="1" t="n">
        <v>19</v>
      </c>
      <c r="C451" s="1" t="n">
        <v>3</v>
      </c>
      <c r="D451" s="1" t="s">
        <v>211</v>
      </c>
      <c r="E451" s="1" t="s">
        <v>206</v>
      </c>
      <c r="F451" s="1" t="n">
        <v>3510</v>
      </c>
      <c r="G451" s="4" t="n">
        <v>0</v>
      </c>
      <c r="H451" s="1" t="s">
        <v>379</v>
      </c>
      <c r="I451" s="4" t="n">
        <v>1</v>
      </c>
      <c r="J451" s="1" t="str">
        <f aca="false">_xlfn.CONCAT("с",F451," ",D451,"/",E451,IF(G451=0,"","-" &amp; G451))</f>
        <v>с3510 ОК-1/Тип 10</v>
      </c>
    </row>
    <row r="452" customFormat="false" ht="12.8" hidden="false" customHeight="false" outlineLevel="0" collapsed="false">
      <c r="A452" s="1" t="s">
        <v>8</v>
      </c>
      <c r="B452" s="1" t="n">
        <v>19</v>
      </c>
      <c r="C452" s="1" t="n">
        <v>4</v>
      </c>
      <c r="D452" s="1" t="s">
        <v>206</v>
      </c>
      <c r="E452" s="1" t="s">
        <v>211</v>
      </c>
      <c r="F452" s="1" t="n">
        <v>3510</v>
      </c>
      <c r="G452" s="4" t="n">
        <v>0</v>
      </c>
      <c r="H452" s="1" t="s">
        <v>380</v>
      </c>
      <c r="I452" s="4" t="n">
        <v>1</v>
      </c>
      <c r="J452" s="1" t="str">
        <f aca="false">_xlfn.CONCAT("с",F452," ",D452,"/",E452,IF(G452=0,"","-" &amp; G452))</f>
        <v>с3510 Тип 10/ОК-1</v>
      </c>
    </row>
    <row r="453" customFormat="false" ht="12.8" hidden="false" customHeight="false" outlineLevel="0" collapsed="false">
      <c r="A453" s="1" t="s">
        <v>8</v>
      </c>
      <c r="B453" s="1" t="n">
        <v>19</v>
      </c>
      <c r="C453" s="1" t="n">
        <v>5</v>
      </c>
      <c r="D453" s="1" t="s">
        <v>211</v>
      </c>
      <c r="E453" s="1" t="s">
        <v>198</v>
      </c>
      <c r="F453" s="1" t="n">
        <v>3510</v>
      </c>
      <c r="G453" s="4" t="n">
        <v>0</v>
      </c>
      <c r="H453" s="1" t="s">
        <v>381</v>
      </c>
      <c r="I453" s="4" t="n">
        <v>1</v>
      </c>
      <c r="J453" s="1" t="str">
        <f aca="false">_xlfn.CONCAT("с",F453," ",D453,"/",E453,IF(G453=0,"","-" &amp; G453))</f>
        <v>с3510 ОК-1/3а</v>
      </c>
    </row>
    <row r="454" customFormat="false" ht="12.8" hidden="false" customHeight="false" outlineLevel="0" collapsed="false">
      <c r="A454" s="1" t="s">
        <v>8</v>
      </c>
      <c r="B454" s="1" t="n">
        <v>19</v>
      </c>
      <c r="C454" s="1" t="n">
        <v>6</v>
      </c>
      <c r="D454" s="1" t="s">
        <v>198</v>
      </c>
      <c r="E454" s="1" t="s">
        <v>206</v>
      </c>
      <c r="F454" s="1" t="n">
        <v>3510</v>
      </c>
      <c r="G454" s="4" t="n">
        <v>1</v>
      </c>
      <c r="H454" s="1" t="s">
        <v>382</v>
      </c>
      <c r="I454" s="4" t="n">
        <v>1</v>
      </c>
      <c r="J454" s="1" t="str">
        <f aca="false">_xlfn.CONCAT("с",F454," ",D454,"/",E454,IF(G454=0,"","-" &amp; G454))</f>
        <v>с3510 3а/Тип 10-1</v>
      </c>
    </row>
    <row r="455" customFormat="false" ht="12.8" hidden="false" customHeight="false" outlineLevel="0" collapsed="false">
      <c r="A455" s="1" t="s">
        <v>8</v>
      </c>
      <c r="B455" s="1" t="n">
        <v>19</v>
      </c>
      <c r="C455" s="1" t="n">
        <v>7</v>
      </c>
      <c r="D455" s="1" t="s">
        <v>206</v>
      </c>
      <c r="E455" s="1" t="s">
        <v>211</v>
      </c>
      <c r="F455" s="1" t="n">
        <v>3510</v>
      </c>
      <c r="G455" s="4" t="n">
        <v>0</v>
      </c>
      <c r="H455" s="1" t="s">
        <v>380</v>
      </c>
      <c r="I455" s="4" t="n">
        <v>1</v>
      </c>
      <c r="J455" s="1" t="str">
        <f aca="false">_xlfn.CONCAT("с",F455," ",D455,"/",E455,IF(G455=0,"","-" &amp; G455))</f>
        <v>с3510 Тип 10/ОК-1</v>
      </c>
    </row>
    <row r="456" customFormat="false" ht="12.8" hidden="false" customHeight="false" outlineLevel="0" collapsed="false">
      <c r="A456" s="1" t="s">
        <v>8</v>
      </c>
      <c r="B456" s="1" t="n">
        <v>19</v>
      </c>
      <c r="C456" s="1" t="n">
        <v>8</v>
      </c>
      <c r="D456" s="1" t="s">
        <v>211</v>
      </c>
      <c r="E456" s="1" t="s">
        <v>200</v>
      </c>
      <c r="F456" s="1" t="n">
        <v>3510</v>
      </c>
      <c r="G456" s="4" t="n">
        <v>0</v>
      </c>
      <c r="H456" s="1" t="s">
        <v>383</v>
      </c>
      <c r="I456" s="4" t="n">
        <v>1</v>
      </c>
      <c r="J456" s="1" t="str">
        <f aca="false">_xlfn.CONCAT("с",F456," ",D456,"/",E456,IF(G456=0,"","-" &amp; G456))</f>
        <v>с3510 ОК-1/5а</v>
      </c>
    </row>
    <row r="457" customFormat="false" ht="12.8" hidden="false" customHeight="false" outlineLevel="0" collapsed="false">
      <c r="A457" s="1" t="s">
        <v>8</v>
      </c>
      <c r="B457" s="1" t="n">
        <v>19</v>
      </c>
      <c r="C457" s="1" t="n">
        <v>9</v>
      </c>
      <c r="D457" s="1" t="s">
        <v>200</v>
      </c>
      <c r="E457" s="1" t="s">
        <v>206</v>
      </c>
      <c r="F457" s="1" t="n">
        <v>3510</v>
      </c>
      <c r="G457" s="4" t="n">
        <v>1</v>
      </c>
      <c r="H457" s="1" t="s">
        <v>384</v>
      </c>
      <c r="I457" s="4" t="n">
        <v>1</v>
      </c>
      <c r="J457" s="1" t="str">
        <f aca="false">_xlfn.CONCAT("с",F457," ",D457,"/",E457,IF(G457=0,"","-" &amp; G457))</f>
        <v>с3510 5а/Тип 10-1</v>
      </c>
    </row>
    <row r="458" customFormat="false" ht="12.8" hidden="false" customHeight="false" outlineLevel="0" collapsed="false">
      <c r="A458" s="1" t="s">
        <v>8</v>
      </c>
      <c r="B458" s="1" t="n">
        <v>19</v>
      </c>
      <c r="C458" s="1" t="n">
        <v>10</v>
      </c>
      <c r="D458" s="1" t="s">
        <v>206</v>
      </c>
      <c r="E458" s="1" t="s">
        <v>211</v>
      </c>
      <c r="F458" s="1" t="n">
        <v>3510</v>
      </c>
      <c r="G458" s="4" t="n">
        <v>0</v>
      </c>
      <c r="H458" s="1" t="s">
        <v>380</v>
      </c>
      <c r="I458" s="4" t="n">
        <v>1</v>
      </c>
      <c r="J458" s="1" t="str">
        <f aca="false">_xlfn.CONCAT("с",F458," ",D458,"/",E458,IF(G458=0,"","-" &amp; G458))</f>
        <v>с3510 Тип 10/ОК-1</v>
      </c>
    </row>
    <row r="459" customFormat="false" ht="12.8" hidden="false" customHeight="false" outlineLevel="0" collapsed="false">
      <c r="A459" s="1" t="s">
        <v>8</v>
      </c>
      <c r="B459" s="1" t="n">
        <v>19</v>
      </c>
      <c r="C459" s="1" t="n">
        <v>11</v>
      </c>
      <c r="D459" s="1" t="s">
        <v>211</v>
      </c>
      <c r="E459" s="1" t="s">
        <v>200</v>
      </c>
      <c r="F459" s="1" t="n">
        <v>3510</v>
      </c>
      <c r="G459" s="4" t="n">
        <v>0</v>
      </c>
      <c r="H459" s="1" t="s">
        <v>383</v>
      </c>
      <c r="I459" s="4" t="n">
        <v>1</v>
      </c>
      <c r="J459" s="1" t="str">
        <f aca="false">_xlfn.CONCAT("с",F459," ",D459,"/",E459,IF(G459=0,"","-" &amp; G459))</f>
        <v>с3510 ОК-1/5а</v>
      </c>
    </row>
    <row r="460" customFormat="false" ht="12.8" hidden="false" customHeight="false" outlineLevel="0" collapsed="false">
      <c r="A460" s="1" t="s">
        <v>8</v>
      </c>
      <c r="B460" s="1" t="n">
        <v>19</v>
      </c>
      <c r="C460" s="1" t="n">
        <v>12</v>
      </c>
      <c r="D460" s="1" t="s">
        <v>200</v>
      </c>
      <c r="E460" s="1" t="s">
        <v>206</v>
      </c>
      <c r="F460" s="1" t="n">
        <v>3510</v>
      </c>
      <c r="G460" s="4" t="n">
        <v>1</v>
      </c>
      <c r="H460" s="1" t="s">
        <v>384</v>
      </c>
      <c r="I460" s="4" t="n">
        <v>1</v>
      </c>
      <c r="J460" s="1" t="str">
        <f aca="false">_xlfn.CONCAT("с",F460," ",D460,"/",E460,IF(G460=0,"","-" &amp; G460))</f>
        <v>с3510 5а/Тип 10-1</v>
      </c>
    </row>
    <row r="461" customFormat="false" ht="12.8" hidden="false" customHeight="false" outlineLevel="0" collapsed="false">
      <c r="A461" s="1" t="s">
        <v>8</v>
      </c>
      <c r="B461" s="1" t="n">
        <v>19</v>
      </c>
      <c r="C461" s="1" t="n">
        <v>13</v>
      </c>
      <c r="D461" s="1" t="s">
        <v>206</v>
      </c>
      <c r="E461" s="1" t="s">
        <v>211</v>
      </c>
      <c r="F461" s="1" t="n">
        <v>3510</v>
      </c>
      <c r="G461" s="4" t="n">
        <v>0</v>
      </c>
      <c r="H461" s="1" t="s">
        <v>380</v>
      </c>
      <c r="I461" s="4" t="n">
        <v>1</v>
      </c>
      <c r="J461" s="1" t="str">
        <f aca="false">_xlfn.CONCAT("с",F461," ",D461,"/",E461,IF(G461=0,"","-" &amp; G461))</f>
        <v>с3510 Тип 10/ОК-1</v>
      </c>
    </row>
    <row r="462" customFormat="false" ht="12.8" hidden="false" customHeight="false" outlineLevel="0" collapsed="false">
      <c r="A462" s="1" t="s">
        <v>8</v>
      </c>
      <c r="B462" s="1" t="n">
        <v>19</v>
      </c>
      <c r="C462" s="1" t="n">
        <v>14</v>
      </c>
      <c r="D462" s="1" t="s">
        <v>211</v>
      </c>
      <c r="E462" s="1" t="s">
        <v>198</v>
      </c>
      <c r="F462" s="1" t="n">
        <v>3510</v>
      </c>
      <c r="G462" s="4" t="n">
        <v>0</v>
      </c>
      <c r="H462" s="1" t="s">
        <v>381</v>
      </c>
      <c r="I462" s="4" t="n">
        <v>1</v>
      </c>
      <c r="J462" s="1" t="str">
        <f aca="false">_xlfn.CONCAT("с",F462," ",D462,"/",E462,IF(G462=0,"","-" &amp; G462))</f>
        <v>с3510 ОК-1/3а</v>
      </c>
    </row>
    <row r="463" customFormat="false" ht="12.8" hidden="false" customHeight="false" outlineLevel="0" collapsed="false">
      <c r="A463" s="1" t="s">
        <v>8</v>
      </c>
      <c r="B463" s="1" t="n">
        <v>19</v>
      </c>
      <c r="C463" s="1" t="n">
        <v>15</v>
      </c>
      <c r="D463" s="1" t="s">
        <v>198</v>
      </c>
      <c r="E463" s="1" t="s">
        <v>206</v>
      </c>
      <c r="F463" s="1" t="n">
        <v>3510</v>
      </c>
      <c r="G463" s="4" t="n">
        <v>1</v>
      </c>
      <c r="H463" s="1" t="s">
        <v>382</v>
      </c>
      <c r="I463" s="4" t="n">
        <v>1</v>
      </c>
      <c r="J463" s="1" t="str">
        <f aca="false">_xlfn.CONCAT("с",F463," ",D463,"/",E463,IF(G463=0,"","-" &amp; G463))</f>
        <v>с3510 3а/Тип 10-1</v>
      </c>
    </row>
    <row r="464" customFormat="false" ht="12.8" hidden="false" customHeight="false" outlineLevel="0" collapsed="false">
      <c r="A464" s="1" t="s">
        <v>8</v>
      </c>
      <c r="B464" s="1" t="n">
        <v>19</v>
      </c>
      <c r="C464" s="1" t="n">
        <v>16</v>
      </c>
      <c r="D464" s="1" t="s">
        <v>206</v>
      </c>
      <c r="E464" s="1" t="s">
        <v>211</v>
      </c>
      <c r="F464" s="1" t="n">
        <v>3510</v>
      </c>
      <c r="G464" s="4" t="n">
        <v>0</v>
      </c>
      <c r="H464" s="1" t="s">
        <v>380</v>
      </c>
      <c r="I464" s="4" t="n">
        <v>1</v>
      </c>
      <c r="J464" s="1" t="str">
        <f aca="false">_xlfn.CONCAT("с",F464," ",D464,"/",E464,IF(G464=0,"","-" &amp; G464))</f>
        <v>с3510 Тип 10/ОК-1</v>
      </c>
    </row>
    <row r="465" customFormat="false" ht="12.8" hidden="false" customHeight="false" outlineLevel="0" collapsed="false">
      <c r="A465" s="1" t="s">
        <v>8</v>
      </c>
      <c r="B465" s="1" t="n">
        <v>19</v>
      </c>
      <c r="C465" s="1" t="n">
        <v>17</v>
      </c>
      <c r="D465" s="1" t="s">
        <v>211</v>
      </c>
      <c r="E465" s="1" t="s">
        <v>198</v>
      </c>
      <c r="F465" s="1" t="n">
        <v>3510</v>
      </c>
      <c r="G465" s="4" t="n">
        <v>0</v>
      </c>
      <c r="H465" s="1" t="s">
        <v>381</v>
      </c>
      <c r="I465" s="4" t="n">
        <v>1</v>
      </c>
      <c r="J465" s="1" t="str">
        <f aca="false">_xlfn.CONCAT("с",F465," ",D465,"/",E465,IF(G465=0,"","-" &amp; G465))</f>
        <v>с3510 ОК-1/3а</v>
      </c>
    </row>
    <row r="466" customFormat="false" ht="12.8" hidden="false" customHeight="false" outlineLevel="0" collapsed="false">
      <c r="A466" s="1" t="s">
        <v>8</v>
      </c>
      <c r="B466" s="1" t="n">
        <v>19</v>
      </c>
      <c r="C466" s="1" t="n">
        <v>18</v>
      </c>
      <c r="D466" s="1" t="s">
        <v>198</v>
      </c>
      <c r="E466" s="1" t="s">
        <v>206</v>
      </c>
      <c r="F466" s="1" t="n">
        <v>3510</v>
      </c>
      <c r="G466" s="4" t="n">
        <v>1</v>
      </c>
      <c r="H466" s="1" t="s">
        <v>382</v>
      </c>
      <c r="I466" s="4" t="n">
        <v>1</v>
      </c>
      <c r="J466" s="1" t="str">
        <f aca="false">_xlfn.CONCAT("с",F466," ",D466,"/",E466,IF(G466=0,"","-" &amp; G466))</f>
        <v>с3510 3а/Тип 10-1</v>
      </c>
    </row>
    <row r="467" customFormat="false" ht="12.8" hidden="false" customHeight="false" outlineLevel="0" collapsed="false">
      <c r="A467" s="1" t="s">
        <v>8</v>
      </c>
      <c r="B467" s="1" t="n">
        <v>19</v>
      </c>
      <c r="C467" s="1" t="n">
        <v>19</v>
      </c>
      <c r="D467" s="1" t="s">
        <v>206</v>
      </c>
      <c r="E467" s="1" t="s">
        <v>211</v>
      </c>
      <c r="F467" s="1" t="n">
        <v>3510</v>
      </c>
      <c r="G467" s="4" t="n">
        <v>0</v>
      </c>
      <c r="H467" s="1" t="s">
        <v>380</v>
      </c>
      <c r="I467" s="4" t="n">
        <v>1</v>
      </c>
      <c r="J467" s="1" t="str">
        <f aca="false">_xlfn.CONCAT("с",F467," ",D467,"/",E467,IF(G467=0,"","-" &amp; G467))</f>
        <v>с3510 Тип 10/ОК-1</v>
      </c>
    </row>
    <row r="468" customFormat="false" ht="12.8" hidden="false" customHeight="false" outlineLevel="0" collapsed="false">
      <c r="A468" s="1" t="s">
        <v>8</v>
      </c>
      <c r="B468" s="1" t="n">
        <v>19</v>
      </c>
      <c r="C468" s="1" t="n">
        <v>20</v>
      </c>
      <c r="D468" s="1" t="s">
        <v>211</v>
      </c>
      <c r="E468" s="1" t="s">
        <v>202</v>
      </c>
      <c r="F468" s="1" t="n">
        <v>3510</v>
      </c>
      <c r="G468" s="4" t="n">
        <v>0</v>
      </c>
      <c r="H468" s="1" t="s">
        <v>385</v>
      </c>
      <c r="I468" s="4" t="n">
        <v>1</v>
      </c>
      <c r="J468" s="1" t="str">
        <f aca="false">_xlfn.CONCAT("с",F468," ",D468,"/",E468,IF(G468=0,"","-" &amp; G468))</f>
        <v>с3510 ОК-1/6а</v>
      </c>
    </row>
    <row r="469" customFormat="false" ht="12.8" hidden="false" customHeight="false" outlineLevel="0" collapsed="false">
      <c r="A469" s="1" t="s">
        <v>8</v>
      </c>
      <c r="B469" s="1" t="n">
        <v>19</v>
      </c>
      <c r="C469" s="1" t="n">
        <v>21</v>
      </c>
      <c r="D469" s="1" t="s">
        <v>202</v>
      </c>
      <c r="E469" s="1" t="s">
        <v>206</v>
      </c>
      <c r="F469" s="1" t="n">
        <v>3510</v>
      </c>
      <c r="G469" s="4" t="n">
        <v>0</v>
      </c>
      <c r="H469" s="1" t="s">
        <v>386</v>
      </c>
      <c r="I469" s="4" t="n">
        <v>1</v>
      </c>
      <c r="J469" s="1" t="str">
        <f aca="false">_xlfn.CONCAT("с",F469," ",D469,"/",E469,IF(G469=0,"","-" &amp; G469))</f>
        <v>с3510 6а/Тип 10</v>
      </c>
    </row>
    <row r="470" customFormat="false" ht="12.8" hidden="false" customHeight="false" outlineLevel="0" collapsed="false">
      <c r="A470" s="1" t="s">
        <v>8</v>
      </c>
      <c r="B470" s="1" t="n">
        <v>19</v>
      </c>
      <c r="C470" s="1" t="n">
        <v>22</v>
      </c>
      <c r="D470" s="1" t="s">
        <v>206</v>
      </c>
      <c r="E470" s="1" t="s">
        <v>200</v>
      </c>
      <c r="F470" s="1" t="n">
        <v>3510</v>
      </c>
      <c r="G470" s="4" t="n">
        <v>0</v>
      </c>
      <c r="H470" s="1" t="s">
        <v>387</v>
      </c>
      <c r="I470" s="4" t="n">
        <v>1</v>
      </c>
      <c r="J470" s="1" t="str">
        <f aca="false">_xlfn.CONCAT("с",F470," ",D470,"/",E470,IF(G470=0,"","-" &amp; G470))</f>
        <v>с3510 Тип 10/5а</v>
      </c>
    </row>
    <row r="471" customFormat="false" ht="12.8" hidden="false" customHeight="false" outlineLevel="0" collapsed="false">
      <c r="A471" s="1" t="s">
        <v>8</v>
      </c>
      <c r="B471" s="1" t="n">
        <v>19</v>
      </c>
      <c r="C471" s="1" t="n">
        <v>23</v>
      </c>
      <c r="D471" s="1" t="s">
        <v>200</v>
      </c>
      <c r="E471" s="1" t="s">
        <v>206</v>
      </c>
      <c r="F471" s="1" t="n">
        <v>3510</v>
      </c>
      <c r="G471" s="4" t="n">
        <v>1</v>
      </c>
      <c r="H471" s="1" t="s">
        <v>384</v>
      </c>
      <c r="I471" s="4" t="n">
        <v>1</v>
      </c>
      <c r="J471" s="1" t="str">
        <f aca="false">_xlfn.CONCAT("с",F471," ",D471,"/",E471,IF(G471=0,"","-" &amp; G471))</f>
        <v>с3510 5а/Тип 10-1</v>
      </c>
    </row>
    <row r="472" customFormat="false" ht="12.8" hidden="false" customHeight="false" outlineLevel="0" collapsed="false">
      <c r="A472" s="1" t="s">
        <v>8</v>
      </c>
      <c r="B472" s="1" t="n">
        <v>19</v>
      </c>
      <c r="C472" s="1" t="n">
        <v>24</v>
      </c>
      <c r="D472" s="1" t="s">
        <v>206</v>
      </c>
      <c r="E472" s="1" t="s">
        <v>211</v>
      </c>
      <c r="F472" s="1" t="n">
        <v>3510</v>
      </c>
      <c r="G472" s="4" t="n">
        <v>0</v>
      </c>
      <c r="H472" s="1" t="s">
        <v>380</v>
      </c>
      <c r="I472" s="4" t="n">
        <v>1</v>
      </c>
      <c r="J472" s="1" t="str">
        <f aca="false">_xlfn.CONCAT("с",F472," ",D472,"/",E472,IF(G472=0,"","-" &amp; G472))</f>
        <v>с3510 Тип 10/ОК-1</v>
      </c>
    </row>
    <row r="473" customFormat="false" ht="12.8" hidden="false" customHeight="false" outlineLevel="0" collapsed="false">
      <c r="A473" s="1" t="s">
        <v>8</v>
      </c>
      <c r="B473" s="1" t="n">
        <v>19</v>
      </c>
      <c r="C473" s="1" t="n">
        <v>25</v>
      </c>
      <c r="D473" s="1" t="s">
        <v>211</v>
      </c>
      <c r="E473" s="1" t="s">
        <v>202</v>
      </c>
      <c r="F473" s="1" t="n">
        <v>3510</v>
      </c>
      <c r="G473" s="4" t="n">
        <v>0</v>
      </c>
      <c r="H473" s="1" t="s">
        <v>385</v>
      </c>
      <c r="I473" s="4" t="n">
        <v>1</v>
      </c>
      <c r="J473" s="1" t="str">
        <f aca="false">_xlfn.CONCAT("с",F473," ",D473,"/",E473,IF(G473=0,"","-" &amp; G473))</f>
        <v>с3510 ОК-1/6а</v>
      </c>
    </row>
    <row r="474" customFormat="false" ht="12.8" hidden="false" customHeight="false" outlineLevel="0" collapsed="false">
      <c r="A474" s="1" t="s">
        <v>8</v>
      </c>
      <c r="B474" s="1" t="n">
        <v>19</v>
      </c>
      <c r="C474" s="1" t="n">
        <v>26</v>
      </c>
      <c r="D474" s="1" t="s">
        <v>202</v>
      </c>
      <c r="E474" s="1" t="s">
        <v>206</v>
      </c>
      <c r="F474" s="1" t="n">
        <v>3510</v>
      </c>
      <c r="G474" s="4" t="n">
        <v>0</v>
      </c>
      <c r="H474" s="1" t="s">
        <v>386</v>
      </c>
      <c r="I474" s="4" t="n">
        <v>1</v>
      </c>
      <c r="J474" s="1" t="str">
        <f aca="false">_xlfn.CONCAT("с",F474," ",D474,"/",E474,IF(G474=0,"","-" &amp; G474))</f>
        <v>с3510 6а/Тип 10</v>
      </c>
    </row>
    <row r="475" customFormat="false" ht="12.8" hidden="false" customHeight="false" outlineLevel="0" collapsed="false">
      <c r="A475" s="1" t="s">
        <v>8</v>
      </c>
      <c r="B475" s="1" t="n">
        <v>19</v>
      </c>
      <c r="C475" s="1" t="n">
        <v>27</v>
      </c>
      <c r="D475" s="1" t="s">
        <v>206</v>
      </c>
      <c r="E475" s="1" t="s">
        <v>211</v>
      </c>
      <c r="F475" s="1" t="n">
        <v>3510</v>
      </c>
      <c r="G475" s="4" t="n">
        <v>0</v>
      </c>
      <c r="H475" s="1" t="s">
        <v>380</v>
      </c>
      <c r="I475" s="4" t="n">
        <v>1</v>
      </c>
      <c r="J475" s="1" t="str">
        <f aca="false">_xlfn.CONCAT("с",F475," ",D475,"/",E475,IF(G475=0,"","-" &amp; G475))</f>
        <v>с3510 Тип 10/ОК-1</v>
      </c>
    </row>
    <row r="476" customFormat="false" ht="12.8" hidden="false" customHeight="false" outlineLevel="0" collapsed="false">
      <c r="A476" s="1" t="s">
        <v>8</v>
      </c>
      <c r="B476" s="1" t="n">
        <v>19</v>
      </c>
      <c r="C476" s="1" t="n">
        <v>28</v>
      </c>
      <c r="D476" s="1" t="s">
        <v>211</v>
      </c>
      <c r="E476" s="1" t="s">
        <v>198</v>
      </c>
      <c r="F476" s="1" t="n">
        <v>3510</v>
      </c>
      <c r="G476" s="4" t="n">
        <v>0</v>
      </c>
      <c r="H476" s="1" t="s">
        <v>381</v>
      </c>
      <c r="I476" s="4" t="n">
        <v>1</v>
      </c>
      <c r="J476" s="1" t="str">
        <f aca="false">_xlfn.CONCAT("с",F476," ",D476,"/",E476,IF(G476=0,"","-" &amp; G476))</f>
        <v>с3510 ОК-1/3а</v>
      </c>
    </row>
    <row r="477" customFormat="false" ht="12.8" hidden="false" customHeight="false" outlineLevel="0" collapsed="false">
      <c r="A477" s="1" t="s">
        <v>8</v>
      </c>
      <c r="B477" s="1" t="n">
        <v>19</v>
      </c>
      <c r="C477" s="1" t="n">
        <v>29</v>
      </c>
      <c r="D477" s="1" t="s">
        <v>198</v>
      </c>
      <c r="E477" s="1" t="s">
        <v>206</v>
      </c>
      <c r="F477" s="1" t="n">
        <v>3510</v>
      </c>
      <c r="G477" s="4" t="n">
        <v>1</v>
      </c>
      <c r="H477" s="1" t="s">
        <v>382</v>
      </c>
      <c r="I477" s="4" t="n">
        <v>1</v>
      </c>
      <c r="J477" s="1" t="str">
        <f aca="false">_xlfn.CONCAT("с",F477," ",D477,"/",E477,IF(G477=0,"","-" &amp; G477))</f>
        <v>с3510 3а/Тип 10-1</v>
      </c>
    </row>
    <row r="478" customFormat="false" ht="12.8" hidden="false" customHeight="false" outlineLevel="0" collapsed="false">
      <c r="A478" s="1" t="s">
        <v>8</v>
      </c>
      <c r="B478" s="1" t="n">
        <v>19</v>
      </c>
      <c r="C478" s="1" t="n">
        <v>30</v>
      </c>
      <c r="D478" s="1" t="s">
        <v>206</v>
      </c>
      <c r="E478" s="1" t="s">
        <v>211</v>
      </c>
      <c r="F478" s="1" t="n">
        <v>3510</v>
      </c>
      <c r="G478" s="4" t="n">
        <v>0</v>
      </c>
      <c r="H478" s="1" t="s">
        <v>380</v>
      </c>
      <c r="I478" s="4" t="n">
        <v>1</v>
      </c>
      <c r="J478" s="1" t="str">
        <f aca="false">_xlfn.CONCAT("с",F478," ",D478,"/",E478,IF(G478=0,"","-" &amp; G478))</f>
        <v>с3510 Тип 10/ОК-1</v>
      </c>
    </row>
    <row r="479" customFormat="false" ht="12.8" hidden="false" customHeight="false" outlineLevel="0" collapsed="false">
      <c r="A479" s="1" t="s">
        <v>8</v>
      </c>
      <c r="B479" s="1" t="n">
        <v>19</v>
      </c>
      <c r="C479" s="1" t="n">
        <v>31</v>
      </c>
      <c r="D479" s="1" t="s">
        <v>211</v>
      </c>
      <c r="E479" s="1" t="s">
        <v>198</v>
      </c>
      <c r="F479" s="1" t="n">
        <v>3510</v>
      </c>
      <c r="G479" s="4" t="n">
        <v>0</v>
      </c>
      <c r="H479" s="1" t="s">
        <v>381</v>
      </c>
      <c r="I479" s="4" t="n">
        <v>1</v>
      </c>
      <c r="J479" s="1" t="str">
        <f aca="false">_xlfn.CONCAT("с",F479," ",D479,"/",E479,IF(G479=0,"","-" &amp; G479))</f>
        <v>с3510 ОК-1/3а</v>
      </c>
    </row>
    <row r="480" customFormat="false" ht="12.8" hidden="false" customHeight="false" outlineLevel="0" collapsed="false">
      <c r="A480" s="1" t="s">
        <v>8</v>
      </c>
      <c r="B480" s="1" t="n">
        <v>19</v>
      </c>
      <c r="C480" s="1" t="n">
        <v>32</v>
      </c>
      <c r="D480" s="1" t="s">
        <v>198</v>
      </c>
      <c r="E480" s="1" t="s">
        <v>206</v>
      </c>
      <c r="F480" s="1" t="n">
        <v>3510</v>
      </c>
      <c r="G480" s="4" t="n">
        <v>1</v>
      </c>
      <c r="H480" s="1" t="s">
        <v>382</v>
      </c>
      <c r="I480" s="4" t="n">
        <v>1</v>
      </c>
      <c r="J480" s="1" t="str">
        <f aca="false">_xlfn.CONCAT("с",F480," ",D480,"/",E480,IF(G480=0,"","-" &amp; G480))</f>
        <v>с3510 3а/Тип 10-1</v>
      </c>
    </row>
    <row r="481" customFormat="false" ht="12.8" hidden="false" customHeight="false" outlineLevel="0" collapsed="false">
      <c r="A481" s="1" t="s">
        <v>8</v>
      </c>
      <c r="B481" s="1" t="n">
        <v>19</v>
      </c>
      <c r="C481" s="1" t="n">
        <v>33</v>
      </c>
      <c r="D481" s="1" t="s">
        <v>206</v>
      </c>
      <c r="E481" s="1" t="s">
        <v>211</v>
      </c>
      <c r="F481" s="1" t="n">
        <v>3510</v>
      </c>
      <c r="G481" s="4" t="n">
        <v>0</v>
      </c>
      <c r="H481" s="1" t="s">
        <v>380</v>
      </c>
      <c r="I481" s="4" t="n">
        <v>1</v>
      </c>
      <c r="J481" s="1" t="str">
        <f aca="false">_xlfn.CONCAT("с",F481," ",D481,"/",E481,IF(G481=0,"","-" &amp; G481))</f>
        <v>с3510 Тип 10/ОК-1</v>
      </c>
    </row>
    <row r="482" customFormat="false" ht="12.8" hidden="false" customHeight="false" outlineLevel="0" collapsed="false">
      <c r="A482" s="1" t="s">
        <v>8</v>
      </c>
      <c r="B482" s="1" t="n">
        <v>19</v>
      </c>
      <c r="C482" s="1" t="n">
        <v>34</v>
      </c>
      <c r="D482" s="1" t="s">
        <v>211</v>
      </c>
      <c r="E482" s="1" t="s">
        <v>198</v>
      </c>
      <c r="F482" s="1" t="n">
        <v>3510</v>
      </c>
      <c r="G482" s="4" t="n">
        <v>1</v>
      </c>
      <c r="H482" s="1" t="s">
        <v>388</v>
      </c>
      <c r="I482" s="4" t="n">
        <v>1</v>
      </c>
      <c r="J482" s="1" t="str">
        <f aca="false">_xlfn.CONCAT("с",F482," ",D482,"/",E482,IF(G482=0,"","-" &amp; G482))</f>
        <v>с3510 ОК-1/3а-1</v>
      </c>
    </row>
    <row r="483" customFormat="false" ht="12.8" hidden="false" customHeight="false" outlineLevel="0" collapsed="false">
      <c r="A483" s="1" t="s">
        <v>8</v>
      </c>
      <c r="B483" s="1" t="n">
        <v>19</v>
      </c>
      <c r="C483" s="1" t="n">
        <v>35</v>
      </c>
      <c r="F483" s="1" t="n">
        <v>3510</v>
      </c>
      <c r="G483" s="4" t="n">
        <v>0</v>
      </c>
      <c r="H483" s="1" t="s">
        <v>377</v>
      </c>
      <c r="I483" s="4" t="n">
        <v>1</v>
      </c>
      <c r="J483" s="1" t="str">
        <f aca="false">_xlfn.CONCAT("с",F483," ",D483,"/",E483,IF(G483=0,"","-" &amp; G483))</f>
        <v>с3510 /</v>
      </c>
    </row>
    <row r="484" customFormat="false" ht="12.8" hidden="false" customHeight="false" outlineLevel="0" collapsed="false">
      <c r="A484" s="1" t="s">
        <v>8</v>
      </c>
      <c r="B484" s="1" t="n">
        <v>29</v>
      </c>
      <c r="C484" s="1" t="n">
        <v>1</v>
      </c>
      <c r="F484" s="1" t="n">
        <v>3350</v>
      </c>
      <c r="G484" s="4" t="n">
        <v>0</v>
      </c>
      <c r="H484" s="1" t="s">
        <v>360</v>
      </c>
      <c r="I484" s="4" t="n">
        <v>1</v>
      </c>
      <c r="J484" s="1" t="str">
        <f aca="false">_xlfn.CONCAT("с",F484," ",D484,"/",E484,IF(G484=0,"","-" &amp; G484))</f>
        <v>с3350 /</v>
      </c>
    </row>
    <row r="485" customFormat="false" ht="12.8" hidden="false" customHeight="false" outlineLevel="0" collapsed="false">
      <c r="A485" s="1" t="s">
        <v>8</v>
      </c>
      <c r="B485" s="1" t="n">
        <v>29</v>
      </c>
      <c r="C485" s="1" t="n">
        <v>2</v>
      </c>
      <c r="D485" s="1" t="s">
        <v>201</v>
      </c>
      <c r="E485" s="1" t="s">
        <v>213</v>
      </c>
      <c r="F485" s="1" t="n">
        <v>3350</v>
      </c>
      <c r="G485" s="4" t="n">
        <v>0</v>
      </c>
      <c r="H485" s="1" t="s">
        <v>389</v>
      </c>
      <c r="I485" s="4" t="n">
        <v>1</v>
      </c>
      <c r="J485" s="1" t="str">
        <f aca="false">_xlfn.CONCAT("с",F485," ",D485,"/",E485,IF(G485=0,"","-" &amp; G485))</f>
        <v>с3350 5б/ОК-1.1</v>
      </c>
    </row>
    <row r="486" customFormat="false" ht="12.8" hidden="false" customHeight="false" outlineLevel="0" collapsed="false">
      <c r="A486" s="1" t="s">
        <v>8</v>
      </c>
      <c r="B486" s="1" t="n">
        <v>29</v>
      </c>
      <c r="C486" s="1" t="n">
        <v>3</v>
      </c>
      <c r="D486" s="1" t="s">
        <v>213</v>
      </c>
      <c r="E486" s="1" t="s">
        <v>206</v>
      </c>
      <c r="F486" s="1" t="n">
        <v>3350</v>
      </c>
      <c r="G486" s="4" t="n">
        <v>0</v>
      </c>
      <c r="H486" s="1" t="s">
        <v>390</v>
      </c>
      <c r="I486" s="4" t="n">
        <v>1</v>
      </c>
      <c r="J486" s="1" t="str">
        <f aca="false">_xlfn.CONCAT("с",F486," ",D486,"/",E486,IF(G486=0,"","-" &amp; G486))</f>
        <v>с3350 ОК-1.1/Тип 10</v>
      </c>
    </row>
    <row r="487" customFormat="false" ht="12.8" hidden="false" customHeight="false" outlineLevel="0" collapsed="false">
      <c r="A487" s="1" t="s">
        <v>8</v>
      </c>
      <c r="B487" s="1" t="n">
        <v>29</v>
      </c>
      <c r="C487" s="1" t="n">
        <v>4</v>
      </c>
      <c r="D487" s="1" t="s">
        <v>206</v>
      </c>
      <c r="E487" s="1" t="s">
        <v>213</v>
      </c>
      <c r="F487" s="1" t="n">
        <v>3350</v>
      </c>
      <c r="G487" s="4" t="n">
        <v>0</v>
      </c>
      <c r="H487" s="1" t="s">
        <v>391</v>
      </c>
      <c r="I487" s="4" t="n">
        <v>1</v>
      </c>
      <c r="J487" s="1" t="str">
        <f aca="false">_xlfn.CONCAT("с",F487," ",D487,"/",E487,IF(G487=0,"","-" &amp; G487))</f>
        <v>с3350 Тип 10/ОК-1.1</v>
      </c>
    </row>
    <row r="488" customFormat="false" ht="12.8" hidden="false" customHeight="false" outlineLevel="0" collapsed="false">
      <c r="A488" s="1" t="s">
        <v>8</v>
      </c>
      <c r="B488" s="1" t="n">
        <v>29</v>
      </c>
      <c r="C488" s="1" t="n">
        <v>5</v>
      </c>
      <c r="D488" s="1" t="s">
        <v>213</v>
      </c>
      <c r="E488" s="1" t="s">
        <v>199</v>
      </c>
      <c r="F488" s="1" t="n">
        <v>3350</v>
      </c>
      <c r="G488" s="4" t="n">
        <v>0</v>
      </c>
      <c r="H488" s="1" t="s">
        <v>392</v>
      </c>
      <c r="I488" s="4" t="n">
        <v>1</v>
      </c>
      <c r="J488" s="1" t="str">
        <f aca="false">_xlfn.CONCAT("с",F488," ",D488,"/",E488,IF(G488=0,"","-" &amp; G488))</f>
        <v>с3350 ОК-1.1/3б</v>
      </c>
    </row>
    <row r="489" customFormat="false" ht="12.8" hidden="false" customHeight="false" outlineLevel="0" collapsed="false">
      <c r="A489" s="1" t="s">
        <v>8</v>
      </c>
      <c r="B489" s="1" t="n">
        <v>29</v>
      </c>
      <c r="C489" s="1" t="n">
        <v>6</v>
      </c>
      <c r="D489" s="1" t="s">
        <v>199</v>
      </c>
      <c r="E489" s="1" t="s">
        <v>206</v>
      </c>
      <c r="F489" s="1" t="n">
        <v>3350</v>
      </c>
      <c r="G489" s="4" t="n">
        <v>0</v>
      </c>
      <c r="H489" s="1" t="s">
        <v>393</v>
      </c>
      <c r="I489" s="4" t="n">
        <v>1</v>
      </c>
      <c r="J489" s="1" t="str">
        <f aca="false">_xlfn.CONCAT("с",F489," ",D489,"/",E489,IF(G489=0,"","-" &amp; G489))</f>
        <v>с3350 3б/Тип 10</v>
      </c>
    </row>
    <row r="490" customFormat="false" ht="12.8" hidden="false" customHeight="false" outlineLevel="0" collapsed="false">
      <c r="A490" s="1" t="s">
        <v>8</v>
      </c>
      <c r="B490" s="1" t="n">
        <v>29</v>
      </c>
      <c r="C490" s="1" t="n">
        <v>7</v>
      </c>
      <c r="D490" s="1" t="s">
        <v>206</v>
      </c>
      <c r="E490" s="1" t="s">
        <v>213</v>
      </c>
      <c r="F490" s="1" t="n">
        <v>3350</v>
      </c>
      <c r="G490" s="4" t="n">
        <v>0</v>
      </c>
      <c r="H490" s="1" t="s">
        <v>391</v>
      </c>
      <c r="I490" s="4" t="n">
        <v>1</v>
      </c>
      <c r="J490" s="1" t="str">
        <f aca="false">_xlfn.CONCAT("с",F490," ",D490,"/",E490,IF(G490=0,"","-" &amp; G490))</f>
        <v>с3350 Тип 10/ОК-1.1</v>
      </c>
    </row>
    <row r="491" customFormat="false" ht="12.8" hidden="false" customHeight="false" outlineLevel="0" collapsed="false">
      <c r="A491" s="1" t="s">
        <v>8</v>
      </c>
      <c r="B491" s="1" t="n">
        <v>29</v>
      </c>
      <c r="C491" s="1" t="n">
        <v>8</v>
      </c>
      <c r="D491" s="1" t="s">
        <v>213</v>
      </c>
      <c r="E491" s="1" t="s">
        <v>201</v>
      </c>
      <c r="F491" s="1" t="n">
        <v>3350</v>
      </c>
      <c r="G491" s="4" t="n">
        <v>0</v>
      </c>
      <c r="H491" s="1" t="s">
        <v>394</v>
      </c>
      <c r="I491" s="4" t="n">
        <v>1</v>
      </c>
      <c r="J491" s="1" t="str">
        <f aca="false">_xlfn.CONCAT("с",F491," ",D491,"/",E491,IF(G491=0,"","-" &amp; G491))</f>
        <v>с3350 ОК-1.1/5б</v>
      </c>
    </row>
    <row r="492" customFormat="false" ht="12.8" hidden="false" customHeight="false" outlineLevel="0" collapsed="false">
      <c r="A492" s="1" t="s">
        <v>8</v>
      </c>
      <c r="B492" s="1" t="n">
        <v>29</v>
      </c>
      <c r="C492" s="1" t="n">
        <v>9</v>
      </c>
      <c r="D492" s="1" t="s">
        <v>201</v>
      </c>
      <c r="E492" s="1" t="s">
        <v>206</v>
      </c>
      <c r="F492" s="1" t="n">
        <v>3350</v>
      </c>
      <c r="G492" s="4" t="n">
        <v>0</v>
      </c>
      <c r="H492" s="1" t="s">
        <v>395</v>
      </c>
      <c r="I492" s="4" t="n">
        <v>1</v>
      </c>
      <c r="J492" s="1" t="str">
        <f aca="false">_xlfn.CONCAT("с",F492," ",D492,"/",E492,IF(G492=0,"","-" &amp; G492))</f>
        <v>с3350 5б/Тип 10</v>
      </c>
    </row>
    <row r="493" customFormat="false" ht="12.8" hidden="false" customHeight="false" outlineLevel="0" collapsed="false">
      <c r="A493" s="1" t="s">
        <v>8</v>
      </c>
      <c r="B493" s="1" t="n">
        <v>29</v>
      </c>
      <c r="C493" s="1" t="n">
        <v>10</v>
      </c>
      <c r="D493" s="1" t="s">
        <v>206</v>
      </c>
      <c r="E493" s="1" t="s">
        <v>213</v>
      </c>
      <c r="F493" s="1" t="n">
        <v>3350</v>
      </c>
      <c r="G493" s="4" t="n">
        <v>0</v>
      </c>
      <c r="H493" s="1" t="s">
        <v>391</v>
      </c>
      <c r="I493" s="4" t="n">
        <v>1</v>
      </c>
      <c r="J493" s="1" t="str">
        <f aca="false">_xlfn.CONCAT("с",F493," ",D493,"/",E493,IF(G493=0,"","-" &amp; G493))</f>
        <v>с3350 Тип 10/ОК-1.1</v>
      </c>
    </row>
    <row r="494" customFormat="false" ht="12.8" hidden="false" customHeight="false" outlineLevel="0" collapsed="false">
      <c r="A494" s="1" t="s">
        <v>8</v>
      </c>
      <c r="B494" s="1" t="n">
        <v>29</v>
      </c>
      <c r="C494" s="1" t="n">
        <v>11</v>
      </c>
      <c r="D494" s="1" t="s">
        <v>213</v>
      </c>
      <c r="E494" s="1" t="s">
        <v>201</v>
      </c>
      <c r="F494" s="1" t="n">
        <v>3350</v>
      </c>
      <c r="G494" s="4" t="n">
        <v>0</v>
      </c>
      <c r="H494" s="1" t="s">
        <v>394</v>
      </c>
      <c r="I494" s="4" t="n">
        <v>1</v>
      </c>
      <c r="J494" s="1" t="str">
        <f aca="false">_xlfn.CONCAT("с",F494," ",D494,"/",E494,IF(G494=0,"","-" &amp; G494))</f>
        <v>с3350 ОК-1.1/5б</v>
      </c>
    </row>
    <row r="495" customFormat="false" ht="12.8" hidden="false" customHeight="false" outlineLevel="0" collapsed="false">
      <c r="A495" s="1" t="s">
        <v>8</v>
      </c>
      <c r="B495" s="1" t="n">
        <v>29</v>
      </c>
      <c r="C495" s="1" t="n">
        <v>12</v>
      </c>
      <c r="D495" s="1" t="s">
        <v>201</v>
      </c>
      <c r="E495" s="1" t="s">
        <v>206</v>
      </c>
      <c r="F495" s="1" t="n">
        <v>3350</v>
      </c>
      <c r="G495" s="4" t="n">
        <v>0</v>
      </c>
      <c r="H495" s="1" t="s">
        <v>395</v>
      </c>
      <c r="I495" s="4" t="n">
        <v>1</v>
      </c>
      <c r="J495" s="1" t="str">
        <f aca="false">_xlfn.CONCAT("с",F495," ",D495,"/",E495,IF(G495=0,"","-" &amp; G495))</f>
        <v>с3350 5б/Тип 10</v>
      </c>
    </row>
    <row r="496" customFormat="false" ht="12.8" hidden="false" customHeight="false" outlineLevel="0" collapsed="false">
      <c r="A496" s="1" t="s">
        <v>8</v>
      </c>
      <c r="B496" s="1" t="n">
        <v>29</v>
      </c>
      <c r="C496" s="1" t="n">
        <v>13</v>
      </c>
      <c r="D496" s="1" t="s">
        <v>206</v>
      </c>
      <c r="E496" s="1" t="s">
        <v>213</v>
      </c>
      <c r="F496" s="1" t="n">
        <v>3350</v>
      </c>
      <c r="G496" s="4" t="n">
        <v>0</v>
      </c>
      <c r="H496" s="1" t="s">
        <v>391</v>
      </c>
      <c r="I496" s="4" t="n">
        <v>1</v>
      </c>
      <c r="J496" s="1" t="str">
        <f aca="false">_xlfn.CONCAT("с",F496," ",D496,"/",E496,IF(G496=0,"","-" &amp; G496))</f>
        <v>с3350 Тип 10/ОК-1.1</v>
      </c>
    </row>
    <row r="497" customFormat="false" ht="12.8" hidden="false" customHeight="false" outlineLevel="0" collapsed="false">
      <c r="A497" s="1" t="s">
        <v>8</v>
      </c>
      <c r="B497" s="1" t="n">
        <v>29</v>
      </c>
      <c r="C497" s="1" t="n">
        <v>14</v>
      </c>
      <c r="D497" s="1" t="s">
        <v>213</v>
      </c>
      <c r="E497" s="1" t="s">
        <v>199</v>
      </c>
      <c r="F497" s="1" t="n">
        <v>3350</v>
      </c>
      <c r="G497" s="4" t="n">
        <v>1</v>
      </c>
      <c r="H497" s="1" t="s">
        <v>396</v>
      </c>
      <c r="I497" s="4" t="n">
        <v>1</v>
      </c>
      <c r="J497" s="1" t="str">
        <f aca="false">_xlfn.CONCAT("с",F497," ",D497,"/",E497,IF(G497=0,"","-" &amp; G497))</f>
        <v>с3350 ОК-1.1/3б-1</v>
      </c>
    </row>
    <row r="498" customFormat="false" ht="12.8" hidden="false" customHeight="false" outlineLevel="0" collapsed="false">
      <c r="A498" s="1" t="s">
        <v>8</v>
      </c>
      <c r="B498" s="1" t="n">
        <v>29</v>
      </c>
      <c r="C498" s="1" t="n">
        <v>15</v>
      </c>
      <c r="D498" s="1" t="s">
        <v>199</v>
      </c>
      <c r="E498" s="1" t="s">
        <v>206</v>
      </c>
      <c r="F498" s="1" t="n">
        <v>3350</v>
      </c>
      <c r="G498" s="4" t="n">
        <v>1</v>
      </c>
      <c r="H498" s="1" t="s">
        <v>397</v>
      </c>
      <c r="I498" s="4" t="n">
        <v>1</v>
      </c>
      <c r="J498" s="1" t="str">
        <f aca="false">_xlfn.CONCAT("с",F498," ",D498,"/",E498,IF(G498=0,"","-" &amp; G498))</f>
        <v>с3350 3б/Тип 10-1</v>
      </c>
    </row>
    <row r="499" customFormat="false" ht="12.8" hidden="false" customHeight="false" outlineLevel="0" collapsed="false">
      <c r="A499" s="1" t="s">
        <v>8</v>
      </c>
      <c r="B499" s="1" t="n">
        <v>29</v>
      </c>
      <c r="C499" s="1" t="n">
        <v>16</v>
      </c>
      <c r="D499" s="1" t="s">
        <v>206</v>
      </c>
      <c r="E499" s="1" t="s">
        <v>213</v>
      </c>
      <c r="F499" s="1" t="n">
        <v>3350</v>
      </c>
      <c r="G499" s="4" t="n">
        <v>0</v>
      </c>
      <c r="H499" s="1" t="s">
        <v>391</v>
      </c>
      <c r="I499" s="4" t="n">
        <v>1</v>
      </c>
      <c r="J499" s="1" t="str">
        <f aca="false">_xlfn.CONCAT("с",F499," ",D499,"/",E499,IF(G499=0,"","-" &amp; G499))</f>
        <v>с3350 Тип 10/ОК-1.1</v>
      </c>
    </row>
    <row r="500" customFormat="false" ht="12.8" hidden="false" customHeight="false" outlineLevel="0" collapsed="false">
      <c r="A500" s="1" t="s">
        <v>8</v>
      </c>
      <c r="B500" s="1" t="n">
        <v>29</v>
      </c>
      <c r="C500" s="1" t="n">
        <v>17</v>
      </c>
      <c r="D500" s="1" t="s">
        <v>213</v>
      </c>
      <c r="E500" s="1" t="s">
        <v>199</v>
      </c>
      <c r="F500" s="1" t="n">
        <v>3350</v>
      </c>
      <c r="G500" s="4" t="n">
        <v>0</v>
      </c>
      <c r="H500" s="1" t="s">
        <v>392</v>
      </c>
      <c r="I500" s="4" t="n">
        <v>1</v>
      </c>
      <c r="J500" s="1" t="str">
        <f aca="false">_xlfn.CONCAT("с",F500," ",D500,"/",E500,IF(G500=0,"","-" &amp; G500))</f>
        <v>с3350 ОК-1.1/3б</v>
      </c>
    </row>
    <row r="501" customFormat="false" ht="12.8" hidden="false" customHeight="false" outlineLevel="0" collapsed="false">
      <c r="A501" s="1" t="s">
        <v>8</v>
      </c>
      <c r="B501" s="1" t="n">
        <v>29</v>
      </c>
      <c r="C501" s="1" t="n">
        <v>18</v>
      </c>
      <c r="D501" s="1" t="s">
        <v>199</v>
      </c>
      <c r="E501" s="1" t="s">
        <v>206</v>
      </c>
      <c r="F501" s="1" t="n">
        <v>3350</v>
      </c>
      <c r="G501" s="4" t="n">
        <v>0</v>
      </c>
      <c r="H501" s="1" t="s">
        <v>393</v>
      </c>
      <c r="I501" s="4" t="n">
        <v>1</v>
      </c>
      <c r="J501" s="1" t="str">
        <f aca="false">_xlfn.CONCAT("с",F501," ",D501,"/",E501,IF(G501=0,"","-" &amp; G501))</f>
        <v>с3350 3б/Тип 10</v>
      </c>
    </row>
    <row r="502" customFormat="false" ht="12.8" hidden="false" customHeight="false" outlineLevel="0" collapsed="false">
      <c r="A502" s="1" t="s">
        <v>8</v>
      </c>
      <c r="B502" s="1" t="n">
        <v>29</v>
      </c>
      <c r="C502" s="1" t="n">
        <v>19</v>
      </c>
      <c r="D502" s="1" t="s">
        <v>206</v>
      </c>
      <c r="E502" s="1" t="s">
        <v>213</v>
      </c>
      <c r="F502" s="1" t="n">
        <v>3350</v>
      </c>
      <c r="G502" s="4" t="n">
        <v>0</v>
      </c>
      <c r="H502" s="1" t="s">
        <v>391</v>
      </c>
      <c r="I502" s="4" t="n">
        <v>1</v>
      </c>
      <c r="J502" s="1" t="str">
        <f aca="false">_xlfn.CONCAT("с",F502," ",D502,"/",E502,IF(G502=0,"","-" &amp; G502))</f>
        <v>с3350 Тип 10/ОК-1.1</v>
      </c>
    </row>
    <row r="503" customFormat="false" ht="12.8" hidden="false" customHeight="false" outlineLevel="0" collapsed="false">
      <c r="A503" s="1" t="s">
        <v>8</v>
      </c>
      <c r="B503" s="1" t="n">
        <v>29</v>
      </c>
      <c r="C503" s="1" t="n">
        <v>20</v>
      </c>
      <c r="D503" s="1" t="s">
        <v>213</v>
      </c>
      <c r="E503" s="1" t="s">
        <v>203</v>
      </c>
      <c r="F503" s="1" t="n">
        <v>3350</v>
      </c>
      <c r="G503" s="4" t="n">
        <v>0</v>
      </c>
      <c r="H503" s="1" t="s">
        <v>398</v>
      </c>
      <c r="I503" s="4" t="n">
        <v>1</v>
      </c>
      <c r="J503" s="1" t="str">
        <f aca="false">_xlfn.CONCAT("с",F503," ",D503,"/",E503,IF(G503=0,"","-" &amp; G503))</f>
        <v>с3350 ОК-1.1/6б</v>
      </c>
    </row>
    <row r="504" customFormat="false" ht="12.8" hidden="false" customHeight="false" outlineLevel="0" collapsed="false">
      <c r="A504" s="1" t="s">
        <v>8</v>
      </c>
      <c r="B504" s="1" t="n">
        <v>29</v>
      </c>
      <c r="C504" s="1" t="n">
        <v>21</v>
      </c>
      <c r="D504" s="1" t="s">
        <v>203</v>
      </c>
      <c r="E504" s="1" t="s">
        <v>206</v>
      </c>
      <c r="F504" s="1" t="n">
        <v>3350</v>
      </c>
      <c r="G504" s="4" t="n">
        <v>0</v>
      </c>
      <c r="H504" s="1" t="s">
        <v>399</v>
      </c>
      <c r="I504" s="4" t="n">
        <v>1</v>
      </c>
      <c r="J504" s="1" t="str">
        <f aca="false">_xlfn.CONCAT("с",F504," ",D504,"/",E504,IF(G504=0,"","-" &amp; G504))</f>
        <v>с3350 6б/Тип 10</v>
      </c>
    </row>
    <row r="505" customFormat="false" ht="12.8" hidden="false" customHeight="false" outlineLevel="0" collapsed="false">
      <c r="A505" s="1" t="s">
        <v>8</v>
      </c>
      <c r="B505" s="1" t="n">
        <v>29</v>
      </c>
      <c r="C505" s="1" t="n">
        <v>22</v>
      </c>
      <c r="D505" s="1" t="s">
        <v>206</v>
      </c>
      <c r="E505" s="1" t="s">
        <v>201</v>
      </c>
      <c r="F505" s="1" t="n">
        <v>3350</v>
      </c>
      <c r="G505" s="4" t="n">
        <v>0</v>
      </c>
      <c r="H505" s="1" t="s">
        <v>400</v>
      </c>
      <c r="I505" s="4" t="n">
        <v>1</v>
      </c>
      <c r="J505" s="1" t="str">
        <f aca="false">_xlfn.CONCAT("с",F505," ",D505,"/",E505,IF(G505=0,"","-" &amp; G505))</f>
        <v>с3350 Тип 10/5б</v>
      </c>
    </row>
    <row r="506" customFormat="false" ht="12.8" hidden="false" customHeight="false" outlineLevel="0" collapsed="false">
      <c r="A506" s="1" t="s">
        <v>8</v>
      </c>
      <c r="B506" s="1" t="n">
        <v>29</v>
      </c>
      <c r="C506" s="1" t="n">
        <v>23</v>
      </c>
      <c r="D506" s="1" t="s">
        <v>201</v>
      </c>
      <c r="E506" s="1" t="s">
        <v>206</v>
      </c>
      <c r="F506" s="1" t="n">
        <v>3350</v>
      </c>
      <c r="G506" s="4" t="n">
        <v>0</v>
      </c>
      <c r="H506" s="1" t="s">
        <v>395</v>
      </c>
      <c r="I506" s="4" t="n">
        <v>1</v>
      </c>
      <c r="J506" s="1" t="str">
        <f aca="false">_xlfn.CONCAT("с",F506," ",D506,"/",E506,IF(G506=0,"","-" &amp; G506))</f>
        <v>с3350 5б/Тип 10</v>
      </c>
    </row>
    <row r="507" customFormat="false" ht="12.8" hidden="false" customHeight="false" outlineLevel="0" collapsed="false">
      <c r="A507" s="1" t="s">
        <v>8</v>
      </c>
      <c r="B507" s="1" t="n">
        <v>29</v>
      </c>
      <c r="C507" s="1" t="n">
        <v>24</v>
      </c>
      <c r="D507" s="1" t="s">
        <v>206</v>
      </c>
      <c r="E507" s="1" t="s">
        <v>213</v>
      </c>
      <c r="F507" s="1" t="n">
        <v>3350</v>
      </c>
      <c r="G507" s="4" t="n">
        <v>0</v>
      </c>
      <c r="H507" s="1" t="s">
        <v>391</v>
      </c>
      <c r="I507" s="4" t="n">
        <v>1</v>
      </c>
      <c r="J507" s="1" t="str">
        <f aca="false">_xlfn.CONCAT("с",F507," ",D507,"/",E507,IF(G507=0,"","-" &amp; G507))</f>
        <v>с3350 Тип 10/ОК-1.1</v>
      </c>
    </row>
    <row r="508" customFormat="false" ht="12.8" hidden="false" customHeight="false" outlineLevel="0" collapsed="false">
      <c r="A508" s="1" t="s">
        <v>8</v>
      </c>
      <c r="B508" s="1" t="n">
        <v>29</v>
      </c>
      <c r="C508" s="1" t="n">
        <v>25</v>
      </c>
      <c r="D508" s="1" t="s">
        <v>213</v>
      </c>
      <c r="E508" s="1" t="s">
        <v>203</v>
      </c>
      <c r="F508" s="1" t="n">
        <v>3350</v>
      </c>
      <c r="G508" s="4" t="n">
        <v>0</v>
      </c>
      <c r="H508" s="1" t="s">
        <v>398</v>
      </c>
      <c r="I508" s="4" t="n">
        <v>1</v>
      </c>
      <c r="J508" s="1" t="str">
        <f aca="false">_xlfn.CONCAT("с",F508," ",D508,"/",E508,IF(G508=0,"","-" &amp; G508))</f>
        <v>с3350 ОК-1.1/6б</v>
      </c>
    </row>
    <row r="509" customFormat="false" ht="12.8" hidden="false" customHeight="false" outlineLevel="0" collapsed="false">
      <c r="A509" s="1" t="s">
        <v>8</v>
      </c>
      <c r="B509" s="1" t="n">
        <v>29</v>
      </c>
      <c r="C509" s="1" t="n">
        <v>26</v>
      </c>
      <c r="D509" s="1" t="s">
        <v>203</v>
      </c>
      <c r="E509" s="1" t="s">
        <v>206</v>
      </c>
      <c r="F509" s="1" t="n">
        <v>3350</v>
      </c>
      <c r="G509" s="4" t="n">
        <v>0</v>
      </c>
      <c r="H509" s="1" t="s">
        <v>399</v>
      </c>
      <c r="I509" s="4" t="n">
        <v>1</v>
      </c>
      <c r="J509" s="1" t="str">
        <f aca="false">_xlfn.CONCAT("с",F509," ",D509,"/",E509,IF(G509=0,"","-" &amp; G509))</f>
        <v>с3350 6б/Тип 10</v>
      </c>
    </row>
    <row r="510" customFormat="false" ht="12.8" hidden="false" customHeight="false" outlineLevel="0" collapsed="false">
      <c r="A510" s="1" t="s">
        <v>8</v>
      </c>
      <c r="B510" s="1" t="n">
        <v>29</v>
      </c>
      <c r="C510" s="1" t="n">
        <v>27</v>
      </c>
      <c r="D510" s="1" t="s">
        <v>206</v>
      </c>
      <c r="E510" s="1" t="s">
        <v>213</v>
      </c>
      <c r="F510" s="1" t="n">
        <v>3350</v>
      </c>
      <c r="G510" s="4" t="n">
        <v>0</v>
      </c>
      <c r="H510" s="1" t="s">
        <v>391</v>
      </c>
      <c r="I510" s="4" t="n">
        <v>1</v>
      </c>
      <c r="J510" s="1" t="str">
        <f aca="false">_xlfn.CONCAT("с",F510," ",D510,"/",E510,IF(G510=0,"","-" &amp; G510))</f>
        <v>с3350 Тип 10/ОК-1.1</v>
      </c>
    </row>
    <row r="511" customFormat="false" ht="12.8" hidden="false" customHeight="false" outlineLevel="0" collapsed="false">
      <c r="A511" s="1" t="s">
        <v>8</v>
      </c>
      <c r="B511" s="1" t="n">
        <v>29</v>
      </c>
      <c r="C511" s="1" t="n">
        <v>28</v>
      </c>
      <c r="D511" s="1" t="s">
        <v>213</v>
      </c>
      <c r="E511" s="1" t="s">
        <v>199</v>
      </c>
      <c r="F511" s="1" t="n">
        <v>3350</v>
      </c>
      <c r="G511" s="4" t="n">
        <v>1</v>
      </c>
      <c r="H511" s="1" t="s">
        <v>396</v>
      </c>
      <c r="I511" s="4" t="n">
        <v>1</v>
      </c>
      <c r="J511" s="1" t="str">
        <f aca="false">_xlfn.CONCAT("с",F511," ",D511,"/",E511,IF(G511=0,"","-" &amp; G511))</f>
        <v>с3350 ОК-1.1/3б-1</v>
      </c>
    </row>
    <row r="512" customFormat="false" ht="12.8" hidden="false" customHeight="false" outlineLevel="0" collapsed="false">
      <c r="A512" s="1" t="s">
        <v>8</v>
      </c>
      <c r="B512" s="1" t="n">
        <v>29</v>
      </c>
      <c r="C512" s="1" t="n">
        <v>29</v>
      </c>
      <c r="D512" s="1" t="s">
        <v>199</v>
      </c>
      <c r="E512" s="1" t="s">
        <v>206</v>
      </c>
      <c r="F512" s="1" t="n">
        <v>3350</v>
      </c>
      <c r="G512" s="4" t="n">
        <v>1</v>
      </c>
      <c r="H512" s="1" t="s">
        <v>397</v>
      </c>
      <c r="I512" s="4" t="n">
        <v>1</v>
      </c>
      <c r="J512" s="1" t="str">
        <f aca="false">_xlfn.CONCAT("с",F512," ",D512,"/",E512,IF(G512=0,"","-" &amp; G512))</f>
        <v>с3350 3б/Тип 10-1</v>
      </c>
    </row>
    <row r="513" customFormat="false" ht="12.8" hidden="false" customHeight="false" outlineLevel="0" collapsed="false">
      <c r="A513" s="1" t="s">
        <v>8</v>
      </c>
      <c r="B513" s="1" t="n">
        <v>29</v>
      </c>
      <c r="C513" s="1" t="n">
        <v>30</v>
      </c>
      <c r="D513" s="1" t="s">
        <v>206</v>
      </c>
      <c r="E513" s="1" t="s">
        <v>213</v>
      </c>
      <c r="F513" s="1" t="n">
        <v>3350</v>
      </c>
      <c r="G513" s="4" t="n">
        <v>0</v>
      </c>
      <c r="H513" s="1" t="s">
        <v>391</v>
      </c>
      <c r="I513" s="4" t="n">
        <v>1</v>
      </c>
      <c r="J513" s="1" t="str">
        <f aca="false">_xlfn.CONCAT("с",F513," ",D513,"/",E513,IF(G513=0,"","-" &amp; G513))</f>
        <v>с3350 Тип 10/ОК-1.1</v>
      </c>
    </row>
    <row r="514" customFormat="false" ht="12.8" hidden="false" customHeight="false" outlineLevel="0" collapsed="false">
      <c r="A514" s="1" t="s">
        <v>8</v>
      </c>
      <c r="B514" s="1" t="n">
        <v>29</v>
      </c>
      <c r="C514" s="1" t="n">
        <v>31</v>
      </c>
      <c r="D514" s="1" t="s">
        <v>213</v>
      </c>
      <c r="E514" s="1" t="s">
        <v>199</v>
      </c>
      <c r="F514" s="1" t="n">
        <v>3350</v>
      </c>
      <c r="G514" s="4" t="n">
        <v>0</v>
      </c>
      <c r="H514" s="1" t="s">
        <v>392</v>
      </c>
      <c r="I514" s="4" t="n">
        <v>1</v>
      </c>
      <c r="J514" s="1" t="str">
        <f aca="false">_xlfn.CONCAT("с",F514," ",D514,"/",E514,IF(G514=0,"","-" &amp; G514))</f>
        <v>с3350 ОК-1.1/3б</v>
      </c>
    </row>
    <row r="515" customFormat="false" ht="12.8" hidden="false" customHeight="false" outlineLevel="0" collapsed="false">
      <c r="A515" s="1" t="s">
        <v>8</v>
      </c>
      <c r="B515" s="1" t="n">
        <v>29</v>
      </c>
      <c r="C515" s="1" t="n">
        <v>32</v>
      </c>
      <c r="D515" s="1" t="s">
        <v>199</v>
      </c>
      <c r="E515" s="1" t="s">
        <v>206</v>
      </c>
      <c r="F515" s="1" t="n">
        <v>3350</v>
      </c>
      <c r="G515" s="4" t="n">
        <v>0</v>
      </c>
      <c r="H515" s="1" t="s">
        <v>393</v>
      </c>
      <c r="I515" s="4" t="n">
        <v>1</v>
      </c>
      <c r="J515" s="1" t="str">
        <f aca="false">_xlfn.CONCAT("с",F515," ",D515,"/",E515,IF(G515=0,"","-" &amp; G515))</f>
        <v>с3350 3б/Тип 10</v>
      </c>
    </row>
    <row r="516" customFormat="false" ht="12.8" hidden="false" customHeight="false" outlineLevel="0" collapsed="false">
      <c r="A516" s="1" t="s">
        <v>8</v>
      </c>
      <c r="B516" s="1" t="n">
        <v>29</v>
      </c>
      <c r="C516" s="1" t="n">
        <v>33</v>
      </c>
      <c r="D516" s="1" t="s">
        <v>206</v>
      </c>
      <c r="E516" s="1" t="s">
        <v>213</v>
      </c>
      <c r="F516" s="1" t="n">
        <v>3350</v>
      </c>
      <c r="G516" s="4" t="n">
        <v>0</v>
      </c>
      <c r="H516" s="1" t="s">
        <v>391</v>
      </c>
      <c r="I516" s="4" t="n">
        <v>1</v>
      </c>
      <c r="J516" s="1" t="str">
        <f aca="false">_xlfn.CONCAT("с",F516," ",D516,"/",E516,IF(G516=0,"","-" &amp; G516))</f>
        <v>с3350 Тип 10/ОК-1.1</v>
      </c>
    </row>
    <row r="517" customFormat="false" ht="12.8" hidden="false" customHeight="false" outlineLevel="0" collapsed="false">
      <c r="A517" s="1" t="s">
        <v>8</v>
      </c>
      <c r="B517" s="1" t="n">
        <v>29</v>
      </c>
      <c r="C517" s="1" t="n">
        <v>34</v>
      </c>
      <c r="D517" s="1" t="s">
        <v>213</v>
      </c>
      <c r="E517" s="1" t="s">
        <v>199</v>
      </c>
      <c r="F517" s="1" t="n">
        <v>3350</v>
      </c>
      <c r="G517" s="4" t="n">
        <v>2</v>
      </c>
      <c r="H517" s="1" t="s">
        <v>401</v>
      </c>
      <c r="I517" s="4" t="n">
        <v>1</v>
      </c>
      <c r="J517" s="1" t="str">
        <f aca="false">_xlfn.CONCAT("с",F517," ",D517,"/",E517,IF(G517=0,"","-" &amp; G517))</f>
        <v>с3350 ОК-1.1/3б-2</v>
      </c>
    </row>
    <row r="518" customFormat="false" ht="12.8" hidden="false" customHeight="false" outlineLevel="0" collapsed="false">
      <c r="A518" s="1" t="s">
        <v>8</v>
      </c>
      <c r="B518" s="1" t="n">
        <v>29</v>
      </c>
      <c r="C518" s="1" t="n">
        <v>35</v>
      </c>
      <c r="F518" s="1" t="n">
        <v>3350</v>
      </c>
      <c r="G518" s="4" t="n">
        <v>0</v>
      </c>
      <c r="H518" s="1" t="s">
        <v>360</v>
      </c>
      <c r="I518" s="4" t="n">
        <v>1</v>
      </c>
      <c r="J518" s="1" t="str">
        <f aca="false">_xlfn.CONCAT("с",F518," ",D518,"/",E518,IF(G518=0,"","-" &amp; G518))</f>
        <v>с3350 /</v>
      </c>
    </row>
    <row r="519" customFormat="false" ht="12.8" hidden="false" customHeight="false" outlineLevel="0" collapsed="false">
      <c r="A519" s="1" t="s">
        <v>8</v>
      </c>
      <c r="B519" s="1" t="n">
        <v>30</v>
      </c>
      <c r="C519" s="1" t="n">
        <v>1</v>
      </c>
      <c r="F519" s="1" t="n">
        <v>3350</v>
      </c>
      <c r="G519" s="4" t="n">
        <v>0</v>
      </c>
      <c r="H519" s="1" t="s">
        <v>360</v>
      </c>
      <c r="I519" s="4" t="n">
        <v>1</v>
      </c>
      <c r="J519" s="1" t="str">
        <f aca="false">_xlfn.CONCAT("с",F519," ",D519,"/",E519,IF(G519=0,"","-" &amp; G519))</f>
        <v>с3350 /</v>
      </c>
    </row>
    <row r="520" customFormat="false" ht="12.8" hidden="false" customHeight="false" outlineLevel="0" collapsed="false">
      <c r="A520" s="1" t="s">
        <v>8</v>
      </c>
      <c r="B520" s="1" t="n">
        <v>30</v>
      </c>
      <c r="C520" s="1" t="n">
        <v>2</v>
      </c>
      <c r="D520" s="1" t="s">
        <v>201</v>
      </c>
      <c r="E520" s="1" t="s">
        <v>213</v>
      </c>
      <c r="F520" s="1" t="n">
        <v>3350</v>
      </c>
      <c r="G520" s="4" t="n">
        <v>0</v>
      </c>
      <c r="H520" s="1" t="s">
        <v>389</v>
      </c>
      <c r="I520" s="4" t="n">
        <v>1</v>
      </c>
      <c r="J520" s="1" t="str">
        <f aca="false">_xlfn.CONCAT("с",F520," ",D520,"/",E520,IF(G520=0,"","-" &amp; G520))</f>
        <v>с3350 5б/ОК-1.1</v>
      </c>
    </row>
    <row r="521" customFormat="false" ht="12.8" hidden="false" customHeight="false" outlineLevel="0" collapsed="false">
      <c r="A521" s="1" t="s">
        <v>8</v>
      </c>
      <c r="B521" s="1" t="n">
        <v>30</v>
      </c>
      <c r="C521" s="1" t="n">
        <v>3</v>
      </c>
      <c r="D521" s="1" t="s">
        <v>213</v>
      </c>
      <c r="E521" s="1" t="s">
        <v>206</v>
      </c>
      <c r="F521" s="1" t="n">
        <v>3350</v>
      </c>
      <c r="G521" s="4" t="n">
        <v>0</v>
      </c>
      <c r="H521" s="1" t="s">
        <v>390</v>
      </c>
      <c r="I521" s="4" t="n">
        <v>1</v>
      </c>
      <c r="J521" s="1" t="str">
        <f aca="false">_xlfn.CONCAT("с",F521," ",D521,"/",E521,IF(G521=0,"","-" &amp; G521))</f>
        <v>с3350 ОК-1.1/Тип 10</v>
      </c>
    </row>
    <row r="522" customFormat="false" ht="12.8" hidden="false" customHeight="false" outlineLevel="0" collapsed="false">
      <c r="A522" s="1" t="s">
        <v>8</v>
      </c>
      <c r="B522" s="1" t="n">
        <v>30</v>
      </c>
      <c r="C522" s="1" t="n">
        <v>4</v>
      </c>
      <c r="D522" s="1" t="s">
        <v>206</v>
      </c>
      <c r="E522" s="1" t="s">
        <v>199</v>
      </c>
      <c r="F522" s="1" t="n">
        <v>3350</v>
      </c>
      <c r="G522" s="4" t="n">
        <v>0</v>
      </c>
      <c r="H522" s="1" t="s">
        <v>402</v>
      </c>
      <c r="I522" s="4" t="n">
        <v>1</v>
      </c>
      <c r="J522" s="1" t="str">
        <f aca="false">_xlfn.CONCAT("с",F522," ",D522,"/",E522,IF(G522=0,"","-" &amp; G522))</f>
        <v>с3350 Тип 10/3б</v>
      </c>
    </row>
    <row r="523" customFormat="false" ht="12.8" hidden="false" customHeight="false" outlineLevel="0" collapsed="false">
      <c r="A523" s="1" t="s">
        <v>8</v>
      </c>
      <c r="B523" s="1" t="n">
        <v>30</v>
      </c>
      <c r="C523" s="1" t="n">
        <v>5</v>
      </c>
      <c r="D523" s="1" t="s">
        <v>199</v>
      </c>
      <c r="E523" s="1" t="s">
        <v>213</v>
      </c>
      <c r="F523" s="1" t="n">
        <v>3350</v>
      </c>
      <c r="G523" s="4" t="n">
        <v>0</v>
      </c>
      <c r="H523" s="1" t="s">
        <v>403</v>
      </c>
      <c r="I523" s="4" t="n">
        <v>1</v>
      </c>
      <c r="J523" s="1" t="str">
        <f aca="false">_xlfn.CONCAT("с",F523," ",D523,"/",E523,IF(G523=0,"","-" &amp; G523))</f>
        <v>с3350 3б/ОК-1.1</v>
      </c>
    </row>
    <row r="524" customFormat="false" ht="12.8" hidden="false" customHeight="false" outlineLevel="0" collapsed="false">
      <c r="A524" s="1" t="s">
        <v>8</v>
      </c>
      <c r="B524" s="1" t="n">
        <v>30</v>
      </c>
      <c r="C524" s="1" t="n">
        <v>6</v>
      </c>
      <c r="D524" s="1" t="s">
        <v>213</v>
      </c>
      <c r="E524" s="1" t="s">
        <v>206</v>
      </c>
      <c r="F524" s="1" t="n">
        <v>3350</v>
      </c>
      <c r="G524" s="4" t="n">
        <v>0</v>
      </c>
      <c r="H524" s="1" t="s">
        <v>390</v>
      </c>
      <c r="I524" s="4" t="n">
        <v>1</v>
      </c>
      <c r="J524" s="1" t="str">
        <f aca="false">_xlfn.CONCAT("с",F524," ",D524,"/",E524,IF(G524=0,"","-" &amp; G524))</f>
        <v>с3350 ОК-1.1/Тип 10</v>
      </c>
    </row>
    <row r="525" customFormat="false" ht="12.8" hidden="false" customHeight="false" outlineLevel="0" collapsed="false">
      <c r="A525" s="1" t="s">
        <v>8</v>
      </c>
      <c r="B525" s="1" t="n">
        <v>30</v>
      </c>
      <c r="C525" s="1" t="n">
        <v>7</v>
      </c>
      <c r="D525" s="1" t="s">
        <v>206</v>
      </c>
      <c r="E525" s="1" t="s">
        <v>201</v>
      </c>
      <c r="F525" s="1" t="n">
        <v>3350</v>
      </c>
      <c r="G525" s="4" t="n">
        <v>0</v>
      </c>
      <c r="H525" s="1" t="s">
        <v>400</v>
      </c>
      <c r="I525" s="4" t="n">
        <v>1</v>
      </c>
      <c r="J525" s="1" t="str">
        <f aca="false">_xlfn.CONCAT("с",F525," ",D525,"/",E525,IF(G525=0,"","-" &amp; G525))</f>
        <v>с3350 Тип 10/5б</v>
      </c>
    </row>
    <row r="526" customFormat="false" ht="12.8" hidden="false" customHeight="false" outlineLevel="0" collapsed="false">
      <c r="A526" s="1" t="s">
        <v>8</v>
      </c>
      <c r="B526" s="1" t="n">
        <v>30</v>
      </c>
      <c r="C526" s="1" t="n">
        <v>8</v>
      </c>
      <c r="D526" s="1" t="s">
        <v>201</v>
      </c>
      <c r="E526" s="1" t="s">
        <v>213</v>
      </c>
      <c r="F526" s="1" t="n">
        <v>3350</v>
      </c>
      <c r="G526" s="4" t="n">
        <v>1</v>
      </c>
      <c r="H526" s="1" t="s">
        <v>404</v>
      </c>
      <c r="I526" s="4" t="n">
        <v>1</v>
      </c>
      <c r="J526" s="1" t="str">
        <f aca="false">_xlfn.CONCAT("с",F526," ",D526,"/",E526,IF(G526=0,"","-" &amp; G526))</f>
        <v>с3350 5б/ОК-1.1-1</v>
      </c>
    </row>
    <row r="527" customFormat="false" ht="12.8" hidden="false" customHeight="false" outlineLevel="0" collapsed="false">
      <c r="A527" s="1" t="s">
        <v>8</v>
      </c>
      <c r="B527" s="1" t="n">
        <v>30</v>
      </c>
      <c r="C527" s="1" t="n">
        <v>9</v>
      </c>
      <c r="D527" s="1" t="s">
        <v>213</v>
      </c>
      <c r="E527" s="1" t="s">
        <v>206</v>
      </c>
      <c r="F527" s="1" t="n">
        <v>3350</v>
      </c>
      <c r="G527" s="4" t="n">
        <v>0</v>
      </c>
      <c r="H527" s="1" t="s">
        <v>390</v>
      </c>
      <c r="I527" s="4" t="n">
        <v>1</v>
      </c>
      <c r="J527" s="1" t="str">
        <f aca="false">_xlfn.CONCAT("с",F527," ",D527,"/",E527,IF(G527=0,"","-" &amp; G527))</f>
        <v>с3350 ОК-1.1/Тип 10</v>
      </c>
    </row>
    <row r="528" customFormat="false" ht="12.8" hidden="false" customHeight="false" outlineLevel="0" collapsed="false">
      <c r="A528" s="1" t="s">
        <v>8</v>
      </c>
      <c r="B528" s="1" t="n">
        <v>30</v>
      </c>
      <c r="C528" s="1" t="n">
        <v>10</v>
      </c>
      <c r="D528" s="1" t="s">
        <v>206</v>
      </c>
      <c r="E528" s="1" t="s">
        <v>201</v>
      </c>
      <c r="F528" s="1" t="n">
        <v>3350</v>
      </c>
      <c r="G528" s="4" t="n">
        <v>0</v>
      </c>
      <c r="H528" s="1" t="s">
        <v>400</v>
      </c>
      <c r="I528" s="4" t="n">
        <v>1</v>
      </c>
      <c r="J528" s="1" t="str">
        <f aca="false">_xlfn.CONCAT("с",F528," ",D528,"/",E528,IF(G528=0,"","-" &amp; G528))</f>
        <v>с3350 Тип 10/5б</v>
      </c>
    </row>
    <row r="529" customFormat="false" ht="12.8" hidden="false" customHeight="false" outlineLevel="0" collapsed="false">
      <c r="A529" s="1" t="s">
        <v>8</v>
      </c>
      <c r="B529" s="1" t="n">
        <v>30</v>
      </c>
      <c r="C529" s="1" t="n">
        <v>11</v>
      </c>
      <c r="D529" s="1" t="s">
        <v>201</v>
      </c>
      <c r="E529" s="1" t="s">
        <v>213</v>
      </c>
      <c r="F529" s="1" t="n">
        <v>3350</v>
      </c>
      <c r="G529" s="4" t="n">
        <v>1</v>
      </c>
      <c r="H529" s="1" t="s">
        <v>404</v>
      </c>
      <c r="I529" s="4" t="n">
        <v>1</v>
      </c>
      <c r="J529" s="1" t="str">
        <f aca="false">_xlfn.CONCAT("с",F529," ",D529,"/",E529,IF(G529=0,"","-" &amp; G529))</f>
        <v>с3350 5б/ОК-1.1-1</v>
      </c>
    </row>
    <row r="530" customFormat="false" ht="12.8" hidden="false" customHeight="false" outlineLevel="0" collapsed="false">
      <c r="A530" s="1" t="s">
        <v>8</v>
      </c>
      <c r="B530" s="1" t="n">
        <v>30</v>
      </c>
      <c r="C530" s="1" t="n">
        <v>12</v>
      </c>
      <c r="D530" s="1" t="s">
        <v>213</v>
      </c>
      <c r="E530" s="1" t="s">
        <v>206</v>
      </c>
      <c r="F530" s="1" t="n">
        <v>3350</v>
      </c>
      <c r="G530" s="4" t="n">
        <v>0</v>
      </c>
      <c r="H530" s="1" t="s">
        <v>390</v>
      </c>
      <c r="I530" s="4" t="n">
        <v>1</v>
      </c>
      <c r="J530" s="1" t="str">
        <f aca="false">_xlfn.CONCAT("с",F530," ",D530,"/",E530,IF(G530=0,"","-" &amp; G530))</f>
        <v>с3350 ОК-1.1/Тип 10</v>
      </c>
    </row>
    <row r="531" customFormat="false" ht="12.8" hidden="false" customHeight="false" outlineLevel="0" collapsed="false">
      <c r="A531" s="1" t="s">
        <v>8</v>
      </c>
      <c r="B531" s="1" t="n">
        <v>30</v>
      </c>
      <c r="C531" s="1" t="n">
        <v>13</v>
      </c>
      <c r="D531" s="1" t="s">
        <v>206</v>
      </c>
      <c r="E531" s="1" t="s">
        <v>199</v>
      </c>
      <c r="F531" s="1" t="n">
        <v>3350</v>
      </c>
      <c r="G531" s="4" t="n">
        <v>1</v>
      </c>
      <c r="H531" s="1" t="s">
        <v>405</v>
      </c>
      <c r="I531" s="4" t="n">
        <v>1</v>
      </c>
      <c r="J531" s="1" t="str">
        <f aca="false">_xlfn.CONCAT("с",F531," ",D531,"/",E531,IF(G531=0,"","-" &amp; G531))</f>
        <v>с3350 Тип 10/3б-1</v>
      </c>
    </row>
    <row r="532" customFormat="false" ht="12.8" hidden="false" customHeight="false" outlineLevel="0" collapsed="false">
      <c r="A532" s="1" t="s">
        <v>8</v>
      </c>
      <c r="B532" s="1" t="n">
        <v>30</v>
      </c>
      <c r="C532" s="1" t="n">
        <v>14</v>
      </c>
      <c r="D532" s="1" t="s">
        <v>199</v>
      </c>
      <c r="E532" s="1" t="s">
        <v>213</v>
      </c>
      <c r="F532" s="1" t="n">
        <v>3350</v>
      </c>
      <c r="G532" s="4" t="n">
        <v>1</v>
      </c>
      <c r="H532" s="1" t="s">
        <v>406</v>
      </c>
      <c r="I532" s="4" t="n">
        <v>1</v>
      </c>
      <c r="J532" s="1" t="str">
        <f aca="false">_xlfn.CONCAT("с",F532," ",D532,"/",E532,IF(G532=0,"","-" &amp; G532))</f>
        <v>с3350 3б/ОК-1.1-1</v>
      </c>
    </row>
    <row r="533" customFormat="false" ht="12.8" hidden="false" customHeight="false" outlineLevel="0" collapsed="false">
      <c r="A533" s="1" t="s">
        <v>8</v>
      </c>
      <c r="B533" s="1" t="n">
        <v>30</v>
      </c>
      <c r="C533" s="1" t="n">
        <v>15</v>
      </c>
      <c r="D533" s="1" t="s">
        <v>213</v>
      </c>
      <c r="E533" s="1" t="s">
        <v>206</v>
      </c>
      <c r="F533" s="1" t="n">
        <v>3350</v>
      </c>
      <c r="G533" s="4" t="n">
        <v>0</v>
      </c>
      <c r="H533" s="1" t="s">
        <v>390</v>
      </c>
      <c r="I533" s="4" t="n">
        <v>1</v>
      </c>
      <c r="J533" s="1" t="str">
        <f aca="false">_xlfn.CONCAT("с",F533," ",D533,"/",E533,IF(G533=0,"","-" &amp; G533))</f>
        <v>с3350 ОК-1.1/Тип 10</v>
      </c>
    </row>
    <row r="534" customFormat="false" ht="12.8" hidden="false" customHeight="false" outlineLevel="0" collapsed="false">
      <c r="A534" s="1" t="s">
        <v>8</v>
      </c>
      <c r="B534" s="1" t="n">
        <v>30</v>
      </c>
      <c r="C534" s="1" t="n">
        <v>16</v>
      </c>
      <c r="D534" s="1" t="s">
        <v>206</v>
      </c>
      <c r="E534" s="1" t="s">
        <v>199</v>
      </c>
      <c r="F534" s="1" t="n">
        <v>3350</v>
      </c>
      <c r="G534" s="4" t="n">
        <v>0</v>
      </c>
      <c r="H534" s="1" t="s">
        <v>402</v>
      </c>
      <c r="I534" s="4" t="n">
        <v>1</v>
      </c>
      <c r="J534" s="1" t="str">
        <f aca="false">_xlfn.CONCAT("с",F534," ",D534,"/",E534,IF(G534=0,"","-" &amp; G534))</f>
        <v>с3350 Тип 10/3б</v>
      </c>
    </row>
    <row r="535" customFormat="false" ht="12.8" hidden="false" customHeight="false" outlineLevel="0" collapsed="false">
      <c r="A535" s="1" t="s">
        <v>8</v>
      </c>
      <c r="B535" s="1" t="n">
        <v>30</v>
      </c>
      <c r="C535" s="1" t="n">
        <v>17</v>
      </c>
      <c r="D535" s="1" t="s">
        <v>199</v>
      </c>
      <c r="E535" s="1" t="s">
        <v>213</v>
      </c>
      <c r="F535" s="1" t="n">
        <v>3350</v>
      </c>
      <c r="G535" s="4" t="n">
        <v>0</v>
      </c>
      <c r="H535" s="1" t="s">
        <v>403</v>
      </c>
      <c r="I535" s="4" t="n">
        <v>1</v>
      </c>
      <c r="J535" s="1" t="str">
        <f aca="false">_xlfn.CONCAT("с",F535," ",D535,"/",E535,IF(G535=0,"","-" &amp; G535))</f>
        <v>с3350 3б/ОК-1.1</v>
      </c>
    </row>
    <row r="536" customFormat="false" ht="12.8" hidden="false" customHeight="false" outlineLevel="0" collapsed="false">
      <c r="A536" s="1" t="s">
        <v>8</v>
      </c>
      <c r="B536" s="1" t="n">
        <v>30</v>
      </c>
      <c r="C536" s="1" t="n">
        <v>18</v>
      </c>
      <c r="D536" s="1" t="s">
        <v>213</v>
      </c>
      <c r="E536" s="1" t="s">
        <v>206</v>
      </c>
      <c r="F536" s="1" t="n">
        <v>3350</v>
      </c>
      <c r="G536" s="4" t="n">
        <v>0</v>
      </c>
      <c r="H536" s="1" t="s">
        <v>390</v>
      </c>
      <c r="I536" s="4" t="n">
        <v>1</v>
      </c>
      <c r="J536" s="1" t="str">
        <f aca="false">_xlfn.CONCAT("с",F536," ",D536,"/",E536,IF(G536=0,"","-" &amp; G536))</f>
        <v>с3350 ОК-1.1/Тип 10</v>
      </c>
    </row>
    <row r="537" customFormat="false" ht="12.8" hidden="false" customHeight="false" outlineLevel="0" collapsed="false">
      <c r="A537" s="1" t="s">
        <v>8</v>
      </c>
      <c r="B537" s="1" t="n">
        <v>30</v>
      </c>
      <c r="C537" s="1" t="n">
        <v>19</v>
      </c>
      <c r="D537" s="1" t="s">
        <v>206</v>
      </c>
      <c r="E537" s="1" t="s">
        <v>203</v>
      </c>
      <c r="F537" s="1" t="n">
        <v>3350</v>
      </c>
      <c r="G537" s="4" t="n">
        <v>0</v>
      </c>
      <c r="H537" s="1" t="s">
        <v>407</v>
      </c>
      <c r="I537" s="4" t="n">
        <v>1</v>
      </c>
      <c r="J537" s="1" t="str">
        <f aca="false">_xlfn.CONCAT("с",F537," ",D537,"/",E537,IF(G537=0,"","-" &amp; G537))</f>
        <v>с3350 Тип 10/6б</v>
      </c>
    </row>
    <row r="538" customFormat="false" ht="12.8" hidden="false" customHeight="false" outlineLevel="0" collapsed="false">
      <c r="A538" s="1" t="s">
        <v>8</v>
      </c>
      <c r="B538" s="1" t="n">
        <v>30</v>
      </c>
      <c r="C538" s="1" t="n">
        <v>20</v>
      </c>
      <c r="D538" s="1" t="s">
        <v>203</v>
      </c>
      <c r="E538" s="1" t="s">
        <v>213</v>
      </c>
      <c r="F538" s="1" t="n">
        <v>3350</v>
      </c>
      <c r="G538" s="4" t="n">
        <v>0</v>
      </c>
      <c r="H538" s="1" t="s">
        <v>408</v>
      </c>
      <c r="I538" s="4" t="n">
        <v>1</v>
      </c>
      <c r="J538" s="1" t="str">
        <f aca="false">_xlfn.CONCAT("с",F538," ",D538,"/",E538,IF(G538=0,"","-" &amp; G538))</f>
        <v>с3350 6б/ОК-1.1</v>
      </c>
    </row>
    <row r="539" customFormat="false" ht="12.8" hidden="false" customHeight="false" outlineLevel="0" collapsed="false">
      <c r="A539" s="1" t="s">
        <v>8</v>
      </c>
      <c r="B539" s="1" t="n">
        <v>30</v>
      </c>
      <c r="C539" s="1" t="n">
        <v>21</v>
      </c>
      <c r="D539" s="1" t="s">
        <v>213</v>
      </c>
      <c r="E539" s="1" t="s">
        <v>206</v>
      </c>
      <c r="F539" s="1" t="n">
        <v>3350</v>
      </c>
      <c r="G539" s="4" t="n">
        <v>0</v>
      </c>
      <c r="H539" s="1" t="s">
        <v>390</v>
      </c>
      <c r="I539" s="4" t="n">
        <v>1</v>
      </c>
      <c r="J539" s="1" t="str">
        <f aca="false">_xlfn.CONCAT("с",F539," ",D539,"/",E539,IF(G539=0,"","-" &amp; G539))</f>
        <v>с3350 ОК-1.1/Тип 10</v>
      </c>
    </row>
    <row r="540" customFormat="false" ht="12.8" hidden="false" customHeight="false" outlineLevel="0" collapsed="false">
      <c r="A540" s="1" t="s">
        <v>8</v>
      </c>
      <c r="B540" s="1" t="n">
        <v>30</v>
      </c>
      <c r="C540" s="1" t="n">
        <v>22</v>
      </c>
      <c r="D540" s="1" t="s">
        <v>206</v>
      </c>
      <c r="E540" s="1" t="s">
        <v>201</v>
      </c>
      <c r="F540" s="1" t="n">
        <v>3350</v>
      </c>
      <c r="G540" s="4" t="n">
        <v>0</v>
      </c>
      <c r="H540" s="1" t="s">
        <v>400</v>
      </c>
      <c r="I540" s="4" t="n">
        <v>1</v>
      </c>
      <c r="J540" s="1" t="str">
        <f aca="false">_xlfn.CONCAT("с",F540," ",D540,"/",E540,IF(G540=0,"","-" &amp; G540))</f>
        <v>с3350 Тип 10/5б</v>
      </c>
    </row>
    <row r="541" customFormat="false" ht="12.8" hidden="false" customHeight="false" outlineLevel="0" collapsed="false">
      <c r="A541" s="1" t="s">
        <v>8</v>
      </c>
      <c r="B541" s="1" t="n">
        <v>30</v>
      </c>
      <c r="C541" s="1" t="n">
        <v>23</v>
      </c>
      <c r="D541" s="1" t="s">
        <v>201</v>
      </c>
      <c r="E541" s="1" t="s">
        <v>206</v>
      </c>
      <c r="F541" s="1" t="n">
        <v>3350</v>
      </c>
      <c r="G541" s="4" t="n">
        <v>0</v>
      </c>
      <c r="H541" s="1" t="s">
        <v>395</v>
      </c>
      <c r="I541" s="4" t="n">
        <v>1</v>
      </c>
      <c r="J541" s="1" t="str">
        <f aca="false">_xlfn.CONCAT("с",F541," ",D541,"/",E541,IF(G541=0,"","-" &amp; G541))</f>
        <v>с3350 5б/Тип 10</v>
      </c>
    </row>
    <row r="542" customFormat="false" ht="12.8" hidden="false" customHeight="false" outlineLevel="0" collapsed="false">
      <c r="A542" s="1" t="s">
        <v>8</v>
      </c>
      <c r="B542" s="1" t="n">
        <v>30</v>
      </c>
      <c r="C542" s="1" t="n">
        <v>24</v>
      </c>
      <c r="D542" s="1" t="s">
        <v>206</v>
      </c>
      <c r="E542" s="1" t="s">
        <v>203</v>
      </c>
      <c r="F542" s="1" t="n">
        <v>3350</v>
      </c>
      <c r="G542" s="4" t="n">
        <v>0</v>
      </c>
      <c r="H542" s="1" t="s">
        <v>407</v>
      </c>
      <c r="I542" s="4" t="n">
        <v>1</v>
      </c>
      <c r="J542" s="1" t="str">
        <f aca="false">_xlfn.CONCAT("с",F542," ",D542,"/",E542,IF(G542=0,"","-" &amp; G542))</f>
        <v>с3350 Тип 10/6б</v>
      </c>
    </row>
    <row r="543" customFormat="false" ht="12.8" hidden="false" customHeight="false" outlineLevel="0" collapsed="false">
      <c r="A543" s="1" t="s">
        <v>8</v>
      </c>
      <c r="B543" s="1" t="n">
        <v>30</v>
      </c>
      <c r="C543" s="1" t="n">
        <v>25</v>
      </c>
      <c r="D543" s="1" t="s">
        <v>203</v>
      </c>
      <c r="E543" s="1" t="s">
        <v>213</v>
      </c>
      <c r="F543" s="1" t="n">
        <v>3350</v>
      </c>
      <c r="G543" s="4" t="n">
        <v>0</v>
      </c>
      <c r="H543" s="1" t="s">
        <v>408</v>
      </c>
      <c r="I543" s="4" t="n">
        <v>1</v>
      </c>
      <c r="J543" s="1" t="str">
        <f aca="false">_xlfn.CONCAT("с",F543," ",D543,"/",E543,IF(G543=0,"","-" &amp; G543))</f>
        <v>с3350 6б/ОК-1.1</v>
      </c>
    </row>
    <row r="544" customFormat="false" ht="12.8" hidden="false" customHeight="false" outlineLevel="0" collapsed="false">
      <c r="A544" s="1" t="s">
        <v>8</v>
      </c>
      <c r="B544" s="1" t="n">
        <v>30</v>
      </c>
      <c r="C544" s="1" t="n">
        <v>26</v>
      </c>
      <c r="D544" s="1" t="s">
        <v>213</v>
      </c>
      <c r="E544" s="1" t="s">
        <v>206</v>
      </c>
      <c r="F544" s="1" t="n">
        <v>3350</v>
      </c>
      <c r="G544" s="4" t="n">
        <v>0</v>
      </c>
      <c r="H544" s="1" t="s">
        <v>390</v>
      </c>
      <c r="I544" s="4" t="n">
        <v>1</v>
      </c>
      <c r="J544" s="1" t="str">
        <f aca="false">_xlfn.CONCAT("с",F544," ",D544,"/",E544,IF(G544=0,"","-" &amp; G544))</f>
        <v>с3350 ОК-1.1/Тип 10</v>
      </c>
    </row>
    <row r="545" customFormat="false" ht="12.8" hidden="false" customHeight="false" outlineLevel="0" collapsed="false">
      <c r="A545" s="1" t="s">
        <v>8</v>
      </c>
      <c r="B545" s="1" t="n">
        <v>30</v>
      </c>
      <c r="C545" s="1" t="n">
        <v>27</v>
      </c>
      <c r="D545" s="1" t="s">
        <v>206</v>
      </c>
      <c r="E545" s="1" t="s">
        <v>199</v>
      </c>
      <c r="F545" s="1" t="n">
        <v>3350</v>
      </c>
      <c r="G545" s="4" t="n">
        <v>1</v>
      </c>
      <c r="H545" s="1" t="s">
        <v>405</v>
      </c>
      <c r="I545" s="4" t="n">
        <v>1</v>
      </c>
      <c r="J545" s="1" t="str">
        <f aca="false">_xlfn.CONCAT("с",F545," ",D545,"/",E545,IF(G545=0,"","-" &amp; G545))</f>
        <v>с3350 Тип 10/3б-1</v>
      </c>
    </row>
    <row r="546" customFormat="false" ht="12.8" hidden="false" customHeight="false" outlineLevel="0" collapsed="false">
      <c r="A546" s="1" t="s">
        <v>8</v>
      </c>
      <c r="B546" s="1" t="n">
        <v>30</v>
      </c>
      <c r="C546" s="1" t="n">
        <v>28</v>
      </c>
      <c r="D546" s="1" t="s">
        <v>199</v>
      </c>
      <c r="E546" s="1" t="s">
        <v>213</v>
      </c>
      <c r="F546" s="1" t="n">
        <v>3350</v>
      </c>
      <c r="G546" s="4" t="n">
        <v>1</v>
      </c>
      <c r="H546" s="1" t="s">
        <v>406</v>
      </c>
      <c r="I546" s="4" t="n">
        <v>1</v>
      </c>
      <c r="J546" s="1" t="str">
        <f aca="false">_xlfn.CONCAT("с",F546," ",D546,"/",E546,IF(G546=0,"","-" &amp; G546))</f>
        <v>с3350 3б/ОК-1.1-1</v>
      </c>
    </row>
    <row r="547" customFormat="false" ht="12.8" hidden="false" customHeight="false" outlineLevel="0" collapsed="false">
      <c r="A547" s="1" t="s">
        <v>8</v>
      </c>
      <c r="B547" s="1" t="n">
        <v>30</v>
      </c>
      <c r="C547" s="1" t="n">
        <v>29</v>
      </c>
      <c r="D547" s="1" t="s">
        <v>213</v>
      </c>
      <c r="E547" s="1" t="s">
        <v>206</v>
      </c>
      <c r="F547" s="1" t="n">
        <v>3350</v>
      </c>
      <c r="G547" s="4" t="n">
        <v>0</v>
      </c>
      <c r="H547" s="1" t="s">
        <v>390</v>
      </c>
      <c r="I547" s="4" t="n">
        <v>1</v>
      </c>
      <c r="J547" s="1" t="str">
        <f aca="false">_xlfn.CONCAT("с",F547," ",D547,"/",E547,IF(G547=0,"","-" &amp; G547))</f>
        <v>с3350 ОК-1.1/Тип 10</v>
      </c>
    </row>
    <row r="548" customFormat="false" ht="12.8" hidden="false" customHeight="false" outlineLevel="0" collapsed="false">
      <c r="A548" s="1" t="s">
        <v>8</v>
      </c>
      <c r="B548" s="1" t="n">
        <v>30</v>
      </c>
      <c r="C548" s="1" t="n">
        <v>30</v>
      </c>
      <c r="D548" s="1" t="s">
        <v>206</v>
      </c>
      <c r="E548" s="1" t="s">
        <v>199</v>
      </c>
      <c r="F548" s="1" t="n">
        <v>3350</v>
      </c>
      <c r="G548" s="4" t="n">
        <v>0</v>
      </c>
      <c r="H548" s="1" t="s">
        <v>402</v>
      </c>
      <c r="I548" s="4" t="n">
        <v>1</v>
      </c>
      <c r="J548" s="1" t="str">
        <f aca="false">_xlfn.CONCAT("с",F548," ",D548,"/",E548,IF(G548=0,"","-" &amp; G548))</f>
        <v>с3350 Тип 10/3б</v>
      </c>
    </row>
    <row r="549" customFormat="false" ht="12.8" hidden="false" customHeight="false" outlineLevel="0" collapsed="false">
      <c r="A549" s="1" t="s">
        <v>8</v>
      </c>
      <c r="B549" s="1" t="n">
        <v>30</v>
      </c>
      <c r="C549" s="1" t="n">
        <v>31</v>
      </c>
      <c r="D549" s="1" t="s">
        <v>199</v>
      </c>
      <c r="E549" s="1" t="s">
        <v>213</v>
      </c>
      <c r="F549" s="1" t="n">
        <v>3350</v>
      </c>
      <c r="G549" s="4" t="n">
        <v>0</v>
      </c>
      <c r="H549" s="1" t="s">
        <v>403</v>
      </c>
      <c r="I549" s="4" t="n">
        <v>1</v>
      </c>
      <c r="J549" s="1" t="str">
        <f aca="false">_xlfn.CONCAT("с",F549," ",D549,"/",E549,IF(G549=0,"","-" &amp; G549))</f>
        <v>с3350 3б/ОК-1.1</v>
      </c>
    </row>
    <row r="550" customFormat="false" ht="12.8" hidden="false" customHeight="false" outlineLevel="0" collapsed="false">
      <c r="A550" s="1" t="s">
        <v>8</v>
      </c>
      <c r="B550" s="1" t="n">
        <v>30</v>
      </c>
      <c r="C550" s="1" t="n">
        <v>32</v>
      </c>
      <c r="D550" s="1" t="s">
        <v>213</v>
      </c>
      <c r="E550" s="1" t="s">
        <v>206</v>
      </c>
      <c r="F550" s="1" t="n">
        <v>3350</v>
      </c>
      <c r="G550" s="4" t="n">
        <v>0</v>
      </c>
      <c r="H550" s="1" t="s">
        <v>390</v>
      </c>
      <c r="I550" s="4" t="n">
        <v>1</v>
      </c>
      <c r="J550" s="1" t="str">
        <f aca="false">_xlfn.CONCAT("с",F550," ",D550,"/",E550,IF(G550=0,"","-" &amp; G550))</f>
        <v>с3350 ОК-1.1/Тип 10</v>
      </c>
    </row>
    <row r="551" customFormat="false" ht="12.8" hidden="false" customHeight="false" outlineLevel="0" collapsed="false">
      <c r="A551" s="1" t="s">
        <v>8</v>
      </c>
      <c r="B551" s="1" t="n">
        <v>30</v>
      </c>
      <c r="C551" s="1" t="n">
        <v>33</v>
      </c>
      <c r="D551" s="1" t="s">
        <v>206</v>
      </c>
      <c r="E551" s="1" t="s">
        <v>213</v>
      </c>
      <c r="F551" s="1" t="n">
        <v>3350</v>
      </c>
      <c r="G551" s="4" t="n">
        <v>0</v>
      </c>
      <c r="H551" s="1" t="s">
        <v>391</v>
      </c>
      <c r="I551" s="4" t="n">
        <v>1</v>
      </c>
      <c r="J551" s="1" t="str">
        <f aca="false">_xlfn.CONCAT("с",F551," ",D551,"/",E551,IF(G551=0,"","-" &amp; G551))</f>
        <v>с3350 Тип 10/ОК-1.1</v>
      </c>
    </row>
    <row r="552" customFormat="false" ht="12.8" hidden="false" customHeight="false" outlineLevel="0" collapsed="false">
      <c r="A552" s="1" t="s">
        <v>8</v>
      </c>
      <c r="B552" s="1" t="n">
        <v>30</v>
      </c>
      <c r="C552" s="1" t="n">
        <v>34</v>
      </c>
      <c r="D552" s="1" t="s">
        <v>213</v>
      </c>
      <c r="E552" s="1" t="s">
        <v>199</v>
      </c>
      <c r="F552" s="1" t="n">
        <v>3350</v>
      </c>
      <c r="G552" s="4" t="n">
        <v>2</v>
      </c>
      <c r="H552" s="1" t="s">
        <v>401</v>
      </c>
      <c r="I552" s="4" t="n">
        <v>1</v>
      </c>
      <c r="J552" s="1" t="str">
        <f aca="false">_xlfn.CONCAT("с",F552," ",D552,"/",E552,IF(G552=0,"","-" &amp; G552))</f>
        <v>с3350 ОК-1.1/3б-2</v>
      </c>
    </row>
    <row r="553" customFormat="false" ht="12.8" hidden="false" customHeight="false" outlineLevel="0" collapsed="false">
      <c r="A553" s="1" t="s">
        <v>8</v>
      </c>
      <c r="B553" s="1" t="n">
        <v>30</v>
      </c>
      <c r="C553" s="1" t="n">
        <v>35</v>
      </c>
      <c r="F553" s="1" t="n">
        <v>3350</v>
      </c>
      <c r="G553" s="4" t="n">
        <v>0</v>
      </c>
      <c r="H553" s="1" t="s">
        <v>360</v>
      </c>
      <c r="I553" s="4" t="n">
        <v>1</v>
      </c>
      <c r="J553" s="1" t="str">
        <f aca="false">_xlfn.CONCAT("с",F553," ",D553,"/",E553,IF(G553=0,"","-" &amp; G553))</f>
        <v>с3350 /</v>
      </c>
    </row>
    <row r="554" customFormat="false" ht="12.8" hidden="false" customHeight="false" outlineLevel="0" collapsed="false">
      <c r="A554" s="1" t="s">
        <v>8</v>
      </c>
      <c r="B554" s="1" t="n">
        <v>39</v>
      </c>
      <c r="C554" s="1" t="n">
        <v>1</v>
      </c>
      <c r="F554" s="1" t="n">
        <v>3510</v>
      </c>
      <c r="G554" s="4" t="n">
        <v>0</v>
      </c>
      <c r="H554" s="1" t="s">
        <v>377</v>
      </c>
      <c r="I554" s="4" t="n">
        <v>1</v>
      </c>
      <c r="J554" s="1" t="str">
        <f aca="false">_xlfn.CONCAT("с",F554," ",D554,"/",E554,IF(G554=0,"","-" &amp; G554))</f>
        <v>с3510 /</v>
      </c>
    </row>
    <row r="555" customFormat="false" ht="12.8" hidden="false" customHeight="false" outlineLevel="0" collapsed="false">
      <c r="A555" s="1" t="s">
        <v>8</v>
      </c>
      <c r="B555" s="1" t="n">
        <v>39</v>
      </c>
      <c r="C555" s="1" t="n">
        <v>2</v>
      </c>
      <c r="D555" s="1" t="s">
        <v>201</v>
      </c>
      <c r="E555" s="1" t="s">
        <v>213</v>
      </c>
      <c r="F555" s="1" t="n">
        <v>3510</v>
      </c>
      <c r="G555" s="4" t="n">
        <v>0</v>
      </c>
      <c r="H555" s="1" t="s">
        <v>409</v>
      </c>
      <c r="I555" s="4" t="n">
        <v>1</v>
      </c>
      <c r="J555" s="1" t="str">
        <f aca="false">_xlfn.CONCAT("с",F555," ",D555,"/",E555,IF(G555=0,"","-" &amp; G555))</f>
        <v>с3510 5б/ОК-1.1</v>
      </c>
    </row>
    <row r="556" customFormat="false" ht="12.8" hidden="false" customHeight="false" outlineLevel="0" collapsed="false">
      <c r="A556" s="1" t="s">
        <v>8</v>
      </c>
      <c r="B556" s="1" t="n">
        <v>39</v>
      </c>
      <c r="C556" s="1" t="n">
        <v>3</v>
      </c>
      <c r="D556" s="1" t="s">
        <v>213</v>
      </c>
      <c r="E556" s="1" t="s">
        <v>206</v>
      </c>
      <c r="F556" s="1" t="n">
        <v>3510</v>
      </c>
      <c r="G556" s="4" t="n">
        <v>0</v>
      </c>
      <c r="H556" s="1" t="s">
        <v>410</v>
      </c>
      <c r="I556" s="4" t="n">
        <v>1</v>
      </c>
      <c r="J556" s="1" t="str">
        <f aca="false">_xlfn.CONCAT("с",F556," ",D556,"/",E556,IF(G556=0,"","-" &amp; G556))</f>
        <v>с3510 ОК-1.1/Тип 10</v>
      </c>
    </row>
    <row r="557" customFormat="false" ht="12.8" hidden="false" customHeight="false" outlineLevel="0" collapsed="false">
      <c r="A557" s="1" t="s">
        <v>8</v>
      </c>
      <c r="B557" s="1" t="n">
        <v>39</v>
      </c>
      <c r="C557" s="1" t="n">
        <v>4</v>
      </c>
      <c r="D557" s="1" t="s">
        <v>206</v>
      </c>
      <c r="E557" s="1" t="s">
        <v>213</v>
      </c>
      <c r="F557" s="1" t="n">
        <v>3510</v>
      </c>
      <c r="G557" s="4" t="n">
        <v>0</v>
      </c>
      <c r="H557" s="1" t="s">
        <v>411</v>
      </c>
      <c r="I557" s="4" t="n">
        <v>1</v>
      </c>
      <c r="J557" s="1" t="str">
        <f aca="false">_xlfn.CONCAT("с",F557," ",D557,"/",E557,IF(G557=0,"","-" &amp; G557))</f>
        <v>с3510 Тип 10/ОК-1.1</v>
      </c>
    </row>
    <row r="558" customFormat="false" ht="12.8" hidden="false" customHeight="false" outlineLevel="0" collapsed="false">
      <c r="A558" s="1" t="s">
        <v>8</v>
      </c>
      <c r="B558" s="1" t="n">
        <v>39</v>
      </c>
      <c r="C558" s="1" t="n">
        <v>5</v>
      </c>
      <c r="D558" s="1" t="s">
        <v>213</v>
      </c>
      <c r="E558" s="1" t="s">
        <v>199</v>
      </c>
      <c r="F558" s="1" t="n">
        <v>3510</v>
      </c>
      <c r="G558" s="4" t="n">
        <v>0</v>
      </c>
      <c r="H558" s="1" t="s">
        <v>412</v>
      </c>
      <c r="I558" s="4" t="n">
        <v>1</v>
      </c>
      <c r="J558" s="1" t="str">
        <f aca="false">_xlfn.CONCAT("с",F558," ",D558,"/",E558,IF(G558=0,"","-" &amp; G558))</f>
        <v>с3510 ОК-1.1/3б</v>
      </c>
    </row>
    <row r="559" customFormat="false" ht="12.8" hidden="false" customHeight="false" outlineLevel="0" collapsed="false">
      <c r="A559" s="1" t="s">
        <v>8</v>
      </c>
      <c r="B559" s="1" t="n">
        <v>39</v>
      </c>
      <c r="C559" s="1" t="n">
        <v>6</v>
      </c>
      <c r="D559" s="1" t="s">
        <v>199</v>
      </c>
      <c r="E559" s="1" t="s">
        <v>206</v>
      </c>
      <c r="F559" s="1" t="n">
        <v>3510</v>
      </c>
      <c r="G559" s="4" t="n">
        <v>0</v>
      </c>
      <c r="H559" s="1" t="s">
        <v>413</v>
      </c>
      <c r="I559" s="4" t="n">
        <v>1</v>
      </c>
      <c r="J559" s="1" t="str">
        <f aca="false">_xlfn.CONCAT("с",F559," ",D559,"/",E559,IF(G559=0,"","-" &amp; G559))</f>
        <v>с3510 3б/Тип 10</v>
      </c>
    </row>
    <row r="560" customFormat="false" ht="12.8" hidden="false" customHeight="false" outlineLevel="0" collapsed="false">
      <c r="A560" s="1" t="s">
        <v>8</v>
      </c>
      <c r="B560" s="1" t="n">
        <v>39</v>
      </c>
      <c r="C560" s="1" t="n">
        <v>7</v>
      </c>
      <c r="D560" s="1" t="s">
        <v>206</v>
      </c>
      <c r="E560" s="1" t="s">
        <v>213</v>
      </c>
      <c r="F560" s="1" t="n">
        <v>3510</v>
      </c>
      <c r="G560" s="4" t="n">
        <v>0</v>
      </c>
      <c r="H560" s="1" t="s">
        <v>411</v>
      </c>
      <c r="I560" s="4" t="n">
        <v>1</v>
      </c>
      <c r="J560" s="1" t="str">
        <f aca="false">_xlfn.CONCAT("с",F560," ",D560,"/",E560,IF(G560=0,"","-" &amp; G560))</f>
        <v>с3510 Тип 10/ОК-1.1</v>
      </c>
    </row>
    <row r="561" customFormat="false" ht="12.8" hidden="false" customHeight="false" outlineLevel="0" collapsed="false">
      <c r="A561" s="1" t="s">
        <v>8</v>
      </c>
      <c r="B561" s="1" t="n">
        <v>39</v>
      </c>
      <c r="C561" s="1" t="n">
        <v>8</v>
      </c>
      <c r="D561" s="1" t="s">
        <v>213</v>
      </c>
      <c r="E561" s="1" t="s">
        <v>201</v>
      </c>
      <c r="F561" s="1" t="n">
        <v>3510</v>
      </c>
      <c r="G561" s="4" t="n">
        <v>0</v>
      </c>
      <c r="H561" s="1" t="s">
        <v>414</v>
      </c>
      <c r="I561" s="4" t="n">
        <v>1</v>
      </c>
      <c r="J561" s="1" t="str">
        <f aca="false">_xlfn.CONCAT("с",F561," ",D561,"/",E561,IF(G561=0,"","-" &amp; G561))</f>
        <v>с3510 ОК-1.1/5б</v>
      </c>
    </row>
    <row r="562" customFormat="false" ht="12.8" hidden="false" customHeight="false" outlineLevel="0" collapsed="false">
      <c r="A562" s="1" t="s">
        <v>8</v>
      </c>
      <c r="B562" s="1" t="n">
        <v>39</v>
      </c>
      <c r="C562" s="1" t="n">
        <v>9</v>
      </c>
      <c r="D562" s="1" t="s">
        <v>201</v>
      </c>
      <c r="E562" s="1" t="s">
        <v>206</v>
      </c>
      <c r="F562" s="1" t="n">
        <v>3510</v>
      </c>
      <c r="G562" s="4" t="n">
        <v>0</v>
      </c>
      <c r="H562" s="1" t="s">
        <v>415</v>
      </c>
      <c r="I562" s="4" t="n">
        <v>1</v>
      </c>
      <c r="J562" s="1" t="str">
        <f aca="false">_xlfn.CONCAT("с",F562," ",D562,"/",E562,IF(G562=0,"","-" &amp; G562))</f>
        <v>с3510 5б/Тип 10</v>
      </c>
    </row>
    <row r="563" customFormat="false" ht="12.8" hidden="false" customHeight="false" outlineLevel="0" collapsed="false">
      <c r="A563" s="1" t="s">
        <v>8</v>
      </c>
      <c r="B563" s="1" t="n">
        <v>39</v>
      </c>
      <c r="C563" s="1" t="n">
        <v>10</v>
      </c>
      <c r="D563" s="1" t="s">
        <v>206</v>
      </c>
      <c r="E563" s="1" t="s">
        <v>213</v>
      </c>
      <c r="F563" s="1" t="n">
        <v>3510</v>
      </c>
      <c r="G563" s="4" t="n">
        <v>0</v>
      </c>
      <c r="H563" s="1" t="s">
        <v>411</v>
      </c>
      <c r="I563" s="4" t="n">
        <v>1</v>
      </c>
      <c r="J563" s="1" t="str">
        <f aca="false">_xlfn.CONCAT("с",F563," ",D563,"/",E563,IF(G563=0,"","-" &amp; G563))</f>
        <v>с3510 Тип 10/ОК-1.1</v>
      </c>
    </row>
    <row r="564" customFormat="false" ht="12.8" hidden="false" customHeight="false" outlineLevel="0" collapsed="false">
      <c r="A564" s="1" t="s">
        <v>8</v>
      </c>
      <c r="B564" s="1" t="n">
        <v>39</v>
      </c>
      <c r="C564" s="1" t="n">
        <v>11</v>
      </c>
      <c r="D564" s="1" t="s">
        <v>213</v>
      </c>
      <c r="E564" s="1" t="s">
        <v>201</v>
      </c>
      <c r="F564" s="1" t="n">
        <v>3510</v>
      </c>
      <c r="G564" s="4" t="n">
        <v>0</v>
      </c>
      <c r="H564" s="1" t="s">
        <v>414</v>
      </c>
      <c r="I564" s="4" t="n">
        <v>1</v>
      </c>
      <c r="J564" s="1" t="str">
        <f aca="false">_xlfn.CONCAT("с",F564," ",D564,"/",E564,IF(G564=0,"","-" &amp; G564))</f>
        <v>с3510 ОК-1.1/5б</v>
      </c>
    </row>
    <row r="565" customFormat="false" ht="12.8" hidden="false" customHeight="false" outlineLevel="0" collapsed="false">
      <c r="A565" s="1" t="s">
        <v>8</v>
      </c>
      <c r="B565" s="1" t="n">
        <v>39</v>
      </c>
      <c r="C565" s="1" t="n">
        <v>12</v>
      </c>
      <c r="D565" s="1" t="s">
        <v>201</v>
      </c>
      <c r="E565" s="1" t="s">
        <v>206</v>
      </c>
      <c r="F565" s="1" t="n">
        <v>3510</v>
      </c>
      <c r="G565" s="4" t="n">
        <v>0</v>
      </c>
      <c r="H565" s="1" t="s">
        <v>415</v>
      </c>
      <c r="I565" s="4" t="n">
        <v>1</v>
      </c>
      <c r="J565" s="1" t="str">
        <f aca="false">_xlfn.CONCAT("с",F565," ",D565,"/",E565,IF(G565=0,"","-" &amp; G565))</f>
        <v>с3510 5б/Тип 10</v>
      </c>
    </row>
    <row r="566" customFormat="false" ht="12.8" hidden="false" customHeight="false" outlineLevel="0" collapsed="false">
      <c r="A566" s="1" t="s">
        <v>8</v>
      </c>
      <c r="B566" s="1" t="n">
        <v>39</v>
      </c>
      <c r="C566" s="1" t="n">
        <v>13</v>
      </c>
      <c r="D566" s="1" t="s">
        <v>206</v>
      </c>
      <c r="E566" s="1" t="s">
        <v>213</v>
      </c>
      <c r="F566" s="1" t="n">
        <v>3510</v>
      </c>
      <c r="G566" s="4" t="n">
        <v>0</v>
      </c>
      <c r="H566" s="1" t="s">
        <v>411</v>
      </c>
      <c r="I566" s="4" t="n">
        <v>1</v>
      </c>
      <c r="J566" s="1" t="str">
        <f aca="false">_xlfn.CONCAT("с",F566," ",D566,"/",E566,IF(G566=0,"","-" &amp; G566))</f>
        <v>с3510 Тип 10/ОК-1.1</v>
      </c>
    </row>
    <row r="567" customFormat="false" ht="12.8" hidden="false" customHeight="false" outlineLevel="0" collapsed="false">
      <c r="A567" s="1" t="s">
        <v>8</v>
      </c>
      <c r="B567" s="1" t="n">
        <v>39</v>
      </c>
      <c r="C567" s="1" t="n">
        <v>14</v>
      </c>
      <c r="D567" s="1" t="s">
        <v>213</v>
      </c>
      <c r="E567" s="1" t="s">
        <v>199</v>
      </c>
      <c r="F567" s="1" t="n">
        <v>3510</v>
      </c>
      <c r="G567" s="4" t="n">
        <v>1</v>
      </c>
      <c r="H567" s="1" t="s">
        <v>416</v>
      </c>
      <c r="I567" s="4" t="n">
        <v>1</v>
      </c>
      <c r="J567" s="1" t="str">
        <f aca="false">_xlfn.CONCAT("с",F567," ",D567,"/",E567,IF(G567=0,"","-" &amp; G567))</f>
        <v>с3510 ОК-1.1/3б-1</v>
      </c>
    </row>
    <row r="568" customFormat="false" ht="12.8" hidden="false" customHeight="false" outlineLevel="0" collapsed="false">
      <c r="A568" s="1" t="s">
        <v>8</v>
      </c>
      <c r="B568" s="1" t="n">
        <v>39</v>
      </c>
      <c r="C568" s="1" t="n">
        <v>15</v>
      </c>
      <c r="D568" s="1" t="s">
        <v>199</v>
      </c>
      <c r="E568" s="1" t="s">
        <v>206</v>
      </c>
      <c r="F568" s="1" t="n">
        <v>3510</v>
      </c>
      <c r="G568" s="4" t="n">
        <v>1</v>
      </c>
      <c r="H568" s="1" t="s">
        <v>417</v>
      </c>
      <c r="I568" s="4" t="n">
        <v>1</v>
      </c>
      <c r="J568" s="1" t="str">
        <f aca="false">_xlfn.CONCAT("с",F568," ",D568,"/",E568,IF(G568=0,"","-" &amp; G568))</f>
        <v>с3510 3б/Тип 10-1</v>
      </c>
    </row>
    <row r="569" customFormat="false" ht="12.8" hidden="false" customHeight="false" outlineLevel="0" collapsed="false">
      <c r="A569" s="1" t="s">
        <v>8</v>
      </c>
      <c r="B569" s="1" t="n">
        <v>39</v>
      </c>
      <c r="C569" s="1" t="n">
        <v>16</v>
      </c>
      <c r="D569" s="1" t="s">
        <v>206</v>
      </c>
      <c r="E569" s="1" t="s">
        <v>213</v>
      </c>
      <c r="F569" s="1" t="n">
        <v>3510</v>
      </c>
      <c r="G569" s="4" t="n">
        <v>0</v>
      </c>
      <c r="H569" s="1" t="s">
        <v>411</v>
      </c>
      <c r="I569" s="4" t="n">
        <v>1</v>
      </c>
      <c r="J569" s="1" t="str">
        <f aca="false">_xlfn.CONCAT("с",F569," ",D569,"/",E569,IF(G569=0,"","-" &amp; G569))</f>
        <v>с3510 Тип 10/ОК-1.1</v>
      </c>
    </row>
    <row r="570" customFormat="false" ht="12.8" hidden="false" customHeight="false" outlineLevel="0" collapsed="false">
      <c r="A570" s="1" t="s">
        <v>8</v>
      </c>
      <c r="B570" s="1" t="n">
        <v>39</v>
      </c>
      <c r="C570" s="1" t="n">
        <v>17</v>
      </c>
      <c r="D570" s="1" t="s">
        <v>213</v>
      </c>
      <c r="E570" s="1" t="s">
        <v>199</v>
      </c>
      <c r="F570" s="1" t="n">
        <v>3510</v>
      </c>
      <c r="G570" s="4" t="n">
        <v>0</v>
      </c>
      <c r="H570" s="1" t="s">
        <v>412</v>
      </c>
      <c r="I570" s="4" t="n">
        <v>1</v>
      </c>
      <c r="J570" s="1" t="str">
        <f aca="false">_xlfn.CONCAT("с",F570," ",D570,"/",E570,IF(G570=0,"","-" &amp; G570))</f>
        <v>с3510 ОК-1.1/3б</v>
      </c>
    </row>
    <row r="571" customFormat="false" ht="12.8" hidden="false" customHeight="false" outlineLevel="0" collapsed="false">
      <c r="A571" s="1" t="s">
        <v>8</v>
      </c>
      <c r="B571" s="1" t="n">
        <v>39</v>
      </c>
      <c r="C571" s="1" t="n">
        <v>18</v>
      </c>
      <c r="D571" s="1" t="s">
        <v>199</v>
      </c>
      <c r="E571" s="1" t="s">
        <v>206</v>
      </c>
      <c r="F571" s="1" t="n">
        <v>3510</v>
      </c>
      <c r="G571" s="4" t="n">
        <v>0</v>
      </c>
      <c r="H571" s="1" t="s">
        <v>413</v>
      </c>
      <c r="I571" s="4" t="n">
        <v>1</v>
      </c>
      <c r="J571" s="1" t="str">
        <f aca="false">_xlfn.CONCAT("с",F571," ",D571,"/",E571,IF(G571=0,"","-" &amp; G571))</f>
        <v>с3510 3б/Тип 10</v>
      </c>
    </row>
    <row r="572" customFormat="false" ht="12.8" hidden="false" customHeight="false" outlineLevel="0" collapsed="false">
      <c r="A572" s="1" t="s">
        <v>8</v>
      </c>
      <c r="B572" s="1" t="n">
        <v>39</v>
      </c>
      <c r="C572" s="1" t="n">
        <v>19</v>
      </c>
      <c r="D572" s="1" t="s">
        <v>206</v>
      </c>
      <c r="E572" s="1" t="s">
        <v>213</v>
      </c>
      <c r="F572" s="1" t="n">
        <v>3510</v>
      </c>
      <c r="G572" s="4" t="n">
        <v>0</v>
      </c>
      <c r="H572" s="1" t="s">
        <v>411</v>
      </c>
      <c r="I572" s="4" t="n">
        <v>1</v>
      </c>
      <c r="J572" s="1" t="str">
        <f aca="false">_xlfn.CONCAT("с",F572," ",D572,"/",E572,IF(G572=0,"","-" &amp; G572))</f>
        <v>с3510 Тип 10/ОК-1.1</v>
      </c>
    </row>
    <row r="573" customFormat="false" ht="12.8" hidden="false" customHeight="false" outlineLevel="0" collapsed="false">
      <c r="A573" s="1" t="s">
        <v>8</v>
      </c>
      <c r="B573" s="1" t="n">
        <v>39</v>
      </c>
      <c r="C573" s="1" t="n">
        <v>20</v>
      </c>
      <c r="D573" s="1" t="s">
        <v>213</v>
      </c>
      <c r="E573" s="1" t="s">
        <v>203</v>
      </c>
      <c r="F573" s="1" t="n">
        <v>3510</v>
      </c>
      <c r="G573" s="4" t="n">
        <v>0</v>
      </c>
      <c r="H573" s="1" t="s">
        <v>418</v>
      </c>
      <c r="I573" s="4" t="n">
        <v>1</v>
      </c>
      <c r="J573" s="1" t="str">
        <f aca="false">_xlfn.CONCAT("с",F573," ",D573,"/",E573,IF(G573=0,"","-" &amp; G573))</f>
        <v>с3510 ОК-1.1/6б</v>
      </c>
    </row>
    <row r="574" customFormat="false" ht="12.8" hidden="false" customHeight="false" outlineLevel="0" collapsed="false">
      <c r="A574" s="1" t="s">
        <v>8</v>
      </c>
      <c r="B574" s="1" t="n">
        <v>39</v>
      </c>
      <c r="C574" s="1" t="n">
        <v>21</v>
      </c>
      <c r="D574" s="1" t="s">
        <v>203</v>
      </c>
      <c r="E574" s="1" t="s">
        <v>206</v>
      </c>
      <c r="F574" s="1" t="n">
        <v>3510</v>
      </c>
      <c r="G574" s="4" t="n">
        <v>0</v>
      </c>
      <c r="H574" s="1" t="s">
        <v>419</v>
      </c>
      <c r="I574" s="4" t="n">
        <v>1</v>
      </c>
      <c r="J574" s="1" t="str">
        <f aca="false">_xlfn.CONCAT("с",F574," ",D574,"/",E574,IF(G574=0,"","-" &amp; G574))</f>
        <v>с3510 6б/Тип 10</v>
      </c>
    </row>
    <row r="575" customFormat="false" ht="12.8" hidden="false" customHeight="false" outlineLevel="0" collapsed="false">
      <c r="A575" s="1" t="s">
        <v>8</v>
      </c>
      <c r="B575" s="1" t="n">
        <v>39</v>
      </c>
      <c r="C575" s="1" t="n">
        <v>22</v>
      </c>
      <c r="D575" s="1" t="s">
        <v>206</v>
      </c>
      <c r="E575" s="1" t="s">
        <v>201</v>
      </c>
      <c r="F575" s="1" t="n">
        <v>3510</v>
      </c>
      <c r="G575" s="4" t="n">
        <v>0</v>
      </c>
      <c r="H575" s="1" t="s">
        <v>420</v>
      </c>
      <c r="I575" s="4" t="n">
        <v>1</v>
      </c>
      <c r="J575" s="1" t="str">
        <f aca="false">_xlfn.CONCAT("с",F575," ",D575,"/",E575,IF(G575=0,"","-" &amp; G575))</f>
        <v>с3510 Тип 10/5б</v>
      </c>
    </row>
    <row r="576" customFormat="false" ht="12.8" hidden="false" customHeight="false" outlineLevel="0" collapsed="false">
      <c r="A576" s="1" t="s">
        <v>8</v>
      </c>
      <c r="B576" s="1" t="n">
        <v>39</v>
      </c>
      <c r="C576" s="1" t="n">
        <v>23</v>
      </c>
      <c r="D576" s="1" t="s">
        <v>201</v>
      </c>
      <c r="E576" s="1" t="s">
        <v>206</v>
      </c>
      <c r="F576" s="1" t="n">
        <v>3510</v>
      </c>
      <c r="G576" s="4" t="n">
        <v>0</v>
      </c>
      <c r="H576" s="1" t="s">
        <v>415</v>
      </c>
      <c r="I576" s="4" t="n">
        <v>1</v>
      </c>
      <c r="J576" s="1" t="str">
        <f aca="false">_xlfn.CONCAT("с",F576," ",D576,"/",E576,IF(G576=0,"","-" &amp; G576))</f>
        <v>с3510 5б/Тип 10</v>
      </c>
    </row>
    <row r="577" customFormat="false" ht="12.8" hidden="false" customHeight="false" outlineLevel="0" collapsed="false">
      <c r="A577" s="1" t="s">
        <v>8</v>
      </c>
      <c r="B577" s="1" t="n">
        <v>39</v>
      </c>
      <c r="C577" s="1" t="n">
        <v>24</v>
      </c>
      <c r="D577" s="1" t="s">
        <v>206</v>
      </c>
      <c r="E577" s="1" t="s">
        <v>213</v>
      </c>
      <c r="F577" s="1" t="n">
        <v>3510</v>
      </c>
      <c r="G577" s="4" t="n">
        <v>0</v>
      </c>
      <c r="H577" s="1" t="s">
        <v>411</v>
      </c>
      <c r="I577" s="4" t="n">
        <v>1</v>
      </c>
      <c r="J577" s="1" t="str">
        <f aca="false">_xlfn.CONCAT("с",F577," ",D577,"/",E577,IF(G577=0,"","-" &amp; G577))</f>
        <v>с3510 Тип 10/ОК-1.1</v>
      </c>
    </row>
    <row r="578" customFormat="false" ht="12.8" hidden="false" customHeight="false" outlineLevel="0" collapsed="false">
      <c r="A578" s="1" t="s">
        <v>8</v>
      </c>
      <c r="B578" s="1" t="n">
        <v>39</v>
      </c>
      <c r="C578" s="1" t="n">
        <v>25</v>
      </c>
      <c r="D578" s="1" t="s">
        <v>213</v>
      </c>
      <c r="E578" s="1" t="s">
        <v>203</v>
      </c>
      <c r="F578" s="1" t="n">
        <v>3510</v>
      </c>
      <c r="G578" s="4" t="n">
        <v>0</v>
      </c>
      <c r="H578" s="1" t="s">
        <v>418</v>
      </c>
      <c r="I578" s="4" t="n">
        <v>1</v>
      </c>
      <c r="J578" s="1" t="str">
        <f aca="false">_xlfn.CONCAT("с",F578," ",D578,"/",E578,IF(G578=0,"","-" &amp; G578))</f>
        <v>с3510 ОК-1.1/6б</v>
      </c>
    </row>
    <row r="579" customFormat="false" ht="12.8" hidden="false" customHeight="false" outlineLevel="0" collapsed="false">
      <c r="A579" s="1" t="s">
        <v>8</v>
      </c>
      <c r="B579" s="1" t="n">
        <v>39</v>
      </c>
      <c r="C579" s="1" t="n">
        <v>26</v>
      </c>
      <c r="D579" s="1" t="s">
        <v>203</v>
      </c>
      <c r="E579" s="1" t="s">
        <v>206</v>
      </c>
      <c r="F579" s="1" t="n">
        <v>3510</v>
      </c>
      <c r="G579" s="4" t="n">
        <v>0</v>
      </c>
      <c r="H579" s="1" t="s">
        <v>419</v>
      </c>
      <c r="I579" s="4" t="n">
        <v>1</v>
      </c>
      <c r="J579" s="1" t="str">
        <f aca="false">_xlfn.CONCAT("с",F579," ",D579,"/",E579,IF(G579=0,"","-" &amp; G579))</f>
        <v>с3510 6б/Тип 10</v>
      </c>
    </row>
    <row r="580" customFormat="false" ht="12.8" hidden="false" customHeight="false" outlineLevel="0" collapsed="false">
      <c r="A580" s="1" t="s">
        <v>8</v>
      </c>
      <c r="B580" s="1" t="n">
        <v>39</v>
      </c>
      <c r="C580" s="1" t="n">
        <v>27</v>
      </c>
      <c r="D580" s="1" t="s">
        <v>206</v>
      </c>
      <c r="E580" s="1" t="s">
        <v>213</v>
      </c>
      <c r="F580" s="1" t="n">
        <v>3510</v>
      </c>
      <c r="G580" s="4" t="n">
        <v>0</v>
      </c>
      <c r="H580" s="1" t="s">
        <v>411</v>
      </c>
      <c r="I580" s="4" t="n">
        <v>1</v>
      </c>
      <c r="J580" s="1" t="str">
        <f aca="false">_xlfn.CONCAT("с",F580," ",D580,"/",E580,IF(G580=0,"","-" &amp; G580))</f>
        <v>с3510 Тип 10/ОК-1.1</v>
      </c>
    </row>
    <row r="581" customFormat="false" ht="12.8" hidden="false" customHeight="false" outlineLevel="0" collapsed="false">
      <c r="A581" s="1" t="s">
        <v>8</v>
      </c>
      <c r="B581" s="1" t="n">
        <v>39</v>
      </c>
      <c r="C581" s="1" t="n">
        <v>28</v>
      </c>
      <c r="D581" s="1" t="s">
        <v>213</v>
      </c>
      <c r="E581" s="1" t="s">
        <v>199</v>
      </c>
      <c r="F581" s="1" t="n">
        <v>3510</v>
      </c>
      <c r="G581" s="4" t="n">
        <v>1</v>
      </c>
      <c r="H581" s="1" t="s">
        <v>416</v>
      </c>
      <c r="I581" s="4" t="n">
        <v>1</v>
      </c>
      <c r="J581" s="1" t="str">
        <f aca="false">_xlfn.CONCAT("с",F581," ",D581,"/",E581,IF(G581=0,"","-" &amp; G581))</f>
        <v>с3510 ОК-1.1/3б-1</v>
      </c>
    </row>
    <row r="582" customFormat="false" ht="12.8" hidden="false" customHeight="false" outlineLevel="0" collapsed="false">
      <c r="A582" s="1" t="s">
        <v>8</v>
      </c>
      <c r="B582" s="1" t="n">
        <v>39</v>
      </c>
      <c r="C582" s="1" t="n">
        <v>29</v>
      </c>
      <c r="D582" s="1" t="s">
        <v>199</v>
      </c>
      <c r="E582" s="1" t="s">
        <v>206</v>
      </c>
      <c r="F582" s="1" t="n">
        <v>3510</v>
      </c>
      <c r="G582" s="4" t="n">
        <v>1</v>
      </c>
      <c r="H582" s="1" t="s">
        <v>417</v>
      </c>
      <c r="I582" s="4" t="n">
        <v>1</v>
      </c>
      <c r="J582" s="1" t="str">
        <f aca="false">_xlfn.CONCAT("с",F582," ",D582,"/",E582,IF(G582=0,"","-" &amp; G582))</f>
        <v>с3510 3б/Тип 10-1</v>
      </c>
    </row>
    <row r="583" customFormat="false" ht="12.8" hidden="false" customHeight="false" outlineLevel="0" collapsed="false">
      <c r="A583" s="1" t="s">
        <v>8</v>
      </c>
      <c r="B583" s="1" t="n">
        <v>39</v>
      </c>
      <c r="C583" s="1" t="n">
        <v>30</v>
      </c>
      <c r="D583" s="1" t="s">
        <v>206</v>
      </c>
      <c r="E583" s="1" t="s">
        <v>213</v>
      </c>
      <c r="F583" s="1" t="n">
        <v>3510</v>
      </c>
      <c r="G583" s="4" t="n">
        <v>0</v>
      </c>
      <c r="H583" s="1" t="s">
        <v>411</v>
      </c>
      <c r="I583" s="4" t="n">
        <v>1</v>
      </c>
      <c r="J583" s="1" t="str">
        <f aca="false">_xlfn.CONCAT("с",F583," ",D583,"/",E583,IF(G583=0,"","-" &amp; G583))</f>
        <v>с3510 Тип 10/ОК-1.1</v>
      </c>
    </row>
    <row r="584" customFormat="false" ht="12.8" hidden="false" customHeight="false" outlineLevel="0" collapsed="false">
      <c r="A584" s="1" t="s">
        <v>8</v>
      </c>
      <c r="B584" s="1" t="n">
        <v>39</v>
      </c>
      <c r="C584" s="1" t="n">
        <v>31</v>
      </c>
      <c r="D584" s="1" t="s">
        <v>213</v>
      </c>
      <c r="E584" s="1" t="s">
        <v>199</v>
      </c>
      <c r="F584" s="1" t="n">
        <v>3510</v>
      </c>
      <c r="G584" s="4" t="n">
        <v>0</v>
      </c>
      <c r="H584" s="1" t="s">
        <v>412</v>
      </c>
      <c r="I584" s="4" t="n">
        <v>1</v>
      </c>
      <c r="J584" s="1" t="str">
        <f aca="false">_xlfn.CONCAT("с",F584," ",D584,"/",E584,IF(G584=0,"","-" &amp; G584))</f>
        <v>с3510 ОК-1.1/3б</v>
      </c>
    </row>
    <row r="585" customFormat="false" ht="12.8" hidden="false" customHeight="false" outlineLevel="0" collapsed="false">
      <c r="A585" s="1" t="s">
        <v>8</v>
      </c>
      <c r="B585" s="1" t="n">
        <v>39</v>
      </c>
      <c r="C585" s="1" t="n">
        <v>32</v>
      </c>
      <c r="D585" s="1" t="s">
        <v>199</v>
      </c>
      <c r="E585" s="1" t="s">
        <v>206</v>
      </c>
      <c r="F585" s="1" t="n">
        <v>3510</v>
      </c>
      <c r="G585" s="4" t="n">
        <v>0</v>
      </c>
      <c r="H585" s="1" t="s">
        <v>413</v>
      </c>
      <c r="I585" s="4" t="n">
        <v>1</v>
      </c>
      <c r="J585" s="1" t="str">
        <f aca="false">_xlfn.CONCAT("с",F585," ",D585,"/",E585,IF(G585=0,"","-" &amp; G585))</f>
        <v>с3510 3б/Тип 10</v>
      </c>
    </row>
    <row r="586" customFormat="false" ht="12.8" hidden="false" customHeight="false" outlineLevel="0" collapsed="false">
      <c r="A586" s="1" t="s">
        <v>8</v>
      </c>
      <c r="B586" s="1" t="n">
        <v>39</v>
      </c>
      <c r="C586" s="1" t="n">
        <v>33</v>
      </c>
      <c r="D586" s="1" t="s">
        <v>206</v>
      </c>
      <c r="E586" s="1" t="s">
        <v>213</v>
      </c>
      <c r="F586" s="1" t="n">
        <v>3510</v>
      </c>
      <c r="G586" s="4" t="n">
        <v>0</v>
      </c>
      <c r="H586" s="1" t="s">
        <v>411</v>
      </c>
      <c r="I586" s="4" t="n">
        <v>1</v>
      </c>
      <c r="J586" s="1" t="str">
        <f aca="false">_xlfn.CONCAT("с",F586," ",D586,"/",E586,IF(G586=0,"","-" &amp; G586))</f>
        <v>с3510 Тип 10/ОК-1.1</v>
      </c>
    </row>
    <row r="587" customFormat="false" ht="12.8" hidden="false" customHeight="false" outlineLevel="0" collapsed="false">
      <c r="A587" s="1" t="s">
        <v>8</v>
      </c>
      <c r="B587" s="1" t="n">
        <v>39</v>
      </c>
      <c r="C587" s="1" t="n">
        <v>34</v>
      </c>
      <c r="D587" s="1" t="s">
        <v>213</v>
      </c>
      <c r="E587" s="1" t="s">
        <v>199</v>
      </c>
      <c r="F587" s="1" t="n">
        <v>3510</v>
      </c>
      <c r="G587" s="4" t="n">
        <v>2</v>
      </c>
      <c r="H587" s="1" t="s">
        <v>421</v>
      </c>
      <c r="I587" s="4" t="n">
        <v>1</v>
      </c>
      <c r="J587" s="1" t="str">
        <f aca="false">_xlfn.CONCAT("с",F587," ",D587,"/",E587,IF(G587=0,"","-" &amp; G587))</f>
        <v>с3510 ОК-1.1/3б-2</v>
      </c>
    </row>
    <row r="588" customFormat="false" ht="12.8" hidden="false" customHeight="false" outlineLevel="0" collapsed="false">
      <c r="A588" s="1" t="s">
        <v>8</v>
      </c>
      <c r="B588" s="1" t="n">
        <v>39</v>
      </c>
      <c r="C588" s="1" t="n">
        <v>35</v>
      </c>
      <c r="F588" s="1" t="n">
        <v>3510</v>
      </c>
      <c r="G588" s="4" t="n">
        <v>0</v>
      </c>
      <c r="H588" s="1" t="s">
        <v>377</v>
      </c>
      <c r="I588" s="4" t="n">
        <v>1</v>
      </c>
      <c r="J588" s="1" t="str">
        <f aca="false">_xlfn.CONCAT("с",F588," ",D588,"/",E588,IF(G588=0,"","-" &amp; G588))</f>
        <v>с3510 /</v>
      </c>
    </row>
    <row r="589" customFormat="false" ht="12.8" hidden="false" customHeight="false" outlineLevel="0" collapsed="false">
      <c r="A589" s="1" t="s">
        <v>8</v>
      </c>
      <c r="B589" s="1" t="n">
        <v>57</v>
      </c>
      <c r="C589" s="1" t="n">
        <v>1</v>
      </c>
      <c r="F589" s="1" t="n">
        <v>3930</v>
      </c>
      <c r="G589" s="4" t="n">
        <v>0</v>
      </c>
      <c r="H589" s="1" t="s">
        <v>422</v>
      </c>
      <c r="I589" s="4" t="n">
        <v>1</v>
      </c>
      <c r="J589" s="1" t="str">
        <f aca="false">_xlfn.CONCAT("с",F589," ",D589,"/",E589,IF(G589=0,"","-" &amp; G589))</f>
        <v>с3930 /</v>
      </c>
    </row>
    <row r="590" customFormat="false" ht="12.8" hidden="false" customHeight="false" outlineLevel="0" collapsed="false">
      <c r="A590" s="1" t="s">
        <v>8</v>
      </c>
      <c r="B590" s="1" t="n">
        <v>57</v>
      </c>
      <c r="C590" s="1" t="n">
        <v>2</v>
      </c>
      <c r="D590" s="1" t="s">
        <v>201</v>
      </c>
      <c r="E590" s="1" t="s">
        <v>213</v>
      </c>
      <c r="F590" s="1" t="n">
        <v>3930</v>
      </c>
      <c r="G590" s="4" t="n">
        <v>0</v>
      </c>
      <c r="H590" s="1" t="s">
        <v>423</v>
      </c>
      <c r="I590" s="4" t="n">
        <v>1</v>
      </c>
      <c r="J590" s="1" t="str">
        <f aca="false">_xlfn.CONCAT("с",F590," ",D590,"/",E590,IF(G590=0,"","-" &amp; G590))</f>
        <v>с3930 5б/ОК-1.1</v>
      </c>
    </row>
    <row r="591" customFormat="false" ht="12.8" hidden="false" customHeight="false" outlineLevel="0" collapsed="false">
      <c r="A591" s="1" t="s">
        <v>8</v>
      </c>
      <c r="B591" s="1" t="n">
        <v>57</v>
      </c>
      <c r="C591" s="1" t="n">
        <v>3</v>
      </c>
      <c r="D591" s="1" t="s">
        <v>213</v>
      </c>
      <c r="E591" s="1" t="s">
        <v>206</v>
      </c>
      <c r="F591" s="1" t="n">
        <v>3930</v>
      </c>
      <c r="G591" s="4" t="n">
        <v>0</v>
      </c>
      <c r="H591" s="1" t="s">
        <v>424</v>
      </c>
      <c r="I591" s="4" t="n">
        <v>1</v>
      </c>
      <c r="J591" s="1" t="str">
        <f aca="false">_xlfn.CONCAT("с",F591," ",D591,"/",E591,IF(G591=0,"","-" &amp; G591))</f>
        <v>с3930 ОК-1.1/Тип 10</v>
      </c>
    </row>
    <row r="592" customFormat="false" ht="12.8" hidden="false" customHeight="false" outlineLevel="0" collapsed="false">
      <c r="A592" s="1" t="s">
        <v>8</v>
      </c>
      <c r="B592" s="1" t="n">
        <v>57</v>
      </c>
      <c r="C592" s="1" t="n">
        <v>4</v>
      </c>
      <c r="D592" s="1" t="s">
        <v>206</v>
      </c>
      <c r="E592" s="1" t="s">
        <v>213</v>
      </c>
      <c r="F592" s="1" t="n">
        <v>3930</v>
      </c>
      <c r="G592" s="4" t="n">
        <v>0</v>
      </c>
      <c r="H592" s="1" t="s">
        <v>425</v>
      </c>
      <c r="I592" s="4" t="n">
        <v>1</v>
      </c>
      <c r="J592" s="1" t="str">
        <f aca="false">_xlfn.CONCAT("с",F592," ",D592,"/",E592,IF(G592=0,"","-" &amp; G592))</f>
        <v>с3930 Тип 10/ОК-1.1</v>
      </c>
    </row>
    <row r="593" customFormat="false" ht="12.8" hidden="false" customHeight="false" outlineLevel="0" collapsed="false">
      <c r="A593" s="1" t="s">
        <v>8</v>
      </c>
      <c r="B593" s="1" t="n">
        <v>57</v>
      </c>
      <c r="C593" s="1" t="n">
        <v>5</v>
      </c>
      <c r="D593" s="1" t="s">
        <v>213</v>
      </c>
      <c r="E593" s="1" t="s">
        <v>199</v>
      </c>
      <c r="F593" s="1" t="n">
        <v>3930</v>
      </c>
      <c r="G593" s="4" t="n">
        <v>0</v>
      </c>
      <c r="H593" s="1" t="s">
        <v>426</v>
      </c>
      <c r="I593" s="4" t="n">
        <v>1</v>
      </c>
      <c r="J593" s="1" t="str">
        <f aca="false">_xlfn.CONCAT("с",F593," ",D593,"/",E593,IF(G593=0,"","-" &amp; G593))</f>
        <v>с3930 ОК-1.1/3б</v>
      </c>
    </row>
    <row r="594" customFormat="false" ht="12.8" hidden="false" customHeight="false" outlineLevel="0" collapsed="false">
      <c r="A594" s="1" t="s">
        <v>8</v>
      </c>
      <c r="B594" s="1" t="n">
        <v>57</v>
      </c>
      <c r="C594" s="1" t="n">
        <v>6</v>
      </c>
      <c r="D594" s="1" t="s">
        <v>199</v>
      </c>
      <c r="E594" s="1" t="s">
        <v>206</v>
      </c>
      <c r="F594" s="1" t="n">
        <v>3930</v>
      </c>
      <c r="G594" s="4" t="n">
        <v>0</v>
      </c>
      <c r="H594" s="1" t="s">
        <v>427</v>
      </c>
      <c r="I594" s="4" t="n">
        <v>1</v>
      </c>
      <c r="J594" s="1" t="str">
        <f aca="false">_xlfn.CONCAT("с",F594," ",D594,"/",E594,IF(G594=0,"","-" &amp; G594))</f>
        <v>с3930 3б/Тип 10</v>
      </c>
    </row>
    <row r="595" customFormat="false" ht="12.8" hidden="false" customHeight="false" outlineLevel="0" collapsed="false">
      <c r="A595" s="1" t="s">
        <v>8</v>
      </c>
      <c r="B595" s="1" t="n">
        <v>57</v>
      </c>
      <c r="C595" s="1" t="n">
        <v>7</v>
      </c>
      <c r="D595" s="1" t="s">
        <v>206</v>
      </c>
      <c r="E595" s="1" t="s">
        <v>213</v>
      </c>
      <c r="F595" s="1" t="n">
        <v>3930</v>
      </c>
      <c r="G595" s="4" t="n">
        <v>0</v>
      </c>
      <c r="H595" s="1" t="s">
        <v>425</v>
      </c>
      <c r="I595" s="4" t="n">
        <v>1</v>
      </c>
      <c r="J595" s="1" t="str">
        <f aca="false">_xlfn.CONCAT("с",F595," ",D595,"/",E595,IF(G595=0,"","-" &amp; G595))</f>
        <v>с3930 Тип 10/ОК-1.1</v>
      </c>
    </row>
    <row r="596" customFormat="false" ht="12.8" hidden="false" customHeight="false" outlineLevel="0" collapsed="false">
      <c r="A596" s="1" t="s">
        <v>8</v>
      </c>
      <c r="B596" s="1" t="n">
        <v>57</v>
      </c>
      <c r="C596" s="1" t="n">
        <v>8</v>
      </c>
      <c r="D596" s="1" t="s">
        <v>213</v>
      </c>
      <c r="E596" s="1" t="s">
        <v>201</v>
      </c>
      <c r="F596" s="1" t="n">
        <v>3930</v>
      </c>
      <c r="G596" s="4" t="n">
        <v>0</v>
      </c>
      <c r="H596" s="1" t="s">
        <v>428</v>
      </c>
      <c r="I596" s="4" t="n">
        <v>1</v>
      </c>
      <c r="J596" s="1" t="str">
        <f aca="false">_xlfn.CONCAT("с",F596," ",D596,"/",E596,IF(G596=0,"","-" &amp; G596))</f>
        <v>с3930 ОК-1.1/5б</v>
      </c>
    </row>
    <row r="597" customFormat="false" ht="12.8" hidden="false" customHeight="false" outlineLevel="0" collapsed="false">
      <c r="A597" s="1" t="s">
        <v>8</v>
      </c>
      <c r="B597" s="1" t="n">
        <v>57</v>
      </c>
      <c r="C597" s="1" t="n">
        <v>9</v>
      </c>
      <c r="D597" s="1" t="s">
        <v>201</v>
      </c>
      <c r="E597" s="1" t="s">
        <v>206</v>
      </c>
      <c r="F597" s="1" t="n">
        <v>3930</v>
      </c>
      <c r="G597" s="4" t="n">
        <v>0</v>
      </c>
      <c r="H597" s="1" t="s">
        <v>429</v>
      </c>
      <c r="I597" s="4" t="n">
        <v>1</v>
      </c>
      <c r="J597" s="1" t="str">
        <f aca="false">_xlfn.CONCAT("с",F597," ",D597,"/",E597,IF(G597=0,"","-" &amp; G597))</f>
        <v>с3930 5б/Тип 10</v>
      </c>
    </row>
    <row r="598" customFormat="false" ht="12.8" hidden="false" customHeight="false" outlineLevel="0" collapsed="false">
      <c r="A598" s="1" t="s">
        <v>8</v>
      </c>
      <c r="B598" s="1" t="n">
        <v>57</v>
      </c>
      <c r="C598" s="1" t="n">
        <v>10</v>
      </c>
      <c r="D598" s="1" t="s">
        <v>206</v>
      </c>
      <c r="E598" s="1" t="s">
        <v>213</v>
      </c>
      <c r="F598" s="1" t="n">
        <v>3930</v>
      </c>
      <c r="G598" s="4" t="n">
        <v>0</v>
      </c>
      <c r="H598" s="1" t="s">
        <v>425</v>
      </c>
      <c r="I598" s="4" t="n">
        <v>1</v>
      </c>
      <c r="J598" s="1" t="str">
        <f aca="false">_xlfn.CONCAT("с",F598," ",D598,"/",E598,IF(G598=0,"","-" &amp; G598))</f>
        <v>с3930 Тип 10/ОК-1.1</v>
      </c>
    </row>
    <row r="599" customFormat="false" ht="12.8" hidden="false" customHeight="false" outlineLevel="0" collapsed="false">
      <c r="A599" s="1" t="s">
        <v>8</v>
      </c>
      <c r="B599" s="1" t="n">
        <v>57</v>
      </c>
      <c r="C599" s="1" t="n">
        <v>11</v>
      </c>
      <c r="D599" s="1" t="s">
        <v>213</v>
      </c>
      <c r="E599" s="1" t="s">
        <v>201</v>
      </c>
      <c r="F599" s="1" t="n">
        <v>3930</v>
      </c>
      <c r="G599" s="4" t="n">
        <v>0</v>
      </c>
      <c r="H599" s="1" t="s">
        <v>428</v>
      </c>
      <c r="I599" s="4" t="n">
        <v>1</v>
      </c>
      <c r="J599" s="1" t="str">
        <f aca="false">_xlfn.CONCAT("с",F599," ",D599,"/",E599,IF(G599=0,"","-" &amp; G599))</f>
        <v>с3930 ОК-1.1/5б</v>
      </c>
    </row>
    <row r="600" customFormat="false" ht="12.8" hidden="false" customHeight="false" outlineLevel="0" collapsed="false">
      <c r="A600" s="1" t="s">
        <v>8</v>
      </c>
      <c r="B600" s="1" t="n">
        <v>57</v>
      </c>
      <c r="C600" s="1" t="n">
        <v>12</v>
      </c>
      <c r="D600" s="1" t="s">
        <v>201</v>
      </c>
      <c r="E600" s="1" t="s">
        <v>206</v>
      </c>
      <c r="F600" s="1" t="n">
        <v>3930</v>
      </c>
      <c r="G600" s="4" t="n">
        <v>0</v>
      </c>
      <c r="H600" s="1" t="s">
        <v>429</v>
      </c>
      <c r="I600" s="4" t="n">
        <v>1</v>
      </c>
      <c r="J600" s="1" t="str">
        <f aca="false">_xlfn.CONCAT("с",F600," ",D600,"/",E600,IF(G600=0,"","-" &amp; G600))</f>
        <v>с3930 5б/Тип 10</v>
      </c>
    </row>
    <row r="601" customFormat="false" ht="12.8" hidden="false" customHeight="false" outlineLevel="0" collapsed="false">
      <c r="A601" s="1" t="s">
        <v>8</v>
      </c>
      <c r="B601" s="1" t="n">
        <v>57</v>
      </c>
      <c r="C601" s="1" t="n">
        <v>13</v>
      </c>
      <c r="D601" s="1" t="s">
        <v>206</v>
      </c>
      <c r="E601" s="1" t="s">
        <v>213</v>
      </c>
      <c r="F601" s="1" t="n">
        <v>3930</v>
      </c>
      <c r="G601" s="4" t="n">
        <v>1</v>
      </c>
      <c r="H601" s="1" t="s">
        <v>430</v>
      </c>
      <c r="I601" s="4" t="n">
        <v>1</v>
      </c>
      <c r="J601" s="1" t="str">
        <f aca="false">_xlfn.CONCAT("с",F601," ",D601,"/",E601,IF(G601=0,"","-" &amp; G601))</f>
        <v>с3930 Тип 10/ОК-1.1-1</v>
      </c>
    </row>
    <row r="602" customFormat="false" ht="12.8" hidden="false" customHeight="false" outlineLevel="0" collapsed="false">
      <c r="A602" s="1" t="s">
        <v>8</v>
      </c>
      <c r="B602" s="1" t="n">
        <v>57</v>
      </c>
      <c r="C602" s="1" t="n">
        <v>14</v>
      </c>
      <c r="D602" s="1" t="s">
        <v>213</v>
      </c>
      <c r="E602" s="1" t="s">
        <v>197</v>
      </c>
      <c r="F602" s="1" t="n">
        <v>3930</v>
      </c>
      <c r="G602" s="4" t="n">
        <v>0</v>
      </c>
      <c r="H602" s="1" t="s">
        <v>431</v>
      </c>
      <c r="I602" s="4" t="n">
        <v>1</v>
      </c>
      <c r="J602" s="1" t="str">
        <f aca="false">_xlfn.CONCAT("с",F602," ",D602,"/",E602,IF(G602=0,"","-" &amp; G602))</f>
        <v>с3930 ОК-1.1/1б</v>
      </c>
    </row>
    <row r="603" customFormat="false" ht="12.8" hidden="false" customHeight="false" outlineLevel="0" collapsed="false">
      <c r="A603" s="1" t="s">
        <v>8</v>
      </c>
      <c r="B603" s="1" t="n">
        <v>57</v>
      </c>
      <c r="C603" s="1" t="n">
        <v>15</v>
      </c>
      <c r="D603" s="1" t="s">
        <v>197</v>
      </c>
      <c r="E603" s="1" t="s">
        <v>206</v>
      </c>
      <c r="F603" s="1" t="n">
        <v>3930</v>
      </c>
      <c r="G603" s="4" t="n">
        <v>0</v>
      </c>
      <c r="H603" s="1" t="s">
        <v>432</v>
      </c>
      <c r="I603" s="4" t="n">
        <v>1</v>
      </c>
      <c r="J603" s="1" t="str">
        <f aca="false">_xlfn.CONCAT("с",F603," ",D603,"/",E603,IF(G603=0,"","-" &amp; G603))</f>
        <v>с3930 1б/Тип 10</v>
      </c>
    </row>
    <row r="604" customFormat="false" ht="12.8" hidden="false" customHeight="false" outlineLevel="0" collapsed="false">
      <c r="A604" s="1" t="s">
        <v>8</v>
      </c>
      <c r="B604" s="1" t="n">
        <v>57</v>
      </c>
      <c r="C604" s="1" t="n">
        <v>16</v>
      </c>
      <c r="D604" s="1" t="s">
        <v>206</v>
      </c>
      <c r="E604" s="1" t="s">
        <v>213</v>
      </c>
      <c r="F604" s="1" t="n">
        <v>3930</v>
      </c>
      <c r="G604" s="4" t="n">
        <v>0</v>
      </c>
      <c r="H604" s="1" t="s">
        <v>425</v>
      </c>
      <c r="I604" s="4" t="n">
        <v>1</v>
      </c>
      <c r="J604" s="1" t="str">
        <f aca="false">_xlfn.CONCAT("с",F604," ",D604,"/",E604,IF(G604=0,"","-" &amp; G604))</f>
        <v>с3930 Тип 10/ОК-1.1</v>
      </c>
    </row>
    <row r="605" customFormat="false" ht="12.8" hidden="false" customHeight="false" outlineLevel="0" collapsed="false">
      <c r="A605" s="1" t="s">
        <v>8</v>
      </c>
      <c r="B605" s="1" t="n">
        <v>57</v>
      </c>
      <c r="C605" s="1" t="n">
        <v>17</v>
      </c>
      <c r="D605" s="1" t="s">
        <v>213</v>
      </c>
      <c r="E605" s="1" t="s">
        <v>199</v>
      </c>
      <c r="F605" s="1" t="n">
        <v>3930</v>
      </c>
      <c r="G605" s="4" t="n">
        <v>0</v>
      </c>
      <c r="H605" s="1" t="s">
        <v>426</v>
      </c>
      <c r="I605" s="4" t="n">
        <v>1</v>
      </c>
      <c r="J605" s="1" t="str">
        <f aca="false">_xlfn.CONCAT("с",F605," ",D605,"/",E605,IF(G605=0,"","-" &amp; G605))</f>
        <v>с3930 ОК-1.1/3б</v>
      </c>
    </row>
    <row r="606" customFormat="false" ht="12.8" hidden="false" customHeight="false" outlineLevel="0" collapsed="false">
      <c r="A606" s="1" t="s">
        <v>8</v>
      </c>
      <c r="B606" s="1" t="n">
        <v>57</v>
      </c>
      <c r="C606" s="1" t="n">
        <v>18</v>
      </c>
      <c r="D606" s="1" t="s">
        <v>199</v>
      </c>
      <c r="E606" s="1" t="s">
        <v>206</v>
      </c>
      <c r="F606" s="1" t="n">
        <v>3930</v>
      </c>
      <c r="G606" s="4" t="n">
        <v>1</v>
      </c>
      <c r="H606" s="1" t="s">
        <v>433</v>
      </c>
      <c r="I606" s="4" t="n">
        <v>1</v>
      </c>
      <c r="J606" s="1" t="str">
        <f aca="false">_xlfn.CONCAT("с",F606," ",D606,"/",E606,IF(G606=0,"","-" &amp; G606))</f>
        <v>с3930 3б/Тип 10-1</v>
      </c>
    </row>
    <row r="607" customFormat="false" ht="12.8" hidden="false" customHeight="false" outlineLevel="0" collapsed="false">
      <c r="A607" s="1" t="s">
        <v>8</v>
      </c>
      <c r="B607" s="1" t="n">
        <v>57</v>
      </c>
      <c r="C607" s="1" t="n">
        <v>19</v>
      </c>
      <c r="D607" s="1" t="s">
        <v>206</v>
      </c>
      <c r="E607" s="1" t="s">
        <v>213</v>
      </c>
      <c r="F607" s="1" t="n">
        <v>3930</v>
      </c>
      <c r="G607" s="4" t="n">
        <v>0</v>
      </c>
      <c r="H607" s="1" t="s">
        <v>425</v>
      </c>
      <c r="I607" s="4" t="n">
        <v>1</v>
      </c>
      <c r="J607" s="1" t="str">
        <f aca="false">_xlfn.CONCAT("с",F607," ",D607,"/",E607,IF(G607=0,"","-" &amp; G607))</f>
        <v>с3930 Тип 10/ОК-1.1</v>
      </c>
    </row>
    <row r="608" customFormat="false" ht="12.8" hidden="false" customHeight="false" outlineLevel="0" collapsed="false">
      <c r="A608" s="1" t="s">
        <v>8</v>
      </c>
      <c r="B608" s="1" t="n">
        <v>57</v>
      </c>
      <c r="C608" s="1" t="n">
        <v>20</v>
      </c>
      <c r="D608" s="1" t="s">
        <v>213</v>
      </c>
      <c r="E608" s="1" t="s">
        <v>203</v>
      </c>
      <c r="F608" s="1" t="n">
        <v>3930</v>
      </c>
      <c r="G608" s="4" t="n">
        <v>0</v>
      </c>
      <c r="H608" s="1" t="s">
        <v>434</v>
      </c>
      <c r="I608" s="4" t="n">
        <v>1</v>
      </c>
      <c r="J608" s="1" t="str">
        <f aca="false">_xlfn.CONCAT("с",F608," ",D608,"/",E608,IF(G608=0,"","-" &amp; G608))</f>
        <v>с3930 ОК-1.1/6б</v>
      </c>
    </row>
    <row r="609" customFormat="false" ht="12.8" hidden="false" customHeight="false" outlineLevel="0" collapsed="false">
      <c r="A609" s="1" t="s">
        <v>8</v>
      </c>
      <c r="B609" s="1" t="n">
        <v>57</v>
      </c>
      <c r="C609" s="1" t="n">
        <v>21</v>
      </c>
      <c r="D609" s="1" t="s">
        <v>203</v>
      </c>
      <c r="E609" s="1" t="s">
        <v>206</v>
      </c>
      <c r="F609" s="1" t="n">
        <v>3930</v>
      </c>
      <c r="G609" s="4" t="n">
        <v>0</v>
      </c>
      <c r="H609" s="1" t="s">
        <v>435</v>
      </c>
      <c r="I609" s="4" t="n">
        <v>1</v>
      </c>
      <c r="J609" s="1" t="str">
        <f aca="false">_xlfn.CONCAT("с",F609," ",D609,"/",E609,IF(G609=0,"","-" &amp; G609))</f>
        <v>с3930 6б/Тип 10</v>
      </c>
    </row>
    <row r="610" customFormat="false" ht="12.8" hidden="false" customHeight="false" outlineLevel="0" collapsed="false">
      <c r="A610" s="1" t="s">
        <v>8</v>
      </c>
      <c r="B610" s="1" t="n">
        <v>57</v>
      </c>
      <c r="C610" s="1" t="n">
        <v>22</v>
      </c>
      <c r="D610" s="1" t="s">
        <v>206</v>
      </c>
      <c r="E610" s="1" t="s">
        <v>201</v>
      </c>
      <c r="F610" s="1" t="n">
        <v>3930</v>
      </c>
      <c r="G610" s="4" t="n">
        <v>0</v>
      </c>
      <c r="H610" s="1" t="s">
        <v>436</v>
      </c>
      <c r="I610" s="4" t="n">
        <v>1</v>
      </c>
      <c r="J610" s="1" t="str">
        <f aca="false">_xlfn.CONCAT("с",F610," ",D610,"/",E610,IF(G610=0,"","-" &amp; G610))</f>
        <v>с3930 Тип 10/5б</v>
      </c>
    </row>
    <row r="611" customFormat="false" ht="12.8" hidden="false" customHeight="false" outlineLevel="0" collapsed="false">
      <c r="A611" s="1" t="s">
        <v>8</v>
      </c>
      <c r="B611" s="1" t="n">
        <v>57</v>
      </c>
      <c r="C611" s="1" t="n">
        <v>23</v>
      </c>
      <c r="D611" s="1" t="s">
        <v>201</v>
      </c>
      <c r="E611" s="1" t="s">
        <v>206</v>
      </c>
      <c r="F611" s="1" t="n">
        <v>3930</v>
      </c>
      <c r="G611" s="4" t="n">
        <v>0</v>
      </c>
      <c r="H611" s="1" t="s">
        <v>429</v>
      </c>
      <c r="I611" s="4" t="n">
        <v>1</v>
      </c>
      <c r="J611" s="1" t="str">
        <f aca="false">_xlfn.CONCAT("с",F611," ",D611,"/",E611,IF(G611=0,"","-" &amp; G611))</f>
        <v>с3930 5б/Тип 10</v>
      </c>
    </row>
    <row r="612" customFormat="false" ht="12.8" hidden="false" customHeight="false" outlineLevel="0" collapsed="false">
      <c r="A612" s="1" t="s">
        <v>8</v>
      </c>
      <c r="B612" s="1" t="n">
        <v>57</v>
      </c>
      <c r="C612" s="1" t="n">
        <v>24</v>
      </c>
      <c r="D612" s="1" t="s">
        <v>206</v>
      </c>
      <c r="E612" s="1" t="s">
        <v>213</v>
      </c>
      <c r="F612" s="1" t="n">
        <v>3930</v>
      </c>
      <c r="G612" s="4" t="n">
        <v>0</v>
      </c>
      <c r="H612" s="1" t="s">
        <v>425</v>
      </c>
      <c r="I612" s="4" t="n">
        <v>1</v>
      </c>
      <c r="J612" s="1" t="str">
        <f aca="false">_xlfn.CONCAT("с",F612," ",D612,"/",E612,IF(G612=0,"","-" &amp; G612))</f>
        <v>с3930 Тип 10/ОК-1.1</v>
      </c>
    </row>
    <row r="613" customFormat="false" ht="12.8" hidden="false" customHeight="false" outlineLevel="0" collapsed="false">
      <c r="A613" s="1" t="s">
        <v>8</v>
      </c>
      <c r="B613" s="1" t="n">
        <v>57</v>
      </c>
      <c r="C613" s="1" t="n">
        <v>25</v>
      </c>
      <c r="D613" s="1" t="s">
        <v>213</v>
      </c>
      <c r="E613" s="1" t="s">
        <v>203</v>
      </c>
      <c r="F613" s="1" t="n">
        <v>3930</v>
      </c>
      <c r="G613" s="4" t="n">
        <v>0</v>
      </c>
      <c r="H613" s="1" t="s">
        <v>434</v>
      </c>
      <c r="I613" s="4" t="n">
        <v>1</v>
      </c>
      <c r="J613" s="1" t="str">
        <f aca="false">_xlfn.CONCAT("с",F613," ",D613,"/",E613,IF(G613=0,"","-" &amp; G613))</f>
        <v>с3930 ОК-1.1/6б</v>
      </c>
    </row>
    <row r="614" customFormat="false" ht="12.8" hidden="false" customHeight="false" outlineLevel="0" collapsed="false">
      <c r="A614" s="1" t="s">
        <v>8</v>
      </c>
      <c r="B614" s="1" t="n">
        <v>57</v>
      </c>
      <c r="C614" s="1" t="n">
        <v>26</v>
      </c>
      <c r="D614" s="1" t="s">
        <v>203</v>
      </c>
      <c r="E614" s="1" t="s">
        <v>206</v>
      </c>
      <c r="F614" s="1" t="n">
        <v>3930</v>
      </c>
      <c r="G614" s="4" t="n">
        <v>0</v>
      </c>
      <c r="H614" s="1" t="s">
        <v>435</v>
      </c>
      <c r="I614" s="4" t="n">
        <v>1</v>
      </c>
      <c r="J614" s="1" t="str">
        <f aca="false">_xlfn.CONCAT("с",F614," ",D614,"/",E614,IF(G614=0,"","-" &amp; G614))</f>
        <v>с3930 6б/Тип 10</v>
      </c>
    </row>
    <row r="615" customFormat="false" ht="12.8" hidden="false" customHeight="false" outlineLevel="0" collapsed="false">
      <c r="A615" s="1" t="s">
        <v>8</v>
      </c>
      <c r="B615" s="1" t="n">
        <v>57</v>
      </c>
      <c r="C615" s="1" t="n">
        <v>27</v>
      </c>
      <c r="D615" s="1" t="s">
        <v>206</v>
      </c>
      <c r="E615" s="1" t="s">
        <v>213</v>
      </c>
      <c r="F615" s="1" t="n">
        <v>3930</v>
      </c>
      <c r="G615" s="4" t="n">
        <v>1</v>
      </c>
      <c r="H615" s="1" t="s">
        <v>430</v>
      </c>
      <c r="I615" s="4" t="n">
        <v>1</v>
      </c>
      <c r="J615" s="1" t="str">
        <f aca="false">_xlfn.CONCAT("с",F615," ",D615,"/",E615,IF(G615=0,"","-" &amp; G615))</f>
        <v>с3930 Тип 10/ОК-1.1-1</v>
      </c>
    </row>
    <row r="616" customFormat="false" ht="12.8" hidden="false" customHeight="false" outlineLevel="0" collapsed="false">
      <c r="A616" s="1" t="s">
        <v>8</v>
      </c>
      <c r="B616" s="1" t="n">
        <v>57</v>
      </c>
      <c r="C616" s="1" t="n">
        <v>28</v>
      </c>
      <c r="D616" s="1" t="s">
        <v>213</v>
      </c>
      <c r="E616" s="1" t="s">
        <v>197</v>
      </c>
      <c r="F616" s="1" t="n">
        <v>3930</v>
      </c>
      <c r="G616" s="4" t="n">
        <v>0</v>
      </c>
      <c r="H616" s="1" t="s">
        <v>431</v>
      </c>
      <c r="I616" s="4" t="n">
        <v>1</v>
      </c>
      <c r="J616" s="1" t="str">
        <f aca="false">_xlfn.CONCAT("с",F616," ",D616,"/",E616,IF(G616=0,"","-" &amp; G616))</f>
        <v>с3930 ОК-1.1/1б</v>
      </c>
    </row>
    <row r="617" customFormat="false" ht="12.8" hidden="false" customHeight="false" outlineLevel="0" collapsed="false">
      <c r="A617" s="1" t="s">
        <v>8</v>
      </c>
      <c r="B617" s="1" t="n">
        <v>57</v>
      </c>
      <c r="C617" s="1" t="n">
        <v>29</v>
      </c>
      <c r="D617" s="1" t="s">
        <v>197</v>
      </c>
      <c r="E617" s="1" t="s">
        <v>206</v>
      </c>
      <c r="F617" s="1" t="n">
        <v>3930</v>
      </c>
      <c r="G617" s="4" t="n">
        <v>0</v>
      </c>
      <c r="H617" s="1" t="s">
        <v>432</v>
      </c>
      <c r="I617" s="4" t="n">
        <v>1</v>
      </c>
      <c r="J617" s="1" t="str">
        <f aca="false">_xlfn.CONCAT("с",F617," ",D617,"/",E617,IF(G617=0,"","-" &amp; G617))</f>
        <v>с3930 1б/Тип 10</v>
      </c>
    </row>
    <row r="618" customFormat="false" ht="12.8" hidden="false" customHeight="false" outlineLevel="0" collapsed="false">
      <c r="A618" s="1" t="s">
        <v>8</v>
      </c>
      <c r="B618" s="1" t="n">
        <v>57</v>
      </c>
      <c r="C618" s="1" t="n">
        <v>30</v>
      </c>
      <c r="D618" s="1" t="s">
        <v>206</v>
      </c>
      <c r="E618" s="1" t="s">
        <v>213</v>
      </c>
      <c r="F618" s="1" t="n">
        <v>3930</v>
      </c>
      <c r="G618" s="4" t="n">
        <v>0</v>
      </c>
      <c r="H618" s="1" t="s">
        <v>425</v>
      </c>
      <c r="I618" s="4" t="n">
        <v>1</v>
      </c>
      <c r="J618" s="1" t="str">
        <f aca="false">_xlfn.CONCAT("с",F618," ",D618,"/",E618,IF(G618=0,"","-" &amp; G618))</f>
        <v>с3930 Тип 10/ОК-1.1</v>
      </c>
    </row>
    <row r="619" customFormat="false" ht="12.8" hidden="false" customHeight="false" outlineLevel="0" collapsed="false">
      <c r="A619" s="1" t="s">
        <v>8</v>
      </c>
      <c r="B619" s="1" t="n">
        <v>57</v>
      </c>
      <c r="C619" s="1" t="n">
        <v>31</v>
      </c>
      <c r="D619" s="1" t="s">
        <v>213</v>
      </c>
      <c r="E619" s="1" t="s">
        <v>199</v>
      </c>
      <c r="F619" s="1" t="n">
        <v>3930</v>
      </c>
      <c r="G619" s="4" t="n">
        <v>0</v>
      </c>
      <c r="H619" s="1" t="s">
        <v>426</v>
      </c>
      <c r="I619" s="4" t="n">
        <v>1</v>
      </c>
      <c r="J619" s="1" t="str">
        <f aca="false">_xlfn.CONCAT("с",F619," ",D619,"/",E619,IF(G619=0,"","-" &amp; G619))</f>
        <v>с3930 ОК-1.1/3б</v>
      </c>
    </row>
    <row r="620" customFormat="false" ht="12.8" hidden="false" customHeight="false" outlineLevel="0" collapsed="false">
      <c r="A620" s="1" t="s">
        <v>8</v>
      </c>
      <c r="B620" s="1" t="n">
        <v>57</v>
      </c>
      <c r="C620" s="1" t="n">
        <v>32</v>
      </c>
      <c r="D620" s="1" t="s">
        <v>199</v>
      </c>
      <c r="E620" s="1" t="s">
        <v>206</v>
      </c>
      <c r="F620" s="1" t="n">
        <v>3930</v>
      </c>
      <c r="G620" s="4" t="n">
        <v>0</v>
      </c>
      <c r="H620" s="1" t="s">
        <v>427</v>
      </c>
      <c r="I620" s="4" t="n">
        <v>1</v>
      </c>
      <c r="J620" s="1" t="str">
        <f aca="false">_xlfn.CONCAT("с",F620," ",D620,"/",E620,IF(G620=0,"","-" &amp; G620))</f>
        <v>с3930 3б/Тип 10</v>
      </c>
    </row>
    <row r="621" customFormat="false" ht="12.8" hidden="false" customHeight="false" outlineLevel="0" collapsed="false">
      <c r="A621" s="1" t="s">
        <v>8</v>
      </c>
      <c r="B621" s="1" t="n">
        <v>57</v>
      </c>
      <c r="C621" s="1" t="n">
        <v>33</v>
      </c>
      <c r="D621" s="1" t="s">
        <v>206</v>
      </c>
      <c r="E621" s="1" t="s">
        <v>213</v>
      </c>
      <c r="F621" s="1" t="n">
        <v>3930</v>
      </c>
      <c r="G621" s="4" t="n">
        <v>0</v>
      </c>
      <c r="H621" s="1" t="s">
        <v>425</v>
      </c>
      <c r="I621" s="4" t="n">
        <v>1</v>
      </c>
      <c r="J621" s="1" t="str">
        <f aca="false">_xlfn.CONCAT("с",F621," ",D621,"/",E621,IF(G621=0,"","-" &amp; G621))</f>
        <v>с3930 Тип 10/ОК-1.1</v>
      </c>
    </row>
    <row r="622" customFormat="false" ht="12.8" hidden="false" customHeight="false" outlineLevel="0" collapsed="false">
      <c r="A622" s="1" t="s">
        <v>8</v>
      </c>
      <c r="B622" s="1" t="n">
        <v>57</v>
      </c>
      <c r="C622" s="1" t="n">
        <v>34</v>
      </c>
      <c r="D622" s="1" t="s">
        <v>213</v>
      </c>
      <c r="E622" s="1" t="s">
        <v>199</v>
      </c>
      <c r="F622" s="1" t="n">
        <v>3930</v>
      </c>
      <c r="G622" s="4" t="n">
        <v>1</v>
      </c>
      <c r="H622" s="1" t="s">
        <v>437</v>
      </c>
      <c r="I622" s="4" t="n">
        <v>1</v>
      </c>
      <c r="J622" s="1" t="str">
        <f aca="false">_xlfn.CONCAT("с",F622," ",D622,"/",E622,IF(G622=0,"","-" &amp; G622))</f>
        <v>с3930 ОК-1.1/3б-1</v>
      </c>
    </row>
    <row r="623" customFormat="false" ht="12.8" hidden="false" customHeight="false" outlineLevel="0" collapsed="false">
      <c r="A623" s="1" t="s">
        <v>8</v>
      </c>
      <c r="B623" s="1" t="n">
        <v>57</v>
      </c>
      <c r="C623" s="1" t="n">
        <v>35</v>
      </c>
      <c r="F623" s="1" t="n">
        <v>3930</v>
      </c>
      <c r="G623" s="4" t="n">
        <v>0</v>
      </c>
      <c r="H623" s="1" t="s">
        <v>422</v>
      </c>
      <c r="I623" s="4" t="n">
        <v>1</v>
      </c>
      <c r="J623" s="1" t="str">
        <f aca="false">_xlfn.CONCAT("с",F623," ",D623,"/",E623,IF(G623=0,"","-" &amp; G623))</f>
        <v>с3930 /</v>
      </c>
    </row>
    <row r="624" customFormat="false" ht="12.8" hidden="false" customHeight="false" outlineLevel="0" collapsed="false">
      <c r="A624" s="1" t="s">
        <v>9</v>
      </c>
      <c r="B624" s="1" t="n">
        <v>2</v>
      </c>
      <c r="C624" s="1" t="n">
        <v>1</v>
      </c>
      <c r="F624" s="1" t="n">
        <v>3350</v>
      </c>
      <c r="G624" s="4" t="n">
        <v>0</v>
      </c>
      <c r="H624" s="1" t="s">
        <v>360</v>
      </c>
      <c r="I624" s="4" t="n">
        <v>1</v>
      </c>
      <c r="J624" s="1" t="str">
        <f aca="false">_xlfn.CONCAT("с",F624," ",D624,"/",E624,IF(G624=0,"","-" &amp; G624))</f>
        <v>с3350 /</v>
      </c>
    </row>
    <row r="625" customFormat="false" ht="12.8" hidden="false" customHeight="false" outlineLevel="0" collapsed="false">
      <c r="A625" s="1" t="s">
        <v>9</v>
      </c>
      <c r="B625" s="1" t="n">
        <v>2</v>
      </c>
      <c r="C625" s="1" t="n">
        <v>2</v>
      </c>
      <c r="D625" s="1" t="s">
        <v>200</v>
      </c>
      <c r="E625" s="1" t="s">
        <v>211</v>
      </c>
      <c r="F625" s="1" t="n">
        <v>3350</v>
      </c>
      <c r="G625" s="4" t="n">
        <v>0</v>
      </c>
      <c r="H625" s="1" t="s">
        <v>361</v>
      </c>
      <c r="I625" s="4" t="n">
        <v>1</v>
      </c>
      <c r="J625" s="1" t="str">
        <f aca="false">_xlfn.CONCAT("с",F625," ",D625,"/",E625,IF(G625=0,"","-" &amp; G625))</f>
        <v>с3350 5а/ОК-1</v>
      </c>
    </row>
    <row r="626" customFormat="false" ht="12.8" hidden="false" customHeight="false" outlineLevel="0" collapsed="false">
      <c r="A626" s="1" t="s">
        <v>9</v>
      </c>
      <c r="B626" s="1" t="n">
        <v>2</v>
      </c>
      <c r="C626" s="1" t="n">
        <v>3</v>
      </c>
      <c r="D626" s="1" t="s">
        <v>211</v>
      </c>
      <c r="E626" s="1" t="s">
        <v>206</v>
      </c>
      <c r="F626" s="1" t="n">
        <v>3350</v>
      </c>
      <c r="G626" s="4" t="n">
        <v>0</v>
      </c>
      <c r="H626" s="1" t="s">
        <v>362</v>
      </c>
      <c r="I626" s="4" t="n">
        <v>1</v>
      </c>
      <c r="J626" s="1" t="str">
        <f aca="false">_xlfn.CONCAT("с",F626," ",D626,"/",E626,IF(G626=0,"","-" &amp; G626))</f>
        <v>с3350 ОК-1/Тип 10</v>
      </c>
    </row>
    <row r="627" customFormat="false" ht="12.8" hidden="false" customHeight="false" outlineLevel="0" collapsed="false">
      <c r="A627" s="1" t="s">
        <v>9</v>
      </c>
      <c r="B627" s="1" t="n">
        <v>2</v>
      </c>
      <c r="C627" s="1" t="n">
        <v>4</v>
      </c>
      <c r="D627" s="1" t="s">
        <v>206</v>
      </c>
      <c r="E627" s="1" t="s">
        <v>200</v>
      </c>
      <c r="F627" s="1" t="n">
        <v>3350</v>
      </c>
      <c r="G627" s="4" t="n">
        <v>2</v>
      </c>
      <c r="H627" s="1" t="s">
        <v>365</v>
      </c>
      <c r="I627" s="4" t="n">
        <v>1</v>
      </c>
      <c r="J627" s="1" t="str">
        <f aca="false">_xlfn.CONCAT("с",F627," ",D627,"/",E627,IF(G627=0,"","-" &amp; G627))</f>
        <v>с3350 Тип 10/5а-2</v>
      </c>
    </row>
    <row r="628" customFormat="false" ht="12.8" hidden="false" customHeight="false" outlineLevel="0" collapsed="false">
      <c r="A628" s="1" t="s">
        <v>9</v>
      </c>
      <c r="B628" s="1" t="n">
        <v>2</v>
      </c>
      <c r="C628" s="1" t="n">
        <v>5</v>
      </c>
      <c r="D628" s="1" t="s">
        <v>200</v>
      </c>
      <c r="E628" s="1" t="s">
        <v>211</v>
      </c>
      <c r="F628" s="1" t="n">
        <v>3350</v>
      </c>
      <c r="G628" s="4" t="n">
        <v>1</v>
      </c>
      <c r="H628" s="1" t="s">
        <v>366</v>
      </c>
      <c r="I628" s="4" t="n">
        <v>1</v>
      </c>
      <c r="J628" s="1" t="str">
        <f aca="false">_xlfn.CONCAT("с",F628," ",D628,"/",E628,IF(G628=0,"","-" &amp; G628))</f>
        <v>с3350 5а/ОК-1-1</v>
      </c>
    </row>
    <row r="629" customFormat="false" ht="12.8" hidden="false" customHeight="false" outlineLevel="0" collapsed="false">
      <c r="A629" s="1" t="s">
        <v>9</v>
      </c>
      <c r="B629" s="1" t="n">
        <v>2</v>
      </c>
      <c r="C629" s="1" t="n">
        <v>6</v>
      </c>
      <c r="D629" s="1" t="s">
        <v>211</v>
      </c>
      <c r="E629" s="1" t="s">
        <v>206</v>
      </c>
      <c r="F629" s="1" t="n">
        <v>3350</v>
      </c>
      <c r="G629" s="4" t="n">
        <v>0</v>
      </c>
      <c r="H629" s="1" t="s">
        <v>362</v>
      </c>
      <c r="I629" s="4" t="n">
        <v>1</v>
      </c>
      <c r="J629" s="1" t="str">
        <f aca="false">_xlfn.CONCAT("с",F629," ",D629,"/",E629,IF(G629=0,"","-" &amp; G629))</f>
        <v>с3350 ОК-1/Тип 10</v>
      </c>
    </row>
    <row r="630" customFormat="false" ht="12.8" hidden="false" customHeight="false" outlineLevel="0" collapsed="false">
      <c r="A630" s="1" t="s">
        <v>9</v>
      </c>
      <c r="B630" s="1" t="n">
        <v>2</v>
      </c>
      <c r="C630" s="1" t="n">
        <v>7</v>
      </c>
      <c r="D630" s="1" t="s">
        <v>206</v>
      </c>
      <c r="E630" s="1" t="s">
        <v>200</v>
      </c>
      <c r="F630" s="1" t="n">
        <v>3350</v>
      </c>
      <c r="G630" s="4" t="n">
        <v>2</v>
      </c>
      <c r="H630" s="1" t="s">
        <v>365</v>
      </c>
      <c r="I630" s="4" t="n">
        <v>1</v>
      </c>
      <c r="J630" s="1" t="str">
        <f aca="false">_xlfn.CONCAT("с",F630," ",D630,"/",E630,IF(G630=0,"","-" &amp; G630))</f>
        <v>с3350 Тип 10/5а-2</v>
      </c>
    </row>
    <row r="631" customFormat="false" ht="12.8" hidden="false" customHeight="false" outlineLevel="0" collapsed="false">
      <c r="A631" s="1" t="s">
        <v>9</v>
      </c>
      <c r="B631" s="1" t="n">
        <v>2</v>
      </c>
      <c r="C631" s="1" t="n">
        <v>8</v>
      </c>
      <c r="D631" s="1" t="s">
        <v>200</v>
      </c>
      <c r="E631" s="1" t="s">
        <v>211</v>
      </c>
      <c r="F631" s="1" t="n">
        <v>3350</v>
      </c>
      <c r="G631" s="4" t="n">
        <v>1</v>
      </c>
      <c r="H631" s="1" t="s">
        <v>366</v>
      </c>
      <c r="I631" s="4" t="n">
        <v>1</v>
      </c>
      <c r="J631" s="1" t="str">
        <f aca="false">_xlfn.CONCAT("с",F631," ",D631,"/",E631,IF(G631=0,"","-" &amp; G631))</f>
        <v>с3350 5а/ОК-1-1</v>
      </c>
    </row>
    <row r="632" customFormat="false" ht="12.8" hidden="false" customHeight="false" outlineLevel="0" collapsed="false">
      <c r="A632" s="1" t="s">
        <v>9</v>
      </c>
      <c r="B632" s="1" t="n">
        <v>2</v>
      </c>
      <c r="C632" s="1" t="n">
        <v>9</v>
      </c>
      <c r="D632" s="1" t="s">
        <v>211</v>
      </c>
      <c r="E632" s="1" t="s">
        <v>206</v>
      </c>
      <c r="F632" s="1" t="n">
        <v>3350</v>
      </c>
      <c r="G632" s="4" t="n">
        <v>0</v>
      </c>
      <c r="H632" s="1" t="s">
        <v>362</v>
      </c>
      <c r="I632" s="4" t="n">
        <v>1</v>
      </c>
      <c r="J632" s="1" t="str">
        <f aca="false">_xlfn.CONCAT("с",F632," ",D632,"/",E632,IF(G632=0,"","-" &amp; G632))</f>
        <v>с3350 ОК-1/Тип 10</v>
      </c>
    </row>
    <row r="633" customFormat="false" ht="12.8" hidden="false" customHeight="false" outlineLevel="0" collapsed="false">
      <c r="A633" s="1" t="s">
        <v>9</v>
      </c>
      <c r="B633" s="1" t="n">
        <v>2</v>
      </c>
      <c r="C633" s="1" t="n">
        <v>10</v>
      </c>
      <c r="D633" s="1" t="s">
        <v>206</v>
      </c>
      <c r="E633" s="1" t="s">
        <v>200</v>
      </c>
      <c r="F633" s="1" t="n">
        <v>3350</v>
      </c>
      <c r="G633" s="4" t="n">
        <v>2</v>
      </c>
      <c r="H633" s="1" t="s">
        <v>365</v>
      </c>
      <c r="I633" s="4" t="n">
        <v>1</v>
      </c>
      <c r="J633" s="1" t="str">
        <f aca="false">_xlfn.CONCAT("с",F633," ",D633,"/",E633,IF(G633=0,"","-" &amp; G633))</f>
        <v>с3350 Тип 10/5а-2</v>
      </c>
    </row>
    <row r="634" customFormat="false" ht="12.8" hidden="false" customHeight="false" outlineLevel="0" collapsed="false">
      <c r="A634" s="1" t="s">
        <v>9</v>
      </c>
      <c r="B634" s="1" t="n">
        <v>2</v>
      </c>
      <c r="C634" s="1" t="n">
        <v>11</v>
      </c>
      <c r="D634" s="1" t="s">
        <v>200</v>
      </c>
      <c r="E634" s="1" t="s">
        <v>211</v>
      </c>
      <c r="F634" s="1" t="n">
        <v>3350</v>
      </c>
      <c r="G634" s="4" t="n">
        <v>1</v>
      </c>
      <c r="H634" s="1" t="s">
        <v>366</v>
      </c>
      <c r="I634" s="4" t="n">
        <v>1</v>
      </c>
      <c r="J634" s="1" t="str">
        <f aca="false">_xlfn.CONCAT("с",F634," ",D634,"/",E634,IF(G634=0,"","-" &amp; G634))</f>
        <v>с3350 5а/ОК-1-1</v>
      </c>
    </row>
    <row r="635" customFormat="false" ht="12.8" hidden="false" customHeight="false" outlineLevel="0" collapsed="false">
      <c r="A635" s="1" t="s">
        <v>9</v>
      </c>
      <c r="B635" s="1" t="n">
        <v>2</v>
      </c>
      <c r="C635" s="1" t="n">
        <v>12</v>
      </c>
      <c r="D635" s="1" t="s">
        <v>211</v>
      </c>
      <c r="E635" s="1" t="s">
        <v>206</v>
      </c>
      <c r="F635" s="1" t="n">
        <v>3350</v>
      </c>
      <c r="G635" s="4" t="n">
        <v>0</v>
      </c>
      <c r="H635" s="1" t="s">
        <v>362</v>
      </c>
      <c r="I635" s="4" t="n">
        <v>1</v>
      </c>
      <c r="J635" s="1" t="str">
        <f aca="false">_xlfn.CONCAT("с",F635," ",D635,"/",E635,IF(G635=0,"","-" &amp; G635))</f>
        <v>с3350 ОК-1/Тип 10</v>
      </c>
    </row>
    <row r="636" customFormat="false" ht="12.8" hidden="false" customHeight="false" outlineLevel="0" collapsed="false">
      <c r="A636" s="1" t="s">
        <v>9</v>
      </c>
      <c r="B636" s="1" t="n">
        <v>2</v>
      </c>
      <c r="C636" s="1" t="n">
        <v>13</v>
      </c>
      <c r="D636" s="1" t="s">
        <v>206</v>
      </c>
      <c r="E636" s="1" t="s">
        <v>200</v>
      </c>
      <c r="F636" s="1" t="n">
        <v>3350</v>
      </c>
      <c r="G636" s="4" t="n">
        <v>2</v>
      </c>
      <c r="H636" s="1" t="s">
        <v>365</v>
      </c>
      <c r="I636" s="4" t="n">
        <v>1</v>
      </c>
      <c r="J636" s="1" t="str">
        <f aca="false">_xlfn.CONCAT("с",F636," ",D636,"/",E636,IF(G636=0,"","-" &amp; G636))</f>
        <v>с3350 Тип 10/5а-2</v>
      </c>
    </row>
    <row r="637" customFormat="false" ht="12.8" hidden="false" customHeight="false" outlineLevel="0" collapsed="false">
      <c r="A637" s="1" t="s">
        <v>9</v>
      </c>
      <c r="B637" s="1" t="n">
        <v>2</v>
      </c>
      <c r="C637" s="1" t="n">
        <v>14</v>
      </c>
      <c r="D637" s="1" t="s">
        <v>200</v>
      </c>
      <c r="E637" s="1" t="s">
        <v>211</v>
      </c>
      <c r="F637" s="1" t="n">
        <v>3350</v>
      </c>
      <c r="G637" s="4" t="n">
        <v>1</v>
      </c>
      <c r="H637" s="1" t="s">
        <v>366</v>
      </c>
      <c r="I637" s="4" t="n">
        <v>1</v>
      </c>
      <c r="J637" s="1" t="str">
        <f aca="false">_xlfn.CONCAT("с",F637," ",D637,"/",E637,IF(G637=0,"","-" &amp; G637))</f>
        <v>с3350 5а/ОК-1-1</v>
      </c>
    </row>
    <row r="638" customFormat="false" ht="12.8" hidden="false" customHeight="false" outlineLevel="0" collapsed="false">
      <c r="A638" s="1" t="s">
        <v>9</v>
      </c>
      <c r="B638" s="1" t="n">
        <v>2</v>
      </c>
      <c r="C638" s="1" t="n">
        <v>15</v>
      </c>
      <c r="D638" s="1" t="s">
        <v>211</v>
      </c>
      <c r="E638" s="1" t="s">
        <v>206</v>
      </c>
      <c r="F638" s="1" t="n">
        <v>3350</v>
      </c>
      <c r="G638" s="4" t="n">
        <v>0</v>
      </c>
      <c r="H638" s="1" t="s">
        <v>362</v>
      </c>
      <c r="I638" s="4" t="n">
        <v>1</v>
      </c>
      <c r="J638" s="1" t="str">
        <f aca="false">_xlfn.CONCAT("с",F638," ",D638,"/",E638,IF(G638=0,"","-" &amp; G638))</f>
        <v>с3350 ОК-1/Тип 10</v>
      </c>
    </row>
    <row r="639" customFormat="false" ht="12.8" hidden="false" customHeight="false" outlineLevel="0" collapsed="false">
      <c r="A639" s="1" t="s">
        <v>9</v>
      </c>
      <c r="B639" s="1" t="n">
        <v>2</v>
      </c>
      <c r="C639" s="1" t="n">
        <v>16</v>
      </c>
      <c r="D639" s="1" t="s">
        <v>206</v>
      </c>
      <c r="E639" s="1" t="s">
        <v>200</v>
      </c>
      <c r="F639" s="1" t="n">
        <v>3350</v>
      </c>
      <c r="G639" s="4" t="n">
        <v>2</v>
      </c>
      <c r="H639" s="1" t="s">
        <v>365</v>
      </c>
      <c r="I639" s="4" t="n">
        <v>1</v>
      </c>
      <c r="J639" s="1" t="str">
        <f aca="false">_xlfn.CONCAT("с",F639," ",D639,"/",E639,IF(G639=0,"","-" &amp; G639))</f>
        <v>с3350 Тип 10/5а-2</v>
      </c>
    </row>
    <row r="640" customFormat="false" ht="12.8" hidden="false" customHeight="false" outlineLevel="0" collapsed="false">
      <c r="A640" s="1" t="s">
        <v>9</v>
      </c>
      <c r="B640" s="1" t="n">
        <v>2</v>
      </c>
      <c r="C640" s="1" t="n">
        <v>17</v>
      </c>
      <c r="D640" s="1" t="s">
        <v>200</v>
      </c>
      <c r="E640" s="1" t="s">
        <v>211</v>
      </c>
      <c r="F640" s="1" t="n">
        <v>3350</v>
      </c>
      <c r="G640" s="4" t="n">
        <v>1</v>
      </c>
      <c r="H640" s="1" t="s">
        <v>366</v>
      </c>
      <c r="I640" s="4" t="n">
        <v>1</v>
      </c>
      <c r="J640" s="1" t="str">
        <f aca="false">_xlfn.CONCAT("с",F640," ",D640,"/",E640,IF(G640=0,"","-" &amp; G640))</f>
        <v>с3350 5а/ОК-1-1</v>
      </c>
    </row>
    <row r="641" customFormat="false" ht="12.8" hidden="false" customHeight="false" outlineLevel="0" collapsed="false">
      <c r="A641" s="1" t="s">
        <v>9</v>
      </c>
      <c r="B641" s="1" t="n">
        <v>2</v>
      </c>
      <c r="C641" s="1" t="n">
        <v>18</v>
      </c>
      <c r="D641" s="1" t="s">
        <v>211</v>
      </c>
      <c r="E641" s="1" t="s">
        <v>206</v>
      </c>
      <c r="F641" s="1" t="n">
        <v>3350</v>
      </c>
      <c r="G641" s="4" t="n">
        <v>0</v>
      </c>
      <c r="H641" s="1" t="s">
        <v>362</v>
      </c>
      <c r="I641" s="4" t="n">
        <v>1</v>
      </c>
      <c r="J641" s="1" t="str">
        <f aca="false">_xlfn.CONCAT("с",F641," ",D641,"/",E641,IF(G641=0,"","-" &amp; G641))</f>
        <v>с3350 ОК-1/Тип 10</v>
      </c>
    </row>
    <row r="642" customFormat="false" ht="12.8" hidden="false" customHeight="false" outlineLevel="0" collapsed="false">
      <c r="A642" s="1" t="s">
        <v>9</v>
      </c>
      <c r="B642" s="1" t="n">
        <v>2</v>
      </c>
      <c r="C642" s="1" t="n">
        <v>19</v>
      </c>
      <c r="D642" s="1" t="s">
        <v>206</v>
      </c>
      <c r="E642" s="1" t="s">
        <v>198</v>
      </c>
      <c r="F642" s="1" t="n">
        <v>3350</v>
      </c>
      <c r="G642" s="4" t="n">
        <v>3</v>
      </c>
      <c r="H642" s="1" t="s">
        <v>363</v>
      </c>
      <c r="I642" s="4" t="n">
        <v>1</v>
      </c>
      <c r="J642" s="1" t="str">
        <f aca="false">_xlfn.CONCAT("с",F642," ",D642,"/",E642,IF(G642=0,"","-" &amp; G642))</f>
        <v>с3350 Тип 10/3а-3</v>
      </c>
    </row>
    <row r="643" customFormat="false" ht="12.8" hidden="false" customHeight="false" outlineLevel="0" collapsed="false">
      <c r="A643" s="1" t="s">
        <v>9</v>
      </c>
      <c r="B643" s="1" t="n">
        <v>2</v>
      </c>
      <c r="C643" s="1" t="n">
        <v>20</v>
      </c>
      <c r="D643" s="1" t="s">
        <v>198</v>
      </c>
      <c r="E643" s="1" t="s">
        <v>211</v>
      </c>
      <c r="F643" s="1" t="n">
        <v>3350</v>
      </c>
      <c r="G643" s="4" t="n">
        <v>0</v>
      </c>
      <c r="H643" s="1" t="s">
        <v>364</v>
      </c>
      <c r="I643" s="4" t="n">
        <v>1</v>
      </c>
      <c r="J643" s="1" t="str">
        <f aca="false">_xlfn.CONCAT("с",F643," ",D643,"/",E643,IF(G643=0,"","-" &amp; G643))</f>
        <v>с3350 3а/ОК-1</v>
      </c>
    </row>
    <row r="644" customFormat="false" ht="12.8" hidden="false" customHeight="false" outlineLevel="0" collapsed="false">
      <c r="A644" s="1" t="s">
        <v>9</v>
      </c>
      <c r="B644" s="1" t="n">
        <v>2</v>
      </c>
      <c r="C644" s="1" t="n">
        <v>21</v>
      </c>
      <c r="D644" s="1" t="s">
        <v>211</v>
      </c>
      <c r="E644" s="1" t="s">
        <v>206</v>
      </c>
      <c r="F644" s="1" t="n">
        <v>3350</v>
      </c>
      <c r="G644" s="4" t="n">
        <v>0</v>
      </c>
      <c r="H644" s="1" t="s">
        <v>362</v>
      </c>
      <c r="I644" s="4" t="n">
        <v>1</v>
      </c>
      <c r="J644" s="1" t="str">
        <f aca="false">_xlfn.CONCAT("с",F644," ",D644,"/",E644,IF(G644=0,"","-" &amp; G644))</f>
        <v>с3350 ОК-1/Тип 10</v>
      </c>
    </row>
    <row r="645" customFormat="false" ht="12.8" hidden="false" customHeight="false" outlineLevel="0" collapsed="false">
      <c r="A645" s="1" t="s">
        <v>9</v>
      </c>
      <c r="B645" s="1" t="n">
        <v>2</v>
      </c>
      <c r="C645" s="1" t="n">
        <v>22</v>
      </c>
      <c r="D645" s="1" t="s">
        <v>206</v>
      </c>
      <c r="E645" s="1" t="s">
        <v>200</v>
      </c>
      <c r="F645" s="1" t="n">
        <v>3350</v>
      </c>
      <c r="G645" s="4" t="n">
        <v>2</v>
      </c>
      <c r="H645" s="1" t="s">
        <v>365</v>
      </c>
      <c r="I645" s="4" t="n">
        <v>1</v>
      </c>
      <c r="J645" s="1" t="str">
        <f aca="false">_xlfn.CONCAT("с",F645," ",D645,"/",E645,IF(G645=0,"","-" &amp; G645))</f>
        <v>с3350 Тип 10/5а-2</v>
      </c>
    </row>
    <row r="646" customFormat="false" ht="12.8" hidden="false" customHeight="false" outlineLevel="0" collapsed="false">
      <c r="A646" s="1" t="s">
        <v>9</v>
      </c>
      <c r="B646" s="1" t="n">
        <v>2</v>
      </c>
      <c r="C646" s="1" t="n">
        <v>23</v>
      </c>
      <c r="D646" s="1" t="s">
        <v>200</v>
      </c>
      <c r="E646" s="1" t="s">
        <v>211</v>
      </c>
      <c r="F646" s="1" t="n">
        <v>3350</v>
      </c>
      <c r="G646" s="4" t="n">
        <v>1</v>
      </c>
      <c r="H646" s="1" t="s">
        <v>366</v>
      </c>
      <c r="I646" s="4" t="n">
        <v>1</v>
      </c>
      <c r="J646" s="1" t="str">
        <f aca="false">_xlfn.CONCAT("с",F646," ",D646,"/",E646,IF(G646=0,"","-" &amp; G646))</f>
        <v>с3350 5а/ОК-1-1</v>
      </c>
    </row>
    <row r="647" customFormat="false" ht="12.8" hidden="false" customHeight="false" outlineLevel="0" collapsed="false">
      <c r="A647" s="1" t="s">
        <v>9</v>
      </c>
      <c r="B647" s="1" t="n">
        <v>2</v>
      </c>
      <c r="C647" s="1" t="n">
        <v>24</v>
      </c>
      <c r="D647" s="1" t="s">
        <v>211</v>
      </c>
      <c r="E647" s="1" t="s">
        <v>206</v>
      </c>
      <c r="F647" s="1" t="n">
        <v>3350</v>
      </c>
      <c r="G647" s="4" t="n">
        <v>0</v>
      </c>
      <c r="H647" s="1" t="s">
        <v>362</v>
      </c>
      <c r="I647" s="4" t="n">
        <v>1</v>
      </c>
      <c r="J647" s="1" t="str">
        <f aca="false">_xlfn.CONCAT("с",F647," ",D647,"/",E647,IF(G647=0,"","-" &amp; G647))</f>
        <v>с3350 ОК-1/Тип 10</v>
      </c>
    </row>
    <row r="648" customFormat="false" ht="12.8" hidden="false" customHeight="false" outlineLevel="0" collapsed="false">
      <c r="A648" s="1" t="s">
        <v>9</v>
      </c>
      <c r="B648" s="1" t="n">
        <v>2</v>
      </c>
      <c r="C648" s="1" t="n">
        <v>25</v>
      </c>
      <c r="D648" s="1" t="s">
        <v>206</v>
      </c>
      <c r="E648" s="1" t="s">
        <v>200</v>
      </c>
      <c r="F648" s="1" t="n">
        <v>3350</v>
      </c>
      <c r="G648" s="4" t="n">
        <v>2</v>
      </c>
      <c r="H648" s="1" t="s">
        <v>365</v>
      </c>
      <c r="I648" s="4" t="n">
        <v>1</v>
      </c>
      <c r="J648" s="1" t="str">
        <f aca="false">_xlfn.CONCAT("с",F648," ",D648,"/",E648,IF(G648=0,"","-" &amp; G648))</f>
        <v>с3350 Тип 10/5а-2</v>
      </c>
    </row>
    <row r="649" customFormat="false" ht="12.8" hidden="false" customHeight="false" outlineLevel="0" collapsed="false">
      <c r="A649" s="1" t="s">
        <v>9</v>
      </c>
      <c r="B649" s="1" t="n">
        <v>2</v>
      </c>
      <c r="C649" s="1" t="n">
        <v>26</v>
      </c>
      <c r="D649" s="1" t="s">
        <v>200</v>
      </c>
      <c r="E649" s="1" t="s">
        <v>211</v>
      </c>
      <c r="F649" s="1" t="n">
        <v>3350</v>
      </c>
      <c r="G649" s="4" t="n">
        <v>1</v>
      </c>
      <c r="H649" s="1" t="s">
        <v>366</v>
      </c>
      <c r="I649" s="4" t="n">
        <v>1</v>
      </c>
      <c r="J649" s="1" t="str">
        <f aca="false">_xlfn.CONCAT("с",F649," ",D649,"/",E649,IF(G649=0,"","-" &amp; G649))</f>
        <v>с3350 5а/ОК-1-1</v>
      </c>
    </row>
    <row r="650" customFormat="false" ht="12.8" hidden="false" customHeight="false" outlineLevel="0" collapsed="false">
      <c r="A650" s="1" t="s">
        <v>9</v>
      </c>
      <c r="B650" s="1" t="n">
        <v>2</v>
      </c>
      <c r="C650" s="1" t="n">
        <v>27</v>
      </c>
      <c r="D650" s="1" t="s">
        <v>211</v>
      </c>
      <c r="E650" s="1" t="s">
        <v>206</v>
      </c>
      <c r="F650" s="1" t="n">
        <v>3350</v>
      </c>
      <c r="G650" s="4" t="n">
        <v>0</v>
      </c>
      <c r="H650" s="1" t="s">
        <v>362</v>
      </c>
      <c r="I650" s="4" t="n">
        <v>1</v>
      </c>
      <c r="J650" s="1" t="str">
        <f aca="false">_xlfn.CONCAT("с",F650," ",D650,"/",E650,IF(G650=0,"","-" &amp; G650))</f>
        <v>с3350 ОК-1/Тип 10</v>
      </c>
    </row>
    <row r="651" customFormat="false" ht="12.8" hidden="false" customHeight="false" outlineLevel="0" collapsed="false">
      <c r="A651" s="1" t="s">
        <v>9</v>
      </c>
      <c r="B651" s="1" t="n">
        <v>2</v>
      </c>
      <c r="C651" s="1" t="n">
        <v>28</v>
      </c>
      <c r="D651" s="1" t="s">
        <v>206</v>
      </c>
      <c r="E651" s="1" t="s">
        <v>200</v>
      </c>
      <c r="F651" s="1" t="n">
        <v>3350</v>
      </c>
      <c r="G651" s="4" t="n">
        <v>2</v>
      </c>
      <c r="H651" s="1" t="s">
        <v>365</v>
      </c>
      <c r="I651" s="4" t="n">
        <v>1</v>
      </c>
      <c r="J651" s="1" t="str">
        <f aca="false">_xlfn.CONCAT("с",F651," ",D651,"/",E651,IF(G651=0,"","-" &amp; G651))</f>
        <v>с3350 Тип 10/5а-2</v>
      </c>
    </row>
    <row r="652" customFormat="false" ht="12.8" hidden="false" customHeight="false" outlineLevel="0" collapsed="false">
      <c r="A652" s="1" t="s">
        <v>9</v>
      </c>
      <c r="B652" s="1" t="n">
        <v>2</v>
      </c>
      <c r="C652" s="1" t="n">
        <v>29</v>
      </c>
      <c r="D652" s="1" t="s">
        <v>200</v>
      </c>
      <c r="E652" s="1" t="s">
        <v>211</v>
      </c>
      <c r="F652" s="1" t="n">
        <v>3350</v>
      </c>
      <c r="G652" s="4" t="n">
        <v>1</v>
      </c>
      <c r="H652" s="1" t="s">
        <v>366</v>
      </c>
      <c r="I652" s="4" t="n">
        <v>1</v>
      </c>
      <c r="J652" s="1" t="str">
        <f aca="false">_xlfn.CONCAT("с",F652," ",D652,"/",E652,IF(G652=0,"","-" &amp; G652))</f>
        <v>с3350 5а/ОК-1-1</v>
      </c>
    </row>
    <row r="653" customFormat="false" ht="12.8" hidden="false" customHeight="false" outlineLevel="0" collapsed="false">
      <c r="A653" s="1" t="s">
        <v>9</v>
      </c>
      <c r="B653" s="1" t="n">
        <v>2</v>
      </c>
      <c r="C653" s="1" t="n">
        <v>30</v>
      </c>
      <c r="D653" s="1" t="s">
        <v>211</v>
      </c>
      <c r="E653" s="1" t="s">
        <v>206</v>
      </c>
      <c r="F653" s="1" t="n">
        <v>3350</v>
      </c>
      <c r="G653" s="4" t="n">
        <v>0</v>
      </c>
      <c r="H653" s="1" t="s">
        <v>362</v>
      </c>
      <c r="I653" s="4" t="n">
        <v>1</v>
      </c>
      <c r="J653" s="1" t="str">
        <f aca="false">_xlfn.CONCAT("с",F653," ",D653,"/",E653,IF(G653=0,"","-" &amp; G653))</f>
        <v>с3350 ОК-1/Тип 10</v>
      </c>
    </row>
    <row r="654" customFormat="false" ht="12.8" hidden="false" customHeight="false" outlineLevel="0" collapsed="false">
      <c r="A654" s="1" t="s">
        <v>9</v>
      </c>
      <c r="B654" s="1" t="n">
        <v>2</v>
      </c>
      <c r="C654" s="1" t="n">
        <v>31</v>
      </c>
      <c r="D654" s="1" t="s">
        <v>206</v>
      </c>
      <c r="E654" s="1" t="s">
        <v>198</v>
      </c>
      <c r="F654" s="1" t="n">
        <v>3350</v>
      </c>
      <c r="G654" s="4" t="n">
        <v>3</v>
      </c>
      <c r="H654" s="1" t="s">
        <v>363</v>
      </c>
      <c r="I654" s="4" t="n">
        <v>1</v>
      </c>
      <c r="J654" s="1" t="str">
        <f aca="false">_xlfn.CONCAT("с",F654," ",D654,"/",E654,IF(G654=0,"","-" &amp; G654))</f>
        <v>с3350 Тип 10/3а-3</v>
      </c>
    </row>
    <row r="655" customFormat="false" ht="12.8" hidden="false" customHeight="false" outlineLevel="0" collapsed="false">
      <c r="A655" s="1" t="s">
        <v>9</v>
      </c>
      <c r="B655" s="1" t="n">
        <v>2</v>
      </c>
      <c r="C655" s="1" t="n">
        <v>32</v>
      </c>
      <c r="D655" s="1" t="s">
        <v>198</v>
      </c>
      <c r="E655" s="1" t="s">
        <v>211</v>
      </c>
      <c r="F655" s="1" t="n">
        <v>3350</v>
      </c>
      <c r="G655" s="4" t="n">
        <v>0</v>
      </c>
      <c r="H655" s="1" t="s">
        <v>364</v>
      </c>
      <c r="I655" s="4" t="n">
        <v>1</v>
      </c>
      <c r="J655" s="1" t="str">
        <f aca="false">_xlfn.CONCAT("с",F655," ",D655,"/",E655,IF(G655=0,"","-" &amp; G655))</f>
        <v>с3350 3а/ОК-1</v>
      </c>
    </row>
    <row r="656" customFormat="false" ht="12.8" hidden="false" customHeight="false" outlineLevel="0" collapsed="false">
      <c r="A656" s="1" t="s">
        <v>9</v>
      </c>
      <c r="B656" s="1" t="n">
        <v>2</v>
      </c>
      <c r="C656" s="1" t="n">
        <v>33</v>
      </c>
      <c r="D656" s="1" t="s">
        <v>211</v>
      </c>
      <c r="E656" s="1" t="s">
        <v>206</v>
      </c>
      <c r="F656" s="1" t="n">
        <v>3350</v>
      </c>
      <c r="G656" s="4" t="n">
        <v>0</v>
      </c>
      <c r="H656" s="1" t="s">
        <v>362</v>
      </c>
      <c r="I656" s="4" t="n">
        <v>1</v>
      </c>
      <c r="J656" s="1" t="str">
        <f aca="false">_xlfn.CONCAT("с",F656," ",D656,"/",E656,IF(G656=0,"","-" &amp; G656))</f>
        <v>с3350 ОК-1/Тип 10</v>
      </c>
    </row>
    <row r="657" customFormat="false" ht="12.8" hidden="false" customHeight="false" outlineLevel="0" collapsed="false">
      <c r="A657" s="1" t="s">
        <v>9</v>
      </c>
      <c r="B657" s="1" t="n">
        <v>2</v>
      </c>
      <c r="C657" s="1" t="n">
        <v>34</v>
      </c>
      <c r="D657" s="1" t="s">
        <v>206</v>
      </c>
      <c r="E657" s="1" t="s">
        <v>211</v>
      </c>
      <c r="F657" s="1" t="n">
        <v>3350</v>
      </c>
      <c r="G657" s="4" t="n">
        <v>0</v>
      </c>
      <c r="H657" s="1" t="s">
        <v>370</v>
      </c>
      <c r="I657" s="4" t="n">
        <v>1</v>
      </c>
      <c r="J657" s="1" t="str">
        <f aca="false">_xlfn.CONCAT("с",F657," ",D657,"/",E657,IF(G657=0,"","-" &amp; G657))</f>
        <v>с3350 Тип 10/ОК-1</v>
      </c>
    </row>
    <row r="658" customFormat="false" ht="12.8" hidden="false" customHeight="false" outlineLevel="0" collapsed="false">
      <c r="A658" s="1" t="s">
        <v>9</v>
      </c>
      <c r="B658" s="1" t="n">
        <v>2</v>
      </c>
      <c r="C658" s="1" t="n">
        <v>35</v>
      </c>
      <c r="D658" s="1" t="s">
        <v>211</v>
      </c>
      <c r="E658" s="1" t="s">
        <v>200</v>
      </c>
      <c r="F658" s="1" t="n">
        <v>3350</v>
      </c>
      <c r="G658" s="4" t="n">
        <v>1</v>
      </c>
      <c r="H658" s="1" t="s">
        <v>438</v>
      </c>
      <c r="I658" s="4" t="n">
        <v>1</v>
      </c>
      <c r="J658" s="1" t="str">
        <f aca="false">_xlfn.CONCAT("с",F658," ",D658,"/",E658,IF(G658=0,"","-" &amp; G658))</f>
        <v>с3350 ОК-1/5а-1</v>
      </c>
    </row>
    <row r="659" customFormat="false" ht="12.8" hidden="false" customHeight="false" outlineLevel="0" collapsed="false">
      <c r="A659" s="1" t="s">
        <v>9</v>
      </c>
      <c r="B659" s="1" t="n">
        <v>2</v>
      </c>
      <c r="C659" s="1" t="n">
        <v>36</v>
      </c>
      <c r="F659" s="1" t="n">
        <v>3350</v>
      </c>
      <c r="G659" s="4" t="n">
        <v>0</v>
      </c>
      <c r="H659" s="1" t="s">
        <v>360</v>
      </c>
      <c r="I659" s="4" t="n">
        <v>1</v>
      </c>
      <c r="J659" s="1" t="str">
        <f aca="false">_xlfn.CONCAT("с",F659," ",D659,"/",E659,IF(G659=0,"","-" &amp; G659))</f>
        <v>с3350 /</v>
      </c>
    </row>
    <row r="660" customFormat="false" ht="12.8" hidden="false" customHeight="false" outlineLevel="0" collapsed="false">
      <c r="A660" s="1" t="s">
        <v>9</v>
      </c>
      <c r="B660" s="1" t="n">
        <v>3</v>
      </c>
      <c r="C660" s="1" t="n">
        <v>1</v>
      </c>
      <c r="F660" s="1" t="n">
        <v>3350</v>
      </c>
      <c r="G660" s="4" t="n">
        <v>0</v>
      </c>
      <c r="H660" s="1" t="s">
        <v>360</v>
      </c>
      <c r="I660" s="4" t="n">
        <v>1</v>
      </c>
      <c r="J660" s="1" t="str">
        <f aca="false">_xlfn.CONCAT("с",F660," ",D660,"/",E660,IF(G660=0,"","-" &amp; G660))</f>
        <v>с3350 /</v>
      </c>
    </row>
    <row r="661" customFormat="false" ht="12.8" hidden="false" customHeight="false" outlineLevel="0" collapsed="false">
      <c r="A661" s="1" t="s">
        <v>9</v>
      </c>
      <c r="B661" s="1" t="n">
        <v>3</v>
      </c>
      <c r="C661" s="1" t="n">
        <v>2</v>
      </c>
      <c r="D661" s="1" t="s">
        <v>200</v>
      </c>
      <c r="E661" s="1" t="s">
        <v>211</v>
      </c>
      <c r="F661" s="1" t="n">
        <v>3350</v>
      </c>
      <c r="G661" s="4" t="n">
        <v>0</v>
      </c>
      <c r="H661" s="1" t="s">
        <v>361</v>
      </c>
      <c r="I661" s="4" t="n">
        <v>1</v>
      </c>
      <c r="J661" s="1" t="str">
        <f aca="false">_xlfn.CONCAT("с",F661," ",D661,"/",E661,IF(G661=0,"","-" &amp; G661))</f>
        <v>с3350 5а/ОК-1</v>
      </c>
    </row>
    <row r="662" customFormat="false" ht="12.8" hidden="false" customHeight="false" outlineLevel="0" collapsed="false">
      <c r="A662" s="1" t="s">
        <v>9</v>
      </c>
      <c r="B662" s="1" t="n">
        <v>3</v>
      </c>
      <c r="C662" s="1" t="n">
        <v>3</v>
      </c>
      <c r="D662" s="1" t="s">
        <v>211</v>
      </c>
      <c r="E662" s="1" t="s">
        <v>206</v>
      </c>
      <c r="F662" s="1" t="n">
        <v>3350</v>
      </c>
      <c r="G662" s="4" t="n">
        <v>0</v>
      </c>
      <c r="H662" s="1" t="s">
        <v>362</v>
      </c>
      <c r="I662" s="4" t="n">
        <v>1</v>
      </c>
      <c r="J662" s="1" t="str">
        <f aca="false">_xlfn.CONCAT("с",F662," ",D662,"/",E662,IF(G662=0,"","-" &amp; G662))</f>
        <v>с3350 ОК-1/Тип 10</v>
      </c>
    </row>
    <row r="663" customFormat="false" ht="12.8" hidden="false" customHeight="false" outlineLevel="0" collapsed="false">
      <c r="A663" s="1" t="s">
        <v>9</v>
      </c>
      <c r="B663" s="1" t="n">
        <v>3</v>
      </c>
      <c r="C663" s="1" t="n">
        <v>4</v>
      </c>
      <c r="D663" s="1" t="s">
        <v>206</v>
      </c>
      <c r="E663" s="1" t="s">
        <v>211</v>
      </c>
      <c r="F663" s="1" t="n">
        <v>3350</v>
      </c>
      <c r="G663" s="4" t="n">
        <v>0</v>
      </c>
      <c r="H663" s="1" t="s">
        <v>370</v>
      </c>
      <c r="I663" s="4" t="n">
        <v>1</v>
      </c>
      <c r="J663" s="1" t="str">
        <f aca="false">_xlfn.CONCAT("с",F663," ",D663,"/",E663,IF(G663=0,"","-" &amp; G663))</f>
        <v>с3350 Тип 10/ОК-1</v>
      </c>
    </row>
    <row r="664" customFormat="false" ht="12.8" hidden="false" customHeight="false" outlineLevel="0" collapsed="false">
      <c r="A664" s="1" t="s">
        <v>9</v>
      </c>
      <c r="B664" s="1" t="n">
        <v>3</v>
      </c>
      <c r="C664" s="1" t="n">
        <v>5</v>
      </c>
      <c r="D664" s="1" t="s">
        <v>211</v>
      </c>
      <c r="E664" s="1" t="s">
        <v>200</v>
      </c>
      <c r="F664" s="1" t="n">
        <v>3350</v>
      </c>
      <c r="G664" s="4" t="n">
        <v>0</v>
      </c>
      <c r="H664" s="1" t="s">
        <v>374</v>
      </c>
      <c r="I664" s="4" t="n">
        <v>1</v>
      </c>
      <c r="J664" s="1" t="str">
        <f aca="false">_xlfn.CONCAT("с",F664," ",D664,"/",E664,IF(G664=0,"","-" &amp; G664))</f>
        <v>с3350 ОК-1/5а</v>
      </c>
    </row>
    <row r="665" customFormat="false" ht="12.8" hidden="false" customHeight="false" outlineLevel="0" collapsed="false">
      <c r="A665" s="1" t="s">
        <v>9</v>
      </c>
      <c r="B665" s="1" t="n">
        <v>3</v>
      </c>
      <c r="C665" s="1" t="n">
        <v>6</v>
      </c>
      <c r="D665" s="1" t="s">
        <v>200</v>
      </c>
      <c r="E665" s="1" t="s">
        <v>206</v>
      </c>
      <c r="F665" s="1" t="n">
        <v>3350</v>
      </c>
      <c r="G665" s="4" t="n">
        <v>1</v>
      </c>
      <c r="H665" s="1" t="s">
        <v>369</v>
      </c>
      <c r="I665" s="4" t="n">
        <v>1</v>
      </c>
      <c r="J665" s="1" t="str">
        <f aca="false">_xlfn.CONCAT("с",F665," ",D665,"/",E665,IF(G665=0,"","-" &amp; G665))</f>
        <v>с3350 5а/Тип 10-1</v>
      </c>
    </row>
    <row r="666" customFormat="false" ht="12.8" hidden="false" customHeight="false" outlineLevel="0" collapsed="false">
      <c r="A666" s="1" t="s">
        <v>9</v>
      </c>
      <c r="B666" s="1" t="n">
        <v>3</v>
      </c>
      <c r="C666" s="1" t="n">
        <v>7</v>
      </c>
      <c r="D666" s="1" t="s">
        <v>206</v>
      </c>
      <c r="E666" s="1" t="s">
        <v>211</v>
      </c>
      <c r="F666" s="1" t="n">
        <v>3350</v>
      </c>
      <c r="G666" s="4" t="n">
        <v>0</v>
      </c>
      <c r="H666" s="1" t="s">
        <v>370</v>
      </c>
      <c r="I666" s="4" t="n">
        <v>1</v>
      </c>
      <c r="J666" s="1" t="str">
        <f aca="false">_xlfn.CONCAT("с",F666," ",D666,"/",E666,IF(G666=0,"","-" &amp; G666))</f>
        <v>с3350 Тип 10/ОК-1</v>
      </c>
    </row>
    <row r="667" customFormat="false" ht="12.8" hidden="false" customHeight="false" outlineLevel="0" collapsed="false">
      <c r="A667" s="1" t="s">
        <v>9</v>
      </c>
      <c r="B667" s="1" t="n">
        <v>3</v>
      </c>
      <c r="C667" s="1" t="n">
        <v>8</v>
      </c>
      <c r="D667" s="1" t="s">
        <v>211</v>
      </c>
      <c r="E667" s="1" t="s">
        <v>200</v>
      </c>
      <c r="F667" s="1" t="n">
        <v>3350</v>
      </c>
      <c r="G667" s="4" t="n">
        <v>0</v>
      </c>
      <c r="H667" s="1" t="s">
        <v>374</v>
      </c>
      <c r="I667" s="4" t="n">
        <v>1</v>
      </c>
      <c r="J667" s="1" t="str">
        <f aca="false">_xlfn.CONCAT("с",F667," ",D667,"/",E667,IF(G667=0,"","-" &amp; G667))</f>
        <v>с3350 ОК-1/5а</v>
      </c>
    </row>
    <row r="668" customFormat="false" ht="12.8" hidden="false" customHeight="false" outlineLevel="0" collapsed="false">
      <c r="A668" s="1" t="s">
        <v>9</v>
      </c>
      <c r="B668" s="1" t="n">
        <v>3</v>
      </c>
      <c r="C668" s="1" t="n">
        <v>9</v>
      </c>
      <c r="D668" s="1" t="s">
        <v>200</v>
      </c>
      <c r="E668" s="1" t="s">
        <v>206</v>
      </c>
      <c r="F668" s="1" t="n">
        <v>3350</v>
      </c>
      <c r="G668" s="4" t="n">
        <v>1</v>
      </c>
      <c r="H668" s="1" t="s">
        <v>369</v>
      </c>
      <c r="I668" s="4" t="n">
        <v>1</v>
      </c>
      <c r="J668" s="1" t="str">
        <f aca="false">_xlfn.CONCAT("с",F668," ",D668,"/",E668,IF(G668=0,"","-" &amp; G668))</f>
        <v>с3350 5а/Тип 10-1</v>
      </c>
    </row>
    <row r="669" customFormat="false" ht="12.8" hidden="false" customHeight="false" outlineLevel="0" collapsed="false">
      <c r="A669" s="1" t="s">
        <v>9</v>
      </c>
      <c r="B669" s="1" t="n">
        <v>3</v>
      </c>
      <c r="C669" s="1" t="n">
        <v>10</v>
      </c>
      <c r="D669" s="1" t="s">
        <v>206</v>
      </c>
      <c r="E669" s="1" t="s">
        <v>211</v>
      </c>
      <c r="F669" s="1" t="n">
        <v>3350</v>
      </c>
      <c r="G669" s="4" t="n">
        <v>0</v>
      </c>
      <c r="H669" s="1" t="s">
        <v>370</v>
      </c>
      <c r="I669" s="4" t="n">
        <v>1</v>
      </c>
      <c r="J669" s="1" t="str">
        <f aca="false">_xlfn.CONCAT("с",F669," ",D669,"/",E669,IF(G669=0,"","-" &amp; G669))</f>
        <v>с3350 Тип 10/ОК-1</v>
      </c>
    </row>
    <row r="670" customFormat="false" ht="12.8" hidden="false" customHeight="false" outlineLevel="0" collapsed="false">
      <c r="A670" s="1" t="s">
        <v>9</v>
      </c>
      <c r="B670" s="1" t="n">
        <v>3</v>
      </c>
      <c r="C670" s="1" t="n">
        <v>11</v>
      </c>
      <c r="D670" s="1" t="s">
        <v>211</v>
      </c>
      <c r="E670" s="1" t="s">
        <v>200</v>
      </c>
      <c r="F670" s="1" t="n">
        <v>3350</v>
      </c>
      <c r="G670" s="4" t="n">
        <v>0</v>
      </c>
      <c r="H670" s="1" t="s">
        <v>374</v>
      </c>
      <c r="I670" s="4" t="n">
        <v>1</v>
      </c>
      <c r="J670" s="1" t="str">
        <f aca="false">_xlfn.CONCAT("с",F670," ",D670,"/",E670,IF(G670=0,"","-" &amp; G670))</f>
        <v>с3350 ОК-1/5а</v>
      </c>
    </row>
    <row r="671" customFormat="false" ht="12.8" hidden="false" customHeight="false" outlineLevel="0" collapsed="false">
      <c r="A671" s="1" t="s">
        <v>9</v>
      </c>
      <c r="B671" s="1" t="n">
        <v>3</v>
      </c>
      <c r="C671" s="1" t="n">
        <v>12</v>
      </c>
      <c r="D671" s="1" t="s">
        <v>200</v>
      </c>
      <c r="E671" s="1" t="s">
        <v>206</v>
      </c>
      <c r="F671" s="1" t="n">
        <v>3350</v>
      </c>
      <c r="G671" s="4" t="n">
        <v>1</v>
      </c>
      <c r="H671" s="1" t="s">
        <v>369</v>
      </c>
      <c r="I671" s="4" t="n">
        <v>1</v>
      </c>
      <c r="J671" s="1" t="str">
        <f aca="false">_xlfn.CONCAT("с",F671," ",D671,"/",E671,IF(G671=0,"","-" &amp; G671))</f>
        <v>с3350 5а/Тип 10-1</v>
      </c>
    </row>
    <row r="672" customFormat="false" ht="12.8" hidden="false" customHeight="false" outlineLevel="0" collapsed="false">
      <c r="A672" s="1" t="s">
        <v>9</v>
      </c>
      <c r="B672" s="1" t="n">
        <v>3</v>
      </c>
      <c r="C672" s="1" t="n">
        <v>13</v>
      </c>
      <c r="D672" s="1" t="s">
        <v>206</v>
      </c>
      <c r="E672" s="1" t="s">
        <v>211</v>
      </c>
      <c r="F672" s="1" t="n">
        <v>3350</v>
      </c>
      <c r="G672" s="4" t="n">
        <v>0</v>
      </c>
      <c r="H672" s="1" t="s">
        <v>370</v>
      </c>
      <c r="I672" s="4" t="n">
        <v>1</v>
      </c>
      <c r="J672" s="1" t="str">
        <f aca="false">_xlfn.CONCAT("с",F672," ",D672,"/",E672,IF(G672=0,"","-" &amp; G672))</f>
        <v>с3350 Тип 10/ОК-1</v>
      </c>
    </row>
    <row r="673" customFormat="false" ht="12.8" hidden="false" customHeight="false" outlineLevel="0" collapsed="false">
      <c r="A673" s="1" t="s">
        <v>9</v>
      </c>
      <c r="B673" s="1" t="n">
        <v>3</v>
      </c>
      <c r="C673" s="1" t="n">
        <v>14</v>
      </c>
      <c r="D673" s="1" t="s">
        <v>211</v>
      </c>
      <c r="E673" s="1" t="s">
        <v>200</v>
      </c>
      <c r="F673" s="1" t="n">
        <v>3350</v>
      </c>
      <c r="G673" s="4" t="n">
        <v>0</v>
      </c>
      <c r="H673" s="1" t="s">
        <v>374</v>
      </c>
      <c r="I673" s="4" t="n">
        <v>1</v>
      </c>
      <c r="J673" s="1" t="str">
        <f aca="false">_xlfn.CONCAT("с",F673," ",D673,"/",E673,IF(G673=0,"","-" &amp; G673))</f>
        <v>с3350 ОК-1/5а</v>
      </c>
    </row>
    <row r="674" customFormat="false" ht="12.8" hidden="false" customHeight="false" outlineLevel="0" collapsed="false">
      <c r="A674" s="1" t="s">
        <v>9</v>
      </c>
      <c r="B674" s="1" t="n">
        <v>3</v>
      </c>
      <c r="C674" s="1" t="n">
        <v>15</v>
      </c>
      <c r="D674" s="1" t="s">
        <v>200</v>
      </c>
      <c r="E674" s="1" t="s">
        <v>206</v>
      </c>
      <c r="F674" s="1" t="n">
        <v>3350</v>
      </c>
      <c r="G674" s="4" t="n">
        <v>1</v>
      </c>
      <c r="H674" s="1" t="s">
        <v>369</v>
      </c>
      <c r="I674" s="4" t="n">
        <v>1</v>
      </c>
      <c r="J674" s="1" t="str">
        <f aca="false">_xlfn.CONCAT("с",F674," ",D674,"/",E674,IF(G674=0,"","-" &amp; G674))</f>
        <v>с3350 5а/Тип 10-1</v>
      </c>
    </row>
    <row r="675" customFormat="false" ht="12.8" hidden="false" customHeight="false" outlineLevel="0" collapsed="false">
      <c r="A675" s="1" t="s">
        <v>9</v>
      </c>
      <c r="B675" s="1" t="n">
        <v>3</v>
      </c>
      <c r="C675" s="1" t="n">
        <v>16</v>
      </c>
      <c r="D675" s="1" t="s">
        <v>206</v>
      </c>
      <c r="E675" s="1" t="s">
        <v>211</v>
      </c>
      <c r="F675" s="1" t="n">
        <v>3350</v>
      </c>
      <c r="G675" s="4" t="n">
        <v>0</v>
      </c>
      <c r="H675" s="1" t="s">
        <v>370</v>
      </c>
      <c r="I675" s="4" t="n">
        <v>1</v>
      </c>
      <c r="J675" s="1" t="str">
        <f aca="false">_xlfn.CONCAT("с",F675," ",D675,"/",E675,IF(G675=0,"","-" &amp; G675))</f>
        <v>с3350 Тип 10/ОК-1</v>
      </c>
    </row>
    <row r="676" customFormat="false" ht="12.8" hidden="false" customHeight="false" outlineLevel="0" collapsed="false">
      <c r="A676" s="1" t="s">
        <v>9</v>
      </c>
      <c r="B676" s="1" t="n">
        <v>3</v>
      </c>
      <c r="C676" s="1" t="n">
        <v>17</v>
      </c>
      <c r="D676" s="1" t="s">
        <v>211</v>
      </c>
      <c r="E676" s="1" t="s">
        <v>200</v>
      </c>
      <c r="F676" s="1" t="n">
        <v>3350</v>
      </c>
      <c r="G676" s="4" t="n">
        <v>0</v>
      </c>
      <c r="H676" s="1" t="s">
        <v>374</v>
      </c>
      <c r="I676" s="4" t="n">
        <v>1</v>
      </c>
      <c r="J676" s="1" t="str">
        <f aca="false">_xlfn.CONCAT("с",F676," ",D676,"/",E676,IF(G676=0,"","-" &amp; G676))</f>
        <v>с3350 ОК-1/5а</v>
      </c>
    </row>
    <row r="677" customFormat="false" ht="12.8" hidden="false" customHeight="false" outlineLevel="0" collapsed="false">
      <c r="A677" s="1" t="s">
        <v>9</v>
      </c>
      <c r="B677" s="1" t="n">
        <v>3</v>
      </c>
      <c r="C677" s="1" t="n">
        <v>18</v>
      </c>
      <c r="D677" s="1" t="s">
        <v>200</v>
      </c>
      <c r="E677" s="1" t="s">
        <v>206</v>
      </c>
      <c r="F677" s="1" t="n">
        <v>3350</v>
      </c>
      <c r="G677" s="4" t="n">
        <v>1</v>
      </c>
      <c r="H677" s="1" t="s">
        <v>369</v>
      </c>
      <c r="I677" s="4" t="n">
        <v>1</v>
      </c>
      <c r="J677" s="1" t="str">
        <f aca="false">_xlfn.CONCAT("с",F677," ",D677,"/",E677,IF(G677=0,"","-" &amp; G677))</f>
        <v>с3350 5а/Тип 10-1</v>
      </c>
    </row>
    <row r="678" customFormat="false" ht="12.8" hidden="false" customHeight="false" outlineLevel="0" collapsed="false">
      <c r="A678" s="1" t="s">
        <v>9</v>
      </c>
      <c r="B678" s="1" t="n">
        <v>3</v>
      </c>
      <c r="C678" s="1" t="n">
        <v>19</v>
      </c>
      <c r="D678" s="1" t="s">
        <v>206</v>
      </c>
      <c r="E678" s="1" t="s">
        <v>211</v>
      </c>
      <c r="F678" s="1" t="n">
        <v>3350</v>
      </c>
      <c r="G678" s="4" t="n">
        <v>0</v>
      </c>
      <c r="H678" s="1" t="s">
        <v>370</v>
      </c>
      <c r="I678" s="4" t="n">
        <v>1</v>
      </c>
      <c r="J678" s="1" t="str">
        <f aca="false">_xlfn.CONCAT("с",F678," ",D678,"/",E678,IF(G678=0,"","-" &amp; G678))</f>
        <v>с3350 Тип 10/ОК-1</v>
      </c>
    </row>
    <row r="679" customFormat="false" ht="12.8" hidden="false" customHeight="false" outlineLevel="0" collapsed="false">
      <c r="A679" s="1" t="s">
        <v>9</v>
      </c>
      <c r="B679" s="1" t="n">
        <v>3</v>
      </c>
      <c r="C679" s="1" t="n">
        <v>20</v>
      </c>
      <c r="D679" s="1" t="s">
        <v>211</v>
      </c>
      <c r="E679" s="1" t="s">
        <v>198</v>
      </c>
      <c r="F679" s="1" t="n">
        <v>3350</v>
      </c>
      <c r="G679" s="4" t="n">
        <v>1</v>
      </c>
      <c r="H679" s="1" t="s">
        <v>372</v>
      </c>
      <c r="I679" s="4" t="n">
        <v>1</v>
      </c>
      <c r="J679" s="1" t="str">
        <f aca="false">_xlfn.CONCAT("с",F679," ",D679,"/",E679,IF(G679=0,"","-" &amp; G679))</f>
        <v>с3350 ОК-1/3а-1</v>
      </c>
    </row>
    <row r="680" customFormat="false" ht="12.8" hidden="false" customHeight="false" outlineLevel="0" collapsed="false">
      <c r="A680" s="1" t="s">
        <v>9</v>
      </c>
      <c r="B680" s="1" t="n">
        <v>3</v>
      </c>
      <c r="C680" s="1" t="n">
        <v>21</v>
      </c>
      <c r="D680" s="1" t="s">
        <v>198</v>
      </c>
      <c r="E680" s="1" t="s">
        <v>206</v>
      </c>
      <c r="F680" s="1" t="n">
        <v>3350</v>
      </c>
      <c r="G680" s="4" t="n">
        <v>1</v>
      </c>
      <c r="H680" s="1" t="s">
        <v>373</v>
      </c>
      <c r="I680" s="4" t="n">
        <v>1</v>
      </c>
      <c r="J680" s="1" t="str">
        <f aca="false">_xlfn.CONCAT("с",F680," ",D680,"/",E680,IF(G680=0,"","-" &amp; G680))</f>
        <v>с3350 3а/Тип 10-1</v>
      </c>
    </row>
    <row r="681" customFormat="false" ht="12.8" hidden="false" customHeight="false" outlineLevel="0" collapsed="false">
      <c r="A681" s="1" t="s">
        <v>9</v>
      </c>
      <c r="B681" s="1" t="n">
        <v>3</v>
      </c>
      <c r="C681" s="1" t="n">
        <v>22</v>
      </c>
      <c r="D681" s="1" t="s">
        <v>206</v>
      </c>
      <c r="E681" s="1" t="s">
        <v>211</v>
      </c>
      <c r="F681" s="1" t="n">
        <v>3350</v>
      </c>
      <c r="G681" s="4" t="n">
        <v>0</v>
      </c>
      <c r="H681" s="1" t="s">
        <v>370</v>
      </c>
      <c r="I681" s="4" t="n">
        <v>1</v>
      </c>
      <c r="J681" s="1" t="str">
        <f aca="false">_xlfn.CONCAT("с",F681," ",D681,"/",E681,IF(G681=0,"","-" &amp; G681))</f>
        <v>с3350 Тип 10/ОК-1</v>
      </c>
    </row>
    <row r="682" customFormat="false" ht="12.8" hidden="false" customHeight="false" outlineLevel="0" collapsed="false">
      <c r="A682" s="1" t="s">
        <v>9</v>
      </c>
      <c r="B682" s="1" t="n">
        <v>3</v>
      </c>
      <c r="C682" s="1" t="n">
        <v>23</v>
      </c>
      <c r="D682" s="1" t="s">
        <v>211</v>
      </c>
      <c r="E682" s="1" t="s">
        <v>200</v>
      </c>
      <c r="F682" s="1" t="n">
        <v>3350</v>
      </c>
      <c r="G682" s="4" t="n">
        <v>0</v>
      </c>
      <c r="H682" s="1" t="s">
        <v>374</v>
      </c>
      <c r="I682" s="4" t="n">
        <v>1</v>
      </c>
      <c r="J682" s="1" t="str">
        <f aca="false">_xlfn.CONCAT("с",F682," ",D682,"/",E682,IF(G682=0,"","-" &amp; G682))</f>
        <v>с3350 ОК-1/5а</v>
      </c>
    </row>
    <row r="683" customFormat="false" ht="12.8" hidden="false" customHeight="false" outlineLevel="0" collapsed="false">
      <c r="A683" s="1" t="s">
        <v>9</v>
      </c>
      <c r="B683" s="1" t="n">
        <v>3</v>
      </c>
      <c r="C683" s="1" t="n">
        <v>24</v>
      </c>
      <c r="D683" s="1" t="s">
        <v>200</v>
      </c>
      <c r="E683" s="1" t="s">
        <v>206</v>
      </c>
      <c r="F683" s="1" t="n">
        <v>3350</v>
      </c>
      <c r="G683" s="4" t="n">
        <v>1</v>
      </c>
      <c r="H683" s="1" t="s">
        <v>369</v>
      </c>
      <c r="I683" s="4" t="n">
        <v>1</v>
      </c>
      <c r="J683" s="1" t="str">
        <f aca="false">_xlfn.CONCAT("с",F683," ",D683,"/",E683,IF(G683=0,"","-" &amp; G683))</f>
        <v>с3350 5а/Тип 10-1</v>
      </c>
    </row>
    <row r="684" customFormat="false" ht="12.8" hidden="false" customHeight="false" outlineLevel="0" collapsed="false">
      <c r="A684" s="1" t="s">
        <v>9</v>
      </c>
      <c r="B684" s="1" t="n">
        <v>3</v>
      </c>
      <c r="C684" s="1" t="n">
        <v>25</v>
      </c>
      <c r="D684" s="1" t="s">
        <v>206</v>
      </c>
      <c r="E684" s="1" t="s">
        <v>211</v>
      </c>
      <c r="F684" s="1" t="n">
        <v>3350</v>
      </c>
      <c r="G684" s="4" t="n">
        <v>0</v>
      </c>
      <c r="H684" s="1" t="s">
        <v>370</v>
      </c>
      <c r="I684" s="4" t="n">
        <v>1</v>
      </c>
      <c r="J684" s="1" t="str">
        <f aca="false">_xlfn.CONCAT("с",F684," ",D684,"/",E684,IF(G684=0,"","-" &amp; G684))</f>
        <v>с3350 Тип 10/ОК-1</v>
      </c>
    </row>
    <row r="685" customFormat="false" ht="12.8" hidden="false" customHeight="false" outlineLevel="0" collapsed="false">
      <c r="A685" s="1" t="s">
        <v>9</v>
      </c>
      <c r="B685" s="1" t="n">
        <v>3</v>
      </c>
      <c r="C685" s="1" t="n">
        <v>26</v>
      </c>
      <c r="D685" s="1" t="s">
        <v>211</v>
      </c>
      <c r="E685" s="1" t="s">
        <v>200</v>
      </c>
      <c r="F685" s="1" t="n">
        <v>3350</v>
      </c>
      <c r="G685" s="4" t="n">
        <v>0</v>
      </c>
      <c r="H685" s="1" t="s">
        <v>374</v>
      </c>
      <c r="I685" s="4" t="n">
        <v>1</v>
      </c>
      <c r="J685" s="1" t="str">
        <f aca="false">_xlfn.CONCAT("с",F685," ",D685,"/",E685,IF(G685=0,"","-" &amp; G685))</f>
        <v>с3350 ОК-1/5а</v>
      </c>
    </row>
    <row r="686" customFormat="false" ht="12.8" hidden="false" customHeight="false" outlineLevel="0" collapsed="false">
      <c r="A686" s="1" t="s">
        <v>9</v>
      </c>
      <c r="B686" s="1" t="n">
        <v>3</v>
      </c>
      <c r="C686" s="1" t="n">
        <v>27</v>
      </c>
      <c r="D686" s="1" t="s">
        <v>200</v>
      </c>
      <c r="E686" s="1" t="s">
        <v>206</v>
      </c>
      <c r="F686" s="1" t="n">
        <v>3350</v>
      </c>
      <c r="G686" s="4" t="n">
        <v>1</v>
      </c>
      <c r="H686" s="1" t="s">
        <v>369</v>
      </c>
      <c r="I686" s="4" t="n">
        <v>1</v>
      </c>
      <c r="J686" s="1" t="str">
        <f aca="false">_xlfn.CONCAT("с",F686," ",D686,"/",E686,IF(G686=0,"","-" &amp; G686))</f>
        <v>с3350 5а/Тип 10-1</v>
      </c>
    </row>
    <row r="687" customFormat="false" ht="12.8" hidden="false" customHeight="false" outlineLevel="0" collapsed="false">
      <c r="A687" s="1" t="s">
        <v>9</v>
      </c>
      <c r="B687" s="1" t="n">
        <v>3</v>
      </c>
      <c r="C687" s="1" t="n">
        <v>28</v>
      </c>
      <c r="D687" s="1" t="s">
        <v>206</v>
      </c>
      <c r="E687" s="1" t="s">
        <v>211</v>
      </c>
      <c r="F687" s="1" t="n">
        <v>3350</v>
      </c>
      <c r="G687" s="4" t="n">
        <v>0</v>
      </c>
      <c r="H687" s="1" t="s">
        <v>370</v>
      </c>
      <c r="I687" s="4" t="n">
        <v>1</v>
      </c>
      <c r="J687" s="1" t="str">
        <f aca="false">_xlfn.CONCAT("с",F687," ",D687,"/",E687,IF(G687=0,"","-" &amp; G687))</f>
        <v>с3350 Тип 10/ОК-1</v>
      </c>
    </row>
    <row r="688" customFormat="false" ht="12.8" hidden="false" customHeight="false" outlineLevel="0" collapsed="false">
      <c r="A688" s="1" t="s">
        <v>9</v>
      </c>
      <c r="B688" s="1" t="n">
        <v>3</v>
      </c>
      <c r="C688" s="1" t="n">
        <v>29</v>
      </c>
      <c r="D688" s="1" t="s">
        <v>211</v>
      </c>
      <c r="E688" s="1" t="s">
        <v>200</v>
      </c>
      <c r="F688" s="1" t="n">
        <v>3350</v>
      </c>
      <c r="G688" s="4" t="n">
        <v>0</v>
      </c>
      <c r="H688" s="1" t="s">
        <v>374</v>
      </c>
      <c r="I688" s="4" t="n">
        <v>1</v>
      </c>
      <c r="J688" s="1" t="str">
        <f aca="false">_xlfn.CONCAT("с",F688," ",D688,"/",E688,IF(G688=0,"","-" &amp; G688))</f>
        <v>с3350 ОК-1/5а</v>
      </c>
    </row>
    <row r="689" customFormat="false" ht="12.8" hidden="false" customHeight="false" outlineLevel="0" collapsed="false">
      <c r="A689" s="1" t="s">
        <v>9</v>
      </c>
      <c r="B689" s="1" t="n">
        <v>3</v>
      </c>
      <c r="C689" s="1" t="n">
        <v>30</v>
      </c>
      <c r="D689" s="1" t="s">
        <v>200</v>
      </c>
      <c r="E689" s="1" t="s">
        <v>206</v>
      </c>
      <c r="F689" s="1" t="n">
        <v>3350</v>
      </c>
      <c r="G689" s="4" t="n">
        <v>1</v>
      </c>
      <c r="H689" s="1" t="s">
        <v>369</v>
      </c>
      <c r="I689" s="4" t="n">
        <v>1</v>
      </c>
      <c r="J689" s="1" t="str">
        <f aca="false">_xlfn.CONCAT("с",F689," ",D689,"/",E689,IF(G689=0,"","-" &amp; G689))</f>
        <v>с3350 5а/Тип 10-1</v>
      </c>
    </row>
    <row r="690" customFormat="false" ht="12.8" hidden="false" customHeight="false" outlineLevel="0" collapsed="false">
      <c r="A690" s="1" t="s">
        <v>9</v>
      </c>
      <c r="B690" s="1" t="n">
        <v>3</v>
      </c>
      <c r="C690" s="1" t="n">
        <v>31</v>
      </c>
      <c r="D690" s="1" t="s">
        <v>206</v>
      </c>
      <c r="E690" s="1" t="s">
        <v>211</v>
      </c>
      <c r="F690" s="1" t="n">
        <v>3350</v>
      </c>
      <c r="G690" s="4" t="n">
        <v>0</v>
      </c>
      <c r="H690" s="1" t="s">
        <v>370</v>
      </c>
      <c r="I690" s="4" t="n">
        <v>1</v>
      </c>
      <c r="J690" s="1" t="str">
        <f aca="false">_xlfn.CONCAT("с",F690," ",D690,"/",E690,IF(G690=0,"","-" &amp; G690))</f>
        <v>с3350 Тип 10/ОК-1</v>
      </c>
    </row>
    <row r="691" customFormat="false" ht="12.8" hidden="false" customHeight="false" outlineLevel="0" collapsed="false">
      <c r="A691" s="1" t="s">
        <v>9</v>
      </c>
      <c r="B691" s="1" t="n">
        <v>3</v>
      </c>
      <c r="C691" s="1" t="n">
        <v>32</v>
      </c>
      <c r="D691" s="1" t="s">
        <v>211</v>
      </c>
      <c r="E691" s="1" t="s">
        <v>198</v>
      </c>
      <c r="F691" s="1" t="n">
        <v>3350</v>
      </c>
      <c r="G691" s="4" t="n">
        <v>1</v>
      </c>
      <c r="H691" s="1" t="s">
        <v>372</v>
      </c>
      <c r="I691" s="4" t="n">
        <v>1</v>
      </c>
      <c r="J691" s="1" t="str">
        <f aca="false">_xlfn.CONCAT("с",F691," ",D691,"/",E691,IF(G691=0,"","-" &amp; G691))</f>
        <v>с3350 ОК-1/3а-1</v>
      </c>
    </row>
    <row r="692" customFormat="false" ht="12.8" hidden="false" customHeight="false" outlineLevel="0" collapsed="false">
      <c r="A692" s="1" t="s">
        <v>9</v>
      </c>
      <c r="B692" s="1" t="n">
        <v>3</v>
      </c>
      <c r="C692" s="1" t="n">
        <v>33</v>
      </c>
      <c r="D692" s="1" t="s">
        <v>198</v>
      </c>
      <c r="E692" s="1" t="s">
        <v>206</v>
      </c>
      <c r="F692" s="1" t="n">
        <v>3350</v>
      </c>
      <c r="G692" s="4" t="n">
        <v>1</v>
      </c>
      <c r="H692" s="1" t="s">
        <v>373</v>
      </c>
      <c r="I692" s="4" t="n">
        <v>1</v>
      </c>
      <c r="J692" s="1" t="str">
        <f aca="false">_xlfn.CONCAT("с",F692," ",D692,"/",E692,IF(G692=0,"","-" &amp; G692))</f>
        <v>с3350 3а/Тип 10-1</v>
      </c>
    </row>
    <row r="693" customFormat="false" ht="12.8" hidden="false" customHeight="false" outlineLevel="0" collapsed="false">
      <c r="A693" s="1" t="s">
        <v>9</v>
      </c>
      <c r="B693" s="1" t="n">
        <v>3</v>
      </c>
      <c r="C693" s="1" t="n">
        <v>34</v>
      </c>
      <c r="D693" s="1" t="s">
        <v>206</v>
      </c>
      <c r="E693" s="1" t="s">
        <v>211</v>
      </c>
      <c r="F693" s="1" t="n">
        <v>3350</v>
      </c>
      <c r="G693" s="4" t="n">
        <v>0</v>
      </c>
      <c r="H693" s="1" t="s">
        <v>370</v>
      </c>
      <c r="I693" s="4" t="n">
        <v>1</v>
      </c>
      <c r="J693" s="1" t="str">
        <f aca="false">_xlfn.CONCAT("с",F693," ",D693,"/",E693,IF(G693=0,"","-" &amp; G693))</f>
        <v>с3350 Тип 10/ОК-1</v>
      </c>
    </row>
    <row r="694" customFormat="false" ht="12.8" hidden="false" customHeight="false" outlineLevel="0" collapsed="false">
      <c r="A694" s="1" t="s">
        <v>9</v>
      </c>
      <c r="B694" s="1" t="n">
        <v>3</v>
      </c>
      <c r="C694" s="1" t="n">
        <v>35</v>
      </c>
      <c r="D694" s="1" t="s">
        <v>211</v>
      </c>
      <c r="E694" s="1" t="s">
        <v>200</v>
      </c>
      <c r="F694" s="1" t="n">
        <v>3350</v>
      </c>
      <c r="G694" s="4" t="n">
        <v>1</v>
      </c>
      <c r="H694" s="1" t="s">
        <v>438</v>
      </c>
      <c r="I694" s="4" t="n">
        <v>1</v>
      </c>
      <c r="J694" s="1" t="str">
        <f aca="false">_xlfn.CONCAT("с",F694," ",D694,"/",E694,IF(G694=0,"","-" &amp; G694))</f>
        <v>с3350 ОК-1/5а-1</v>
      </c>
    </row>
    <row r="695" customFormat="false" ht="12.8" hidden="false" customHeight="false" outlineLevel="0" collapsed="false">
      <c r="A695" s="1" t="s">
        <v>9</v>
      </c>
      <c r="B695" s="1" t="n">
        <v>3</v>
      </c>
      <c r="C695" s="1" t="n">
        <v>36</v>
      </c>
      <c r="F695" s="1" t="n">
        <v>3350</v>
      </c>
      <c r="G695" s="4" t="n">
        <v>0</v>
      </c>
      <c r="H695" s="1" t="s">
        <v>360</v>
      </c>
      <c r="I695" s="4" t="n">
        <v>1</v>
      </c>
      <c r="J695" s="1" t="str">
        <f aca="false">_xlfn.CONCAT("с",F695," ",D695,"/",E695,IF(G695=0,"","-" &amp; G695))</f>
        <v>с3350 /</v>
      </c>
    </row>
    <row r="696" customFormat="false" ht="12.8" hidden="false" customHeight="false" outlineLevel="0" collapsed="false">
      <c r="A696" s="1" t="s">
        <v>9</v>
      </c>
      <c r="B696" s="1" t="n">
        <v>19</v>
      </c>
      <c r="C696" s="1" t="n">
        <v>1</v>
      </c>
      <c r="F696" s="1" t="n">
        <v>3510</v>
      </c>
      <c r="G696" s="4" t="n">
        <v>0</v>
      </c>
      <c r="H696" s="1" t="s">
        <v>377</v>
      </c>
      <c r="I696" s="4" t="n">
        <v>1</v>
      </c>
      <c r="J696" s="1" t="str">
        <f aca="false">_xlfn.CONCAT("с",F696," ",D696,"/",E696,IF(G696=0,"","-" &amp; G696))</f>
        <v>с3510 /</v>
      </c>
    </row>
    <row r="697" customFormat="false" ht="12.8" hidden="false" customHeight="false" outlineLevel="0" collapsed="false">
      <c r="A697" s="1" t="s">
        <v>9</v>
      </c>
      <c r="B697" s="1" t="n">
        <v>19</v>
      </c>
      <c r="C697" s="1" t="n">
        <v>2</v>
      </c>
      <c r="D697" s="1" t="s">
        <v>200</v>
      </c>
      <c r="E697" s="1" t="s">
        <v>211</v>
      </c>
      <c r="F697" s="1" t="n">
        <v>3510</v>
      </c>
      <c r="G697" s="4" t="n">
        <v>0</v>
      </c>
      <c r="H697" s="1" t="s">
        <v>378</v>
      </c>
      <c r="I697" s="4" t="n">
        <v>1</v>
      </c>
      <c r="J697" s="1" t="str">
        <f aca="false">_xlfn.CONCAT("с",F697," ",D697,"/",E697,IF(G697=0,"","-" &amp; G697))</f>
        <v>с3510 5а/ОК-1</v>
      </c>
    </row>
    <row r="698" customFormat="false" ht="12.8" hidden="false" customHeight="false" outlineLevel="0" collapsed="false">
      <c r="A698" s="1" t="s">
        <v>9</v>
      </c>
      <c r="B698" s="1" t="n">
        <v>19</v>
      </c>
      <c r="C698" s="1" t="n">
        <v>3</v>
      </c>
      <c r="D698" s="1" t="s">
        <v>211</v>
      </c>
      <c r="E698" s="1" t="s">
        <v>206</v>
      </c>
      <c r="F698" s="1" t="n">
        <v>3510</v>
      </c>
      <c r="G698" s="4" t="n">
        <v>0</v>
      </c>
      <c r="H698" s="1" t="s">
        <v>379</v>
      </c>
      <c r="I698" s="4" t="n">
        <v>1</v>
      </c>
      <c r="J698" s="1" t="str">
        <f aca="false">_xlfn.CONCAT("с",F698," ",D698,"/",E698,IF(G698=0,"","-" &amp; G698))</f>
        <v>с3510 ОК-1/Тип 10</v>
      </c>
    </row>
    <row r="699" customFormat="false" ht="12.8" hidden="false" customHeight="false" outlineLevel="0" collapsed="false">
      <c r="A699" s="1" t="s">
        <v>9</v>
      </c>
      <c r="B699" s="1" t="n">
        <v>19</v>
      </c>
      <c r="C699" s="1" t="n">
        <v>4</v>
      </c>
      <c r="D699" s="1" t="s">
        <v>206</v>
      </c>
      <c r="E699" s="1" t="s">
        <v>211</v>
      </c>
      <c r="F699" s="1" t="n">
        <v>3510</v>
      </c>
      <c r="G699" s="4" t="n">
        <v>0</v>
      </c>
      <c r="H699" s="1" t="s">
        <v>380</v>
      </c>
      <c r="I699" s="4" t="n">
        <v>1</v>
      </c>
      <c r="J699" s="1" t="str">
        <f aca="false">_xlfn.CONCAT("с",F699," ",D699,"/",E699,IF(G699=0,"","-" &amp; G699))</f>
        <v>с3510 Тип 10/ОК-1</v>
      </c>
    </row>
    <row r="700" customFormat="false" ht="12.8" hidden="false" customHeight="false" outlineLevel="0" collapsed="false">
      <c r="A700" s="1" t="s">
        <v>9</v>
      </c>
      <c r="B700" s="1" t="n">
        <v>19</v>
      </c>
      <c r="C700" s="1" t="n">
        <v>5</v>
      </c>
      <c r="D700" s="1" t="s">
        <v>211</v>
      </c>
      <c r="E700" s="1" t="s">
        <v>200</v>
      </c>
      <c r="F700" s="1" t="n">
        <v>3510</v>
      </c>
      <c r="G700" s="4" t="n">
        <v>0</v>
      </c>
      <c r="H700" s="1" t="s">
        <v>383</v>
      </c>
      <c r="I700" s="4" t="n">
        <v>1</v>
      </c>
      <c r="J700" s="1" t="str">
        <f aca="false">_xlfn.CONCAT("с",F700," ",D700,"/",E700,IF(G700=0,"","-" &amp; G700))</f>
        <v>с3510 ОК-1/5а</v>
      </c>
    </row>
    <row r="701" customFormat="false" ht="12.8" hidden="false" customHeight="false" outlineLevel="0" collapsed="false">
      <c r="A701" s="1" t="s">
        <v>9</v>
      </c>
      <c r="B701" s="1" t="n">
        <v>19</v>
      </c>
      <c r="C701" s="1" t="n">
        <v>6</v>
      </c>
      <c r="D701" s="1" t="s">
        <v>200</v>
      </c>
      <c r="E701" s="1" t="s">
        <v>206</v>
      </c>
      <c r="F701" s="1" t="n">
        <v>3510</v>
      </c>
      <c r="G701" s="4" t="n">
        <v>1</v>
      </c>
      <c r="H701" s="1" t="s">
        <v>384</v>
      </c>
      <c r="I701" s="4" t="n">
        <v>1</v>
      </c>
      <c r="J701" s="1" t="str">
        <f aca="false">_xlfn.CONCAT("с",F701," ",D701,"/",E701,IF(G701=0,"","-" &amp; G701))</f>
        <v>с3510 5а/Тип 10-1</v>
      </c>
    </row>
    <row r="702" customFormat="false" ht="12.8" hidden="false" customHeight="false" outlineLevel="0" collapsed="false">
      <c r="A702" s="1" t="s">
        <v>9</v>
      </c>
      <c r="B702" s="1" t="n">
        <v>19</v>
      </c>
      <c r="C702" s="1" t="n">
        <v>7</v>
      </c>
      <c r="D702" s="1" t="s">
        <v>206</v>
      </c>
      <c r="E702" s="1" t="s">
        <v>211</v>
      </c>
      <c r="F702" s="1" t="n">
        <v>3510</v>
      </c>
      <c r="G702" s="4" t="n">
        <v>0</v>
      </c>
      <c r="H702" s="1" t="s">
        <v>380</v>
      </c>
      <c r="I702" s="4" t="n">
        <v>1</v>
      </c>
      <c r="J702" s="1" t="str">
        <f aca="false">_xlfn.CONCAT("с",F702," ",D702,"/",E702,IF(G702=0,"","-" &amp; G702))</f>
        <v>с3510 Тип 10/ОК-1</v>
      </c>
    </row>
    <row r="703" customFormat="false" ht="12.8" hidden="false" customHeight="false" outlineLevel="0" collapsed="false">
      <c r="A703" s="1" t="s">
        <v>9</v>
      </c>
      <c r="B703" s="1" t="n">
        <v>19</v>
      </c>
      <c r="C703" s="1" t="n">
        <v>8</v>
      </c>
      <c r="D703" s="1" t="s">
        <v>211</v>
      </c>
      <c r="E703" s="1" t="s">
        <v>200</v>
      </c>
      <c r="F703" s="1" t="n">
        <v>3510</v>
      </c>
      <c r="G703" s="4" t="n">
        <v>0</v>
      </c>
      <c r="H703" s="1" t="s">
        <v>383</v>
      </c>
      <c r="I703" s="4" t="n">
        <v>1</v>
      </c>
      <c r="J703" s="1" t="str">
        <f aca="false">_xlfn.CONCAT("с",F703," ",D703,"/",E703,IF(G703=0,"","-" &amp; G703))</f>
        <v>с3510 ОК-1/5а</v>
      </c>
    </row>
    <row r="704" customFormat="false" ht="12.8" hidden="false" customHeight="false" outlineLevel="0" collapsed="false">
      <c r="A704" s="1" t="s">
        <v>9</v>
      </c>
      <c r="B704" s="1" t="n">
        <v>19</v>
      </c>
      <c r="C704" s="1" t="n">
        <v>9</v>
      </c>
      <c r="D704" s="1" t="s">
        <v>200</v>
      </c>
      <c r="E704" s="1" t="s">
        <v>206</v>
      </c>
      <c r="F704" s="1" t="n">
        <v>3510</v>
      </c>
      <c r="G704" s="4" t="n">
        <v>1</v>
      </c>
      <c r="H704" s="1" t="s">
        <v>384</v>
      </c>
      <c r="I704" s="4" t="n">
        <v>1</v>
      </c>
      <c r="J704" s="1" t="str">
        <f aca="false">_xlfn.CONCAT("с",F704," ",D704,"/",E704,IF(G704=0,"","-" &amp; G704))</f>
        <v>с3510 5а/Тип 10-1</v>
      </c>
    </row>
    <row r="705" customFormat="false" ht="12.8" hidden="false" customHeight="false" outlineLevel="0" collapsed="false">
      <c r="A705" s="1" t="s">
        <v>9</v>
      </c>
      <c r="B705" s="1" t="n">
        <v>19</v>
      </c>
      <c r="C705" s="1" t="n">
        <v>10</v>
      </c>
      <c r="D705" s="1" t="s">
        <v>206</v>
      </c>
      <c r="E705" s="1" t="s">
        <v>211</v>
      </c>
      <c r="F705" s="1" t="n">
        <v>3510</v>
      </c>
      <c r="G705" s="4" t="n">
        <v>0</v>
      </c>
      <c r="H705" s="1" t="s">
        <v>380</v>
      </c>
      <c r="I705" s="4" t="n">
        <v>1</v>
      </c>
      <c r="J705" s="1" t="str">
        <f aca="false">_xlfn.CONCAT("с",F705," ",D705,"/",E705,IF(G705=0,"","-" &amp; G705))</f>
        <v>с3510 Тип 10/ОК-1</v>
      </c>
    </row>
    <row r="706" customFormat="false" ht="12.8" hidden="false" customHeight="false" outlineLevel="0" collapsed="false">
      <c r="A706" s="1" t="s">
        <v>9</v>
      </c>
      <c r="B706" s="1" t="n">
        <v>19</v>
      </c>
      <c r="C706" s="1" t="n">
        <v>11</v>
      </c>
      <c r="D706" s="1" t="s">
        <v>211</v>
      </c>
      <c r="E706" s="1" t="s">
        <v>200</v>
      </c>
      <c r="F706" s="1" t="n">
        <v>3510</v>
      </c>
      <c r="G706" s="4" t="n">
        <v>0</v>
      </c>
      <c r="H706" s="1" t="s">
        <v>383</v>
      </c>
      <c r="I706" s="4" t="n">
        <v>1</v>
      </c>
      <c r="J706" s="1" t="str">
        <f aca="false">_xlfn.CONCAT("с",F706," ",D706,"/",E706,IF(G706=0,"","-" &amp; G706))</f>
        <v>с3510 ОК-1/5а</v>
      </c>
    </row>
    <row r="707" customFormat="false" ht="12.8" hidden="false" customHeight="false" outlineLevel="0" collapsed="false">
      <c r="A707" s="1" t="s">
        <v>9</v>
      </c>
      <c r="B707" s="1" t="n">
        <v>19</v>
      </c>
      <c r="C707" s="1" t="n">
        <v>12</v>
      </c>
      <c r="D707" s="1" t="s">
        <v>200</v>
      </c>
      <c r="E707" s="1" t="s">
        <v>206</v>
      </c>
      <c r="F707" s="1" t="n">
        <v>3510</v>
      </c>
      <c r="G707" s="4" t="n">
        <v>1</v>
      </c>
      <c r="H707" s="1" t="s">
        <v>384</v>
      </c>
      <c r="I707" s="4" t="n">
        <v>1</v>
      </c>
      <c r="J707" s="1" t="str">
        <f aca="false">_xlfn.CONCAT("с",F707," ",D707,"/",E707,IF(G707=0,"","-" &amp; G707))</f>
        <v>с3510 5а/Тип 10-1</v>
      </c>
    </row>
    <row r="708" customFormat="false" ht="12.8" hidden="false" customHeight="false" outlineLevel="0" collapsed="false">
      <c r="A708" s="1" t="s">
        <v>9</v>
      </c>
      <c r="B708" s="1" t="n">
        <v>19</v>
      </c>
      <c r="C708" s="1" t="n">
        <v>13</v>
      </c>
      <c r="D708" s="1" t="s">
        <v>206</v>
      </c>
      <c r="E708" s="1" t="s">
        <v>211</v>
      </c>
      <c r="F708" s="1" t="n">
        <v>3510</v>
      </c>
      <c r="G708" s="4" t="n">
        <v>0</v>
      </c>
      <c r="H708" s="1" t="s">
        <v>380</v>
      </c>
      <c r="I708" s="4" t="n">
        <v>1</v>
      </c>
      <c r="J708" s="1" t="str">
        <f aca="false">_xlfn.CONCAT("с",F708," ",D708,"/",E708,IF(G708=0,"","-" &amp; G708))</f>
        <v>с3510 Тип 10/ОК-1</v>
      </c>
    </row>
    <row r="709" customFormat="false" ht="12.8" hidden="false" customHeight="false" outlineLevel="0" collapsed="false">
      <c r="A709" s="1" t="s">
        <v>9</v>
      </c>
      <c r="B709" s="1" t="n">
        <v>19</v>
      </c>
      <c r="C709" s="1" t="n">
        <v>14</v>
      </c>
      <c r="D709" s="1" t="s">
        <v>211</v>
      </c>
      <c r="E709" s="1" t="s">
        <v>200</v>
      </c>
      <c r="F709" s="1" t="n">
        <v>3510</v>
      </c>
      <c r="G709" s="4" t="n">
        <v>0</v>
      </c>
      <c r="H709" s="1" t="s">
        <v>383</v>
      </c>
      <c r="I709" s="4" t="n">
        <v>1</v>
      </c>
      <c r="J709" s="1" t="str">
        <f aca="false">_xlfn.CONCAT("с",F709," ",D709,"/",E709,IF(G709=0,"","-" &amp; G709))</f>
        <v>с3510 ОК-1/5а</v>
      </c>
    </row>
    <row r="710" customFormat="false" ht="12.8" hidden="false" customHeight="false" outlineLevel="0" collapsed="false">
      <c r="A710" s="1" t="s">
        <v>9</v>
      </c>
      <c r="B710" s="1" t="n">
        <v>19</v>
      </c>
      <c r="C710" s="1" t="n">
        <v>15</v>
      </c>
      <c r="D710" s="1" t="s">
        <v>200</v>
      </c>
      <c r="E710" s="1" t="s">
        <v>206</v>
      </c>
      <c r="F710" s="1" t="n">
        <v>3510</v>
      </c>
      <c r="G710" s="4" t="n">
        <v>1</v>
      </c>
      <c r="H710" s="1" t="s">
        <v>384</v>
      </c>
      <c r="I710" s="4" t="n">
        <v>1</v>
      </c>
      <c r="J710" s="1" t="str">
        <f aca="false">_xlfn.CONCAT("с",F710," ",D710,"/",E710,IF(G710=0,"","-" &amp; G710))</f>
        <v>с3510 5а/Тип 10-1</v>
      </c>
    </row>
    <row r="711" customFormat="false" ht="12.8" hidden="false" customHeight="false" outlineLevel="0" collapsed="false">
      <c r="A711" s="1" t="s">
        <v>9</v>
      </c>
      <c r="B711" s="1" t="n">
        <v>19</v>
      </c>
      <c r="C711" s="1" t="n">
        <v>16</v>
      </c>
      <c r="D711" s="1" t="s">
        <v>206</v>
      </c>
      <c r="E711" s="1" t="s">
        <v>211</v>
      </c>
      <c r="F711" s="1" t="n">
        <v>3510</v>
      </c>
      <c r="G711" s="4" t="n">
        <v>0</v>
      </c>
      <c r="H711" s="1" t="s">
        <v>380</v>
      </c>
      <c r="I711" s="4" t="n">
        <v>1</v>
      </c>
      <c r="J711" s="1" t="str">
        <f aca="false">_xlfn.CONCAT("с",F711," ",D711,"/",E711,IF(G711=0,"","-" &amp; G711))</f>
        <v>с3510 Тип 10/ОК-1</v>
      </c>
    </row>
    <row r="712" customFormat="false" ht="12.8" hidden="false" customHeight="false" outlineLevel="0" collapsed="false">
      <c r="A712" s="1" t="s">
        <v>9</v>
      </c>
      <c r="B712" s="1" t="n">
        <v>19</v>
      </c>
      <c r="C712" s="1" t="n">
        <v>17</v>
      </c>
      <c r="D712" s="1" t="s">
        <v>211</v>
      </c>
      <c r="E712" s="1" t="s">
        <v>200</v>
      </c>
      <c r="F712" s="1" t="n">
        <v>3510</v>
      </c>
      <c r="G712" s="4" t="n">
        <v>0</v>
      </c>
      <c r="H712" s="1" t="s">
        <v>383</v>
      </c>
      <c r="I712" s="4" t="n">
        <v>1</v>
      </c>
      <c r="J712" s="1" t="str">
        <f aca="false">_xlfn.CONCAT("с",F712," ",D712,"/",E712,IF(G712=0,"","-" &amp; G712))</f>
        <v>с3510 ОК-1/5а</v>
      </c>
    </row>
    <row r="713" customFormat="false" ht="12.8" hidden="false" customHeight="false" outlineLevel="0" collapsed="false">
      <c r="A713" s="1" t="s">
        <v>9</v>
      </c>
      <c r="B713" s="1" t="n">
        <v>19</v>
      </c>
      <c r="C713" s="1" t="n">
        <v>18</v>
      </c>
      <c r="D713" s="1" t="s">
        <v>200</v>
      </c>
      <c r="E713" s="1" t="s">
        <v>206</v>
      </c>
      <c r="F713" s="1" t="n">
        <v>3510</v>
      </c>
      <c r="G713" s="4" t="n">
        <v>1</v>
      </c>
      <c r="H713" s="1" t="s">
        <v>384</v>
      </c>
      <c r="I713" s="4" t="n">
        <v>1</v>
      </c>
      <c r="J713" s="1" t="str">
        <f aca="false">_xlfn.CONCAT("с",F713," ",D713,"/",E713,IF(G713=0,"","-" &amp; G713))</f>
        <v>с3510 5а/Тип 10-1</v>
      </c>
    </row>
    <row r="714" customFormat="false" ht="12.8" hidden="false" customHeight="false" outlineLevel="0" collapsed="false">
      <c r="A714" s="1" t="s">
        <v>9</v>
      </c>
      <c r="B714" s="1" t="n">
        <v>19</v>
      </c>
      <c r="C714" s="1" t="n">
        <v>19</v>
      </c>
      <c r="D714" s="1" t="s">
        <v>206</v>
      </c>
      <c r="E714" s="1" t="s">
        <v>211</v>
      </c>
      <c r="F714" s="1" t="n">
        <v>3510</v>
      </c>
      <c r="G714" s="4" t="n">
        <v>0</v>
      </c>
      <c r="H714" s="1" t="s">
        <v>380</v>
      </c>
      <c r="I714" s="4" t="n">
        <v>1</v>
      </c>
      <c r="J714" s="1" t="str">
        <f aca="false">_xlfn.CONCAT("с",F714," ",D714,"/",E714,IF(G714=0,"","-" &amp; G714))</f>
        <v>с3510 Тип 10/ОК-1</v>
      </c>
    </row>
    <row r="715" customFormat="false" ht="12.8" hidden="false" customHeight="false" outlineLevel="0" collapsed="false">
      <c r="A715" s="1" t="s">
        <v>9</v>
      </c>
      <c r="B715" s="1" t="n">
        <v>19</v>
      </c>
      <c r="C715" s="1" t="n">
        <v>20</v>
      </c>
      <c r="D715" s="1" t="s">
        <v>211</v>
      </c>
      <c r="E715" s="1" t="s">
        <v>198</v>
      </c>
      <c r="F715" s="1" t="n">
        <v>3510</v>
      </c>
      <c r="G715" s="4" t="n">
        <v>0</v>
      </c>
      <c r="H715" s="1" t="s">
        <v>381</v>
      </c>
      <c r="I715" s="4" t="n">
        <v>1</v>
      </c>
      <c r="J715" s="1" t="str">
        <f aca="false">_xlfn.CONCAT("с",F715," ",D715,"/",E715,IF(G715=0,"","-" &amp; G715))</f>
        <v>с3510 ОК-1/3а</v>
      </c>
    </row>
    <row r="716" customFormat="false" ht="12.8" hidden="false" customHeight="false" outlineLevel="0" collapsed="false">
      <c r="A716" s="1" t="s">
        <v>9</v>
      </c>
      <c r="B716" s="1" t="n">
        <v>19</v>
      </c>
      <c r="C716" s="1" t="n">
        <v>21</v>
      </c>
      <c r="D716" s="1" t="s">
        <v>198</v>
      </c>
      <c r="E716" s="1" t="s">
        <v>206</v>
      </c>
      <c r="F716" s="1" t="n">
        <v>3510</v>
      </c>
      <c r="G716" s="4" t="n">
        <v>1</v>
      </c>
      <c r="H716" s="1" t="s">
        <v>382</v>
      </c>
      <c r="I716" s="4" t="n">
        <v>1</v>
      </c>
      <c r="J716" s="1" t="str">
        <f aca="false">_xlfn.CONCAT("с",F716," ",D716,"/",E716,IF(G716=0,"","-" &amp; G716))</f>
        <v>с3510 3а/Тип 10-1</v>
      </c>
    </row>
    <row r="717" customFormat="false" ht="12.8" hidden="false" customHeight="false" outlineLevel="0" collapsed="false">
      <c r="A717" s="1" t="s">
        <v>9</v>
      </c>
      <c r="B717" s="1" t="n">
        <v>19</v>
      </c>
      <c r="C717" s="1" t="n">
        <v>22</v>
      </c>
      <c r="D717" s="1" t="s">
        <v>206</v>
      </c>
      <c r="E717" s="1" t="s">
        <v>211</v>
      </c>
      <c r="F717" s="1" t="n">
        <v>3510</v>
      </c>
      <c r="G717" s="4" t="n">
        <v>0</v>
      </c>
      <c r="H717" s="1" t="s">
        <v>380</v>
      </c>
      <c r="I717" s="4" t="n">
        <v>1</v>
      </c>
      <c r="J717" s="1" t="str">
        <f aca="false">_xlfn.CONCAT("с",F717," ",D717,"/",E717,IF(G717=0,"","-" &amp; G717))</f>
        <v>с3510 Тип 10/ОК-1</v>
      </c>
    </row>
    <row r="718" customFormat="false" ht="12.8" hidden="false" customHeight="false" outlineLevel="0" collapsed="false">
      <c r="A718" s="1" t="s">
        <v>9</v>
      </c>
      <c r="B718" s="1" t="n">
        <v>19</v>
      </c>
      <c r="C718" s="1" t="n">
        <v>23</v>
      </c>
      <c r="D718" s="1" t="s">
        <v>211</v>
      </c>
      <c r="E718" s="1" t="s">
        <v>200</v>
      </c>
      <c r="F718" s="1" t="n">
        <v>3510</v>
      </c>
      <c r="G718" s="4" t="n">
        <v>0</v>
      </c>
      <c r="H718" s="1" t="s">
        <v>383</v>
      </c>
      <c r="I718" s="4" t="n">
        <v>1</v>
      </c>
      <c r="J718" s="1" t="str">
        <f aca="false">_xlfn.CONCAT("с",F718," ",D718,"/",E718,IF(G718=0,"","-" &amp; G718))</f>
        <v>с3510 ОК-1/5а</v>
      </c>
    </row>
    <row r="719" customFormat="false" ht="12.8" hidden="false" customHeight="false" outlineLevel="0" collapsed="false">
      <c r="A719" s="1" t="s">
        <v>9</v>
      </c>
      <c r="B719" s="1" t="n">
        <v>19</v>
      </c>
      <c r="C719" s="1" t="n">
        <v>24</v>
      </c>
      <c r="D719" s="1" t="s">
        <v>200</v>
      </c>
      <c r="E719" s="1" t="s">
        <v>206</v>
      </c>
      <c r="F719" s="1" t="n">
        <v>3510</v>
      </c>
      <c r="G719" s="4" t="n">
        <v>1</v>
      </c>
      <c r="H719" s="1" t="s">
        <v>384</v>
      </c>
      <c r="I719" s="4" t="n">
        <v>1</v>
      </c>
      <c r="J719" s="1" t="str">
        <f aca="false">_xlfn.CONCAT("с",F719," ",D719,"/",E719,IF(G719=0,"","-" &amp; G719))</f>
        <v>с3510 5а/Тип 10-1</v>
      </c>
    </row>
    <row r="720" customFormat="false" ht="12.8" hidden="false" customHeight="false" outlineLevel="0" collapsed="false">
      <c r="A720" s="1" t="s">
        <v>9</v>
      </c>
      <c r="B720" s="1" t="n">
        <v>19</v>
      </c>
      <c r="C720" s="1" t="n">
        <v>25</v>
      </c>
      <c r="D720" s="1" t="s">
        <v>206</v>
      </c>
      <c r="E720" s="1" t="s">
        <v>211</v>
      </c>
      <c r="F720" s="1" t="n">
        <v>3510</v>
      </c>
      <c r="G720" s="4" t="n">
        <v>0</v>
      </c>
      <c r="H720" s="1" t="s">
        <v>380</v>
      </c>
      <c r="I720" s="4" t="n">
        <v>1</v>
      </c>
      <c r="J720" s="1" t="str">
        <f aca="false">_xlfn.CONCAT("с",F720," ",D720,"/",E720,IF(G720=0,"","-" &amp; G720))</f>
        <v>с3510 Тип 10/ОК-1</v>
      </c>
    </row>
    <row r="721" customFormat="false" ht="12.8" hidden="false" customHeight="false" outlineLevel="0" collapsed="false">
      <c r="A721" s="1" t="s">
        <v>9</v>
      </c>
      <c r="B721" s="1" t="n">
        <v>19</v>
      </c>
      <c r="C721" s="1" t="n">
        <v>26</v>
      </c>
      <c r="D721" s="1" t="s">
        <v>211</v>
      </c>
      <c r="E721" s="1" t="s">
        <v>200</v>
      </c>
      <c r="F721" s="1" t="n">
        <v>3510</v>
      </c>
      <c r="G721" s="4" t="n">
        <v>0</v>
      </c>
      <c r="H721" s="1" t="s">
        <v>383</v>
      </c>
      <c r="I721" s="4" t="n">
        <v>1</v>
      </c>
      <c r="J721" s="1" t="str">
        <f aca="false">_xlfn.CONCAT("с",F721," ",D721,"/",E721,IF(G721=0,"","-" &amp; G721))</f>
        <v>с3510 ОК-1/5а</v>
      </c>
    </row>
    <row r="722" customFormat="false" ht="12.8" hidden="false" customHeight="false" outlineLevel="0" collapsed="false">
      <c r="A722" s="1" t="s">
        <v>9</v>
      </c>
      <c r="B722" s="1" t="n">
        <v>19</v>
      </c>
      <c r="C722" s="1" t="n">
        <v>27</v>
      </c>
      <c r="D722" s="1" t="s">
        <v>200</v>
      </c>
      <c r="E722" s="1" t="s">
        <v>206</v>
      </c>
      <c r="F722" s="1" t="n">
        <v>3510</v>
      </c>
      <c r="G722" s="4" t="n">
        <v>1</v>
      </c>
      <c r="H722" s="1" t="s">
        <v>384</v>
      </c>
      <c r="I722" s="4" t="n">
        <v>1</v>
      </c>
      <c r="J722" s="1" t="str">
        <f aca="false">_xlfn.CONCAT("с",F722," ",D722,"/",E722,IF(G722=0,"","-" &amp; G722))</f>
        <v>с3510 5а/Тип 10-1</v>
      </c>
    </row>
    <row r="723" customFormat="false" ht="12.8" hidden="false" customHeight="false" outlineLevel="0" collapsed="false">
      <c r="A723" s="1" t="s">
        <v>9</v>
      </c>
      <c r="B723" s="1" t="n">
        <v>19</v>
      </c>
      <c r="C723" s="1" t="n">
        <v>28</v>
      </c>
      <c r="D723" s="1" t="s">
        <v>206</v>
      </c>
      <c r="E723" s="1" t="s">
        <v>211</v>
      </c>
      <c r="F723" s="1" t="n">
        <v>3510</v>
      </c>
      <c r="G723" s="4" t="n">
        <v>0</v>
      </c>
      <c r="H723" s="1" t="s">
        <v>380</v>
      </c>
      <c r="I723" s="4" t="n">
        <v>1</v>
      </c>
      <c r="J723" s="1" t="str">
        <f aca="false">_xlfn.CONCAT("с",F723," ",D723,"/",E723,IF(G723=0,"","-" &amp; G723))</f>
        <v>с3510 Тип 10/ОК-1</v>
      </c>
    </row>
    <row r="724" customFormat="false" ht="12.8" hidden="false" customHeight="false" outlineLevel="0" collapsed="false">
      <c r="A724" s="1" t="s">
        <v>9</v>
      </c>
      <c r="B724" s="1" t="n">
        <v>19</v>
      </c>
      <c r="C724" s="1" t="n">
        <v>29</v>
      </c>
      <c r="D724" s="1" t="s">
        <v>211</v>
      </c>
      <c r="E724" s="1" t="s">
        <v>200</v>
      </c>
      <c r="F724" s="1" t="n">
        <v>3510</v>
      </c>
      <c r="G724" s="4" t="n">
        <v>0</v>
      </c>
      <c r="H724" s="1" t="s">
        <v>383</v>
      </c>
      <c r="I724" s="4" t="n">
        <v>1</v>
      </c>
      <c r="J724" s="1" t="str">
        <f aca="false">_xlfn.CONCAT("с",F724," ",D724,"/",E724,IF(G724=0,"","-" &amp; G724))</f>
        <v>с3510 ОК-1/5а</v>
      </c>
    </row>
    <row r="725" customFormat="false" ht="12.8" hidden="false" customHeight="false" outlineLevel="0" collapsed="false">
      <c r="A725" s="1" t="s">
        <v>9</v>
      </c>
      <c r="B725" s="1" t="n">
        <v>19</v>
      </c>
      <c r="C725" s="1" t="n">
        <v>30</v>
      </c>
      <c r="D725" s="1" t="s">
        <v>200</v>
      </c>
      <c r="E725" s="1" t="s">
        <v>206</v>
      </c>
      <c r="F725" s="1" t="n">
        <v>3510</v>
      </c>
      <c r="G725" s="4" t="n">
        <v>1</v>
      </c>
      <c r="H725" s="1" t="s">
        <v>384</v>
      </c>
      <c r="I725" s="4" t="n">
        <v>1</v>
      </c>
      <c r="J725" s="1" t="str">
        <f aca="false">_xlfn.CONCAT("с",F725," ",D725,"/",E725,IF(G725=0,"","-" &amp; G725))</f>
        <v>с3510 5а/Тип 10-1</v>
      </c>
    </row>
    <row r="726" customFormat="false" ht="12.8" hidden="false" customHeight="false" outlineLevel="0" collapsed="false">
      <c r="A726" s="1" t="s">
        <v>9</v>
      </c>
      <c r="B726" s="1" t="n">
        <v>19</v>
      </c>
      <c r="C726" s="1" t="n">
        <v>31</v>
      </c>
      <c r="D726" s="1" t="s">
        <v>206</v>
      </c>
      <c r="E726" s="1" t="s">
        <v>211</v>
      </c>
      <c r="F726" s="1" t="n">
        <v>3510</v>
      </c>
      <c r="G726" s="4" t="n">
        <v>0</v>
      </c>
      <c r="H726" s="1" t="s">
        <v>380</v>
      </c>
      <c r="I726" s="4" t="n">
        <v>1</v>
      </c>
      <c r="J726" s="1" t="str">
        <f aca="false">_xlfn.CONCAT("с",F726," ",D726,"/",E726,IF(G726=0,"","-" &amp; G726))</f>
        <v>с3510 Тип 10/ОК-1</v>
      </c>
    </row>
    <row r="727" customFormat="false" ht="12.8" hidden="false" customHeight="false" outlineLevel="0" collapsed="false">
      <c r="A727" s="1" t="s">
        <v>9</v>
      </c>
      <c r="B727" s="1" t="n">
        <v>19</v>
      </c>
      <c r="C727" s="1" t="n">
        <v>32</v>
      </c>
      <c r="D727" s="1" t="s">
        <v>211</v>
      </c>
      <c r="E727" s="1" t="s">
        <v>198</v>
      </c>
      <c r="F727" s="1" t="n">
        <v>3510</v>
      </c>
      <c r="G727" s="4" t="n">
        <v>0</v>
      </c>
      <c r="H727" s="1" t="s">
        <v>381</v>
      </c>
      <c r="I727" s="4" t="n">
        <v>1</v>
      </c>
      <c r="J727" s="1" t="str">
        <f aca="false">_xlfn.CONCAT("с",F727," ",D727,"/",E727,IF(G727=0,"","-" &amp; G727))</f>
        <v>с3510 ОК-1/3а</v>
      </c>
    </row>
    <row r="728" customFormat="false" ht="12.8" hidden="false" customHeight="false" outlineLevel="0" collapsed="false">
      <c r="A728" s="1" t="s">
        <v>9</v>
      </c>
      <c r="B728" s="1" t="n">
        <v>19</v>
      </c>
      <c r="C728" s="1" t="n">
        <v>33</v>
      </c>
      <c r="D728" s="1" t="s">
        <v>198</v>
      </c>
      <c r="E728" s="1" t="s">
        <v>206</v>
      </c>
      <c r="F728" s="1" t="n">
        <v>3510</v>
      </c>
      <c r="G728" s="4" t="n">
        <v>1</v>
      </c>
      <c r="H728" s="1" t="s">
        <v>382</v>
      </c>
      <c r="I728" s="4" t="n">
        <v>1</v>
      </c>
      <c r="J728" s="1" t="str">
        <f aca="false">_xlfn.CONCAT("с",F728," ",D728,"/",E728,IF(G728=0,"","-" &amp; G728))</f>
        <v>с3510 3а/Тип 10-1</v>
      </c>
    </row>
    <row r="729" customFormat="false" ht="12.8" hidden="false" customHeight="false" outlineLevel="0" collapsed="false">
      <c r="A729" s="1" t="s">
        <v>9</v>
      </c>
      <c r="B729" s="1" t="n">
        <v>19</v>
      </c>
      <c r="C729" s="1" t="n">
        <v>34</v>
      </c>
      <c r="D729" s="1" t="s">
        <v>206</v>
      </c>
      <c r="E729" s="1" t="s">
        <v>211</v>
      </c>
      <c r="F729" s="1" t="n">
        <v>3510</v>
      </c>
      <c r="G729" s="4" t="n">
        <v>0</v>
      </c>
      <c r="H729" s="1" t="s">
        <v>380</v>
      </c>
      <c r="I729" s="4" t="n">
        <v>1</v>
      </c>
      <c r="J729" s="1" t="str">
        <f aca="false">_xlfn.CONCAT("с",F729," ",D729,"/",E729,IF(G729=0,"","-" &amp; G729))</f>
        <v>с3510 Тип 10/ОК-1</v>
      </c>
    </row>
    <row r="730" customFormat="false" ht="12.8" hidden="false" customHeight="false" outlineLevel="0" collapsed="false">
      <c r="A730" s="1" t="s">
        <v>9</v>
      </c>
      <c r="B730" s="1" t="n">
        <v>19</v>
      </c>
      <c r="C730" s="1" t="n">
        <v>35</v>
      </c>
      <c r="D730" s="1" t="s">
        <v>211</v>
      </c>
      <c r="E730" s="1" t="s">
        <v>200</v>
      </c>
      <c r="F730" s="1" t="n">
        <v>3510</v>
      </c>
      <c r="G730" s="4" t="n">
        <v>1</v>
      </c>
      <c r="H730" s="1" t="s">
        <v>439</v>
      </c>
      <c r="I730" s="4" t="n">
        <v>1</v>
      </c>
      <c r="J730" s="1" t="str">
        <f aca="false">_xlfn.CONCAT("с",F730," ",D730,"/",E730,IF(G730=0,"","-" &amp; G730))</f>
        <v>с3510 ОК-1/5а-1</v>
      </c>
    </row>
    <row r="731" customFormat="false" ht="12.8" hidden="false" customHeight="false" outlineLevel="0" collapsed="false">
      <c r="A731" s="1" t="s">
        <v>9</v>
      </c>
      <c r="B731" s="1" t="n">
        <v>19</v>
      </c>
      <c r="C731" s="1" t="n">
        <v>36</v>
      </c>
      <c r="F731" s="1" t="n">
        <v>3510</v>
      </c>
      <c r="G731" s="4" t="n">
        <v>0</v>
      </c>
      <c r="H731" s="1" t="s">
        <v>377</v>
      </c>
      <c r="I731" s="4" t="n">
        <v>1</v>
      </c>
      <c r="J731" s="1" t="str">
        <f aca="false">_xlfn.CONCAT("с",F731," ",D731,"/",E731,IF(G731=0,"","-" &amp; G731))</f>
        <v>с3510 /</v>
      </c>
    </row>
    <row r="732" customFormat="false" ht="12.8" hidden="false" customHeight="false" outlineLevel="0" collapsed="false">
      <c r="A732" s="1" t="s">
        <v>9</v>
      </c>
      <c r="B732" s="1" t="n">
        <v>29</v>
      </c>
      <c r="C732" s="1" t="n">
        <v>1</v>
      </c>
      <c r="F732" s="1" t="n">
        <v>3350</v>
      </c>
      <c r="G732" s="4" t="n">
        <v>0</v>
      </c>
      <c r="H732" s="1" t="s">
        <v>360</v>
      </c>
      <c r="I732" s="4" t="n">
        <v>1</v>
      </c>
      <c r="J732" s="1" t="str">
        <f aca="false">_xlfn.CONCAT("с",F732," ",D732,"/",E732,IF(G732=0,"","-" &amp; G732))</f>
        <v>с3350 /</v>
      </c>
    </row>
    <row r="733" customFormat="false" ht="12.8" hidden="false" customHeight="false" outlineLevel="0" collapsed="false">
      <c r="A733" s="1" t="s">
        <v>9</v>
      </c>
      <c r="B733" s="1" t="n">
        <v>29</v>
      </c>
      <c r="C733" s="1" t="n">
        <v>2</v>
      </c>
      <c r="D733" s="1" t="s">
        <v>201</v>
      </c>
      <c r="E733" s="1" t="s">
        <v>213</v>
      </c>
      <c r="F733" s="1" t="n">
        <v>3350</v>
      </c>
      <c r="G733" s="4" t="n">
        <v>0</v>
      </c>
      <c r="H733" s="1" t="s">
        <v>389</v>
      </c>
      <c r="I733" s="4" t="n">
        <v>1</v>
      </c>
      <c r="J733" s="1" t="str">
        <f aca="false">_xlfn.CONCAT("с",F733," ",D733,"/",E733,IF(G733=0,"","-" &amp; G733))</f>
        <v>с3350 5б/ОК-1.1</v>
      </c>
    </row>
    <row r="734" customFormat="false" ht="12.8" hidden="false" customHeight="false" outlineLevel="0" collapsed="false">
      <c r="A734" s="1" t="s">
        <v>9</v>
      </c>
      <c r="B734" s="1" t="n">
        <v>29</v>
      </c>
      <c r="C734" s="1" t="n">
        <v>3</v>
      </c>
      <c r="D734" s="1" t="s">
        <v>213</v>
      </c>
      <c r="E734" s="1" t="s">
        <v>206</v>
      </c>
      <c r="F734" s="1" t="n">
        <v>3350</v>
      </c>
      <c r="G734" s="4" t="n">
        <v>0</v>
      </c>
      <c r="H734" s="1" t="s">
        <v>390</v>
      </c>
      <c r="I734" s="4" t="n">
        <v>1</v>
      </c>
      <c r="J734" s="1" t="str">
        <f aca="false">_xlfn.CONCAT("с",F734," ",D734,"/",E734,IF(G734=0,"","-" &amp; G734))</f>
        <v>с3350 ОК-1.1/Тип 10</v>
      </c>
    </row>
    <row r="735" customFormat="false" ht="12.8" hidden="false" customHeight="false" outlineLevel="0" collapsed="false">
      <c r="A735" s="1" t="s">
        <v>9</v>
      </c>
      <c r="B735" s="1" t="n">
        <v>29</v>
      </c>
      <c r="C735" s="1" t="n">
        <v>4</v>
      </c>
      <c r="D735" s="1" t="s">
        <v>206</v>
      </c>
      <c r="E735" s="1" t="s">
        <v>213</v>
      </c>
      <c r="F735" s="1" t="n">
        <v>3350</v>
      </c>
      <c r="G735" s="4" t="n">
        <v>0</v>
      </c>
      <c r="H735" s="1" t="s">
        <v>391</v>
      </c>
      <c r="I735" s="4" t="n">
        <v>1</v>
      </c>
      <c r="J735" s="1" t="str">
        <f aca="false">_xlfn.CONCAT("с",F735," ",D735,"/",E735,IF(G735=0,"","-" &amp; G735))</f>
        <v>с3350 Тип 10/ОК-1.1</v>
      </c>
    </row>
    <row r="736" customFormat="false" ht="12.8" hidden="false" customHeight="false" outlineLevel="0" collapsed="false">
      <c r="A736" s="1" t="s">
        <v>9</v>
      </c>
      <c r="B736" s="1" t="n">
        <v>29</v>
      </c>
      <c r="C736" s="1" t="n">
        <v>5</v>
      </c>
      <c r="D736" s="1" t="s">
        <v>213</v>
      </c>
      <c r="E736" s="1" t="s">
        <v>201</v>
      </c>
      <c r="F736" s="1" t="n">
        <v>3350</v>
      </c>
      <c r="G736" s="4" t="n">
        <v>0</v>
      </c>
      <c r="H736" s="1" t="s">
        <v>394</v>
      </c>
      <c r="I736" s="4" t="n">
        <v>1</v>
      </c>
      <c r="J736" s="1" t="str">
        <f aca="false">_xlfn.CONCAT("с",F736," ",D736,"/",E736,IF(G736=0,"","-" &amp; G736))</f>
        <v>с3350 ОК-1.1/5б</v>
      </c>
    </row>
    <row r="737" customFormat="false" ht="12.8" hidden="false" customHeight="false" outlineLevel="0" collapsed="false">
      <c r="A737" s="1" t="s">
        <v>9</v>
      </c>
      <c r="B737" s="1" t="n">
        <v>29</v>
      </c>
      <c r="C737" s="1" t="n">
        <v>6</v>
      </c>
      <c r="D737" s="1" t="s">
        <v>201</v>
      </c>
      <c r="E737" s="1" t="s">
        <v>206</v>
      </c>
      <c r="F737" s="1" t="n">
        <v>3350</v>
      </c>
      <c r="G737" s="4" t="n">
        <v>0</v>
      </c>
      <c r="H737" s="1" t="s">
        <v>395</v>
      </c>
      <c r="I737" s="4" t="n">
        <v>1</v>
      </c>
      <c r="J737" s="1" t="str">
        <f aca="false">_xlfn.CONCAT("с",F737," ",D737,"/",E737,IF(G737=0,"","-" &amp; G737))</f>
        <v>с3350 5б/Тип 10</v>
      </c>
    </row>
    <row r="738" customFormat="false" ht="12.8" hidden="false" customHeight="false" outlineLevel="0" collapsed="false">
      <c r="A738" s="1" t="s">
        <v>9</v>
      </c>
      <c r="B738" s="1" t="n">
        <v>29</v>
      </c>
      <c r="C738" s="1" t="n">
        <v>7</v>
      </c>
      <c r="D738" s="1" t="s">
        <v>206</v>
      </c>
      <c r="E738" s="1" t="s">
        <v>213</v>
      </c>
      <c r="F738" s="1" t="n">
        <v>3350</v>
      </c>
      <c r="G738" s="4" t="n">
        <v>0</v>
      </c>
      <c r="H738" s="1" t="s">
        <v>391</v>
      </c>
      <c r="I738" s="4" t="n">
        <v>1</v>
      </c>
      <c r="J738" s="1" t="str">
        <f aca="false">_xlfn.CONCAT("с",F738," ",D738,"/",E738,IF(G738=0,"","-" &amp; G738))</f>
        <v>с3350 Тип 10/ОК-1.1</v>
      </c>
    </row>
    <row r="739" customFormat="false" ht="12.8" hidden="false" customHeight="false" outlineLevel="0" collapsed="false">
      <c r="A739" s="1" t="s">
        <v>9</v>
      </c>
      <c r="B739" s="1" t="n">
        <v>29</v>
      </c>
      <c r="C739" s="1" t="n">
        <v>8</v>
      </c>
      <c r="D739" s="1" t="s">
        <v>213</v>
      </c>
      <c r="E739" s="1" t="s">
        <v>201</v>
      </c>
      <c r="F739" s="1" t="n">
        <v>3350</v>
      </c>
      <c r="G739" s="4" t="n">
        <v>0</v>
      </c>
      <c r="H739" s="1" t="s">
        <v>394</v>
      </c>
      <c r="I739" s="4" t="n">
        <v>1</v>
      </c>
      <c r="J739" s="1" t="str">
        <f aca="false">_xlfn.CONCAT("с",F739," ",D739,"/",E739,IF(G739=0,"","-" &amp; G739))</f>
        <v>с3350 ОК-1.1/5б</v>
      </c>
    </row>
    <row r="740" customFormat="false" ht="12.8" hidden="false" customHeight="false" outlineLevel="0" collapsed="false">
      <c r="A740" s="1" t="s">
        <v>9</v>
      </c>
      <c r="B740" s="1" t="n">
        <v>29</v>
      </c>
      <c r="C740" s="1" t="n">
        <v>9</v>
      </c>
      <c r="D740" s="1" t="s">
        <v>201</v>
      </c>
      <c r="E740" s="1" t="s">
        <v>206</v>
      </c>
      <c r="F740" s="1" t="n">
        <v>3350</v>
      </c>
      <c r="G740" s="4" t="n">
        <v>0</v>
      </c>
      <c r="H740" s="1" t="s">
        <v>395</v>
      </c>
      <c r="I740" s="4" t="n">
        <v>1</v>
      </c>
      <c r="J740" s="1" t="str">
        <f aca="false">_xlfn.CONCAT("с",F740," ",D740,"/",E740,IF(G740=0,"","-" &amp; G740))</f>
        <v>с3350 5б/Тип 10</v>
      </c>
    </row>
    <row r="741" customFormat="false" ht="12.8" hidden="false" customHeight="false" outlineLevel="0" collapsed="false">
      <c r="A741" s="1" t="s">
        <v>9</v>
      </c>
      <c r="B741" s="1" t="n">
        <v>29</v>
      </c>
      <c r="C741" s="1" t="n">
        <v>10</v>
      </c>
      <c r="D741" s="1" t="s">
        <v>206</v>
      </c>
      <c r="E741" s="1" t="s">
        <v>213</v>
      </c>
      <c r="F741" s="1" t="n">
        <v>3350</v>
      </c>
      <c r="G741" s="4" t="n">
        <v>0</v>
      </c>
      <c r="H741" s="1" t="s">
        <v>391</v>
      </c>
      <c r="I741" s="4" t="n">
        <v>1</v>
      </c>
      <c r="J741" s="1" t="str">
        <f aca="false">_xlfn.CONCAT("с",F741," ",D741,"/",E741,IF(G741=0,"","-" &amp; G741))</f>
        <v>с3350 Тип 10/ОК-1.1</v>
      </c>
    </row>
    <row r="742" customFormat="false" ht="12.8" hidden="false" customHeight="false" outlineLevel="0" collapsed="false">
      <c r="A742" s="1" t="s">
        <v>9</v>
      </c>
      <c r="B742" s="1" t="n">
        <v>29</v>
      </c>
      <c r="C742" s="1" t="n">
        <v>11</v>
      </c>
      <c r="D742" s="1" t="s">
        <v>213</v>
      </c>
      <c r="E742" s="1" t="s">
        <v>201</v>
      </c>
      <c r="F742" s="1" t="n">
        <v>3350</v>
      </c>
      <c r="G742" s="4" t="n">
        <v>0</v>
      </c>
      <c r="H742" s="1" t="s">
        <v>394</v>
      </c>
      <c r="I742" s="4" t="n">
        <v>1</v>
      </c>
      <c r="J742" s="1" t="str">
        <f aca="false">_xlfn.CONCAT("с",F742," ",D742,"/",E742,IF(G742=0,"","-" &amp; G742))</f>
        <v>с3350 ОК-1.1/5б</v>
      </c>
    </row>
    <row r="743" customFormat="false" ht="12.8" hidden="false" customHeight="false" outlineLevel="0" collapsed="false">
      <c r="A743" s="1" t="s">
        <v>9</v>
      </c>
      <c r="B743" s="1" t="n">
        <v>29</v>
      </c>
      <c r="C743" s="1" t="n">
        <v>12</v>
      </c>
      <c r="D743" s="1" t="s">
        <v>201</v>
      </c>
      <c r="E743" s="1" t="s">
        <v>206</v>
      </c>
      <c r="F743" s="1" t="n">
        <v>3350</v>
      </c>
      <c r="G743" s="4" t="n">
        <v>0</v>
      </c>
      <c r="H743" s="1" t="s">
        <v>395</v>
      </c>
      <c r="I743" s="4" t="n">
        <v>1</v>
      </c>
      <c r="J743" s="1" t="str">
        <f aca="false">_xlfn.CONCAT("с",F743," ",D743,"/",E743,IF(G743=0,"","-" &amp; G743))</f>
        <v>с3350 5б/Тип 10</v>
      </c>
    </row>
    <row r="744" customFormat="false" ht="12.8" hidden="false" customHeight="false" outlineLevel="0" collapsed="false">
      <c r="A744" s="1" t="s">
        <v>9</v>
      </c>
      <c r="B744" s="1" t="n">
        <v>29</v>
      </c>
      <c r="C744" s="1" t="n">
        <v>13</v>
      </c>
      <c r="D744" s="1" t="s">
        <v>206</v>
      </c>
      <c r="E744" s="1" t="s">
        <v>213</v>
      </c>
      <c r="F744" s="1" t="n">
        <v>3350</v>
      </c>
      <c r="G744" s="4" t="n">
        <v>0</v>
      </c>
      <c r="H744" s="1" t="s">
        <v>391</v>
      </c>
      <c r="I744" s="4" t="n">
        <v>1</v>
      </c>
      <c r="J744" s="1" t="str">
        <f aca="false">_xlfn.CONCAT("с",F744," ",D744,"/",E744,IF(G744=0,"","-" &amp; G744))</f>
        <v>с3350 Тип 10/ОК-1.1</v>
      </c>
    </row>
    <row r="745" customFormat="false" ht="12.8" hidden="false" customHeight="false" outlineLevel="0" collapsed="false">
      <c r="A745" s="1" t="s">
        <v>9</v>
      </c>
      <c r="B745" s="1" t="n">
        <v>29</v>
      </c>
      <c r="C745" s="1" t="n">
        <v>14</v>
      </c>
      <c r="D745" s="1" t="s">
        <v>213</v>
      </c>
      <c r="E745" s="1" t="s">
        <v>201</v>
      </c>
      <c r="F745" s="1" t="n">
        <v>3350</v>
      </c>
      <c r="G745" s="4" t="n">
        <v>0</v>
      </c>
      <c r="H745" s="1" t="s">
        <v>394</v>
      </c>
      <c r="I745" s="4" t="n">
        <v>1</v>
      </c>
      <c r="J745" s="1" t="str">
        <f aca="false">_xlfn.CONCAT("с",F745," ",D745,"/",E745,IF(G745=0,"","-" &amp; G745))</f>
        <v>с3350 ОК-1.1/5б</v>
      </c>
    </row>
    <row r="746" customFormat="false" ht="12.8" hidden="false" customHeight="false" outlineLevel="0" collapsed="false">
      <c r="A746" s="1" t="s">
        <v>9</v>
      </c>
      <c r="B746" s="1" t="n">
        <v>29</v>
      </c>
      <c r="C746" s="1" t="n">
        <v>15</v>
      </c>
      <c r="D746" s="1" t="s">
        <v>201</v>
      </c>
      <c r="E746" s="1" t="s">
        <v>206</v>
      </c>
      <c r="F746" s="1" t="n">
        <v>3350</v>
      </c>
      <c r="G746" s="4" t="n">
        <v>0</v>
      </c>
      <c r="H746" s="1" t="s">
        <v>395</v>
      </c>
      <c r="I746" s="4" t="n">
        <v>1</v>
      </c>
      <c r="J746" s="1" t="str">
        <f aca="false">_xlfn.CONCAT("с",F746," ",D746,"/",E746,IF(G746=0,"","-" &amp; G746))</f>
        <v>с3350 5б/Тип 10</v>
      </c>
    </row>
    <row r="747" customFormat="false" ht="12.8" hidden="false" customHeight="false" outlineLevel="0" collapsed="false">
      <c r="A747" s="1" t="s">
        <v>9</v>
      </c>
      <c r="B747" s="1" t="n">
        <v>29</v>
      </c>
      <c r="C747" s="1" t="n">
        <v>16</v>
      </c>
      <c r="D747" s="1" t="s">
        <v>206</v>
      </c>
      <c r="E747" s="1" t="s">
        <v>213</v>
      </c>
      <c r="F747" s="1" t="n">
        <v>3350</v>
      </c>
      <c r="G747" s="4" t="n">
        <v>0</v>
      </c>
      <c r="H747" s="1" t="s">
        <v>391</v>
      </c>
      <c r="I747" s="4" t="n">
        <v>1</v>
      </c>
      <c r="J747" s="1" t="str">
        <f aca="false">_xlfn.CONCAT("с",F747," ",D747,"/",E747,IF(G747=0,"","-" &amp; G747))</f>
        <v>с3350 Тип 10/ОК-1.1</v>
      </c>
    </row>
    <row r="748" customFormat="false" ht="12.8" hidden="false" customHeight="false" outlineLevel="0" collapsed="false">
      <c r="A748" s="1" t="s">
        <v>9</v>
      </c>
      <c r="B748" s="1" t="n">
        <v>29</v>
      </c>
      <c r="C748" s="1" t="n">
        <v>17</v>
      </c>
      <c r="D748" s="1" t="s">
        <v>213</v>
      </c>
      <c r="E748" s="1" t="s">
        <v>201</v>
      </c>
      <c r="F748" s="1" t="n">
        <v>3350</v>
      </c>
      <c r="G748" s="4" t="n">
        <v>0</v>
      </c>
      <c r="H748" s="1" t="s">
        <v>394</v>
      </c>
      <c r="I748" s="4" t="n">
        <v>1</v>
      </c>
      <c r="J748" s="1" t="str">
        <f aca="false">_xlfn.CONCAT("с",F748," ",D748,"/",E748,IF(G748=0,"","-" &amp; G748))</f>
        <v>с3350 ОК-1.1/5б</v>
      </c>
    </row>
    <row r="749" customFormat="false" ht="12.8" hidden="false" customHeight="false" outlineLevel="0" collapsed="false">
      <c r="A749" s="1" t="s">
        <v>9</v>
      </c>
      <c r="B749" s="1" t="n">
        <v>29</v>
      </c>
      <c r="C749" s="1" t="n">
        <v>18</v>
      </c>
      <c r="D749" s="1" t="s">
        <v>201</v>
      </c>
      <c r="E749" s="1" t="s">
        <v>206</v>
      </c>
      <c r="F749" s="1" t="n">
        <v>3350</v>
      </c>
      <c r="G749" s="4" t="n">
        <v>0</v>
      </c>
      <c r="H749" s="1" t="s">
        <v>395</v>
      </c>
      <c r="I749" s="4" t="n">
        <v>1</v>
      </c>
      <c r="J749" s="1" t="str">
        <f aca="false">_xlfn.CONCAT("с",F749," ",D749,"/",E749,IF(G749=0,"","-" &amp; G749))</f>
        <v>с3350 5б/Тип 10</v>
      </c>
    </row>
    <row r="750" customFormat="false" ht="12.8" hidden="false" customHeight="false" outlineLevel="0" collapsed="false">
      <c r="A750" s="1" t="s">
        <v>9</v>
      </c>
      <c r="B750" s="1" t="n">
        <v>29</v>
      </c>
      <c r="C750" s="1" t="n">
        <v>19</v>
      </c>
      <c r="D750" s="1" t="s">
        <v>206</v>
      </c>
      <c r="E750" s="1" t="s">
        <v>213</v>
      </c>
      <c r="F750" s="1" t="n">
        <v>3350</v>
      </c>
      <c r="G750" s="4" t="n">
        <v>0</v>
      </c>
      <c r="H750" s="1" t="s">
        <v>391</v>
      </c>
      <c r="I750" s="4" t="n">
        <v>1</v>
      </c>
      <c r="J750" s="1" t="str">
        <f aca="false">_xlfn.CONCAT("с",F750," ",D750,"/",E750,IF(G750=0,"","-" &amp; G750))</f>
        <v>с3350 Тип 10/ОК-1.1</v>
      </c>
    </row>
    <row r="751" customFormat="false" ht="12.8" hidden="false" customHeight="false" outlineLevel="0" collapsed="false">
      <c r="A751" s="1" t="s">
        <v>9</v>
      </c>
      <c r="B751" s="1" t="n">
        <v>29</v>
      </c>
      <c r="C751" s="1" t="n">
        <v>20</v>
      </c>
      <c r="D751" s="1" t="s">
        <v>213</v>
      </c>
      <c r="E751" s="1" t="s">
        <v>199</v>
      </c>
      <c r="F751" s="1" t="n">
        <v>3350</v>
      </c>
      <c r="G751" s="4" t="n">
        <v>0</v>
      </c>
      <c r="H751" s="1" t="s">
        <v>392</v>
      </c>
      <c r="I751" s="4" t="n">
        <v>1</v>
      </c>
      <c r="J751" s="1" t="str">
        <f aca="false">_xlfn.CONCAT("с",F751," ",D751,"/",E751,IF(G751=0,"","-" &amp; G751))</f>
        <v>с3350 ОК-1.1/3б</v>
      </c>
    </row>
    <row r="752" customFormat="false" ht="12.8" hidden="false" customHeight="false" outlineLevel="0" collapsed="false">
      <c r="A752" s="1" t="s">
        <v>9</v>
      </c>
      <c r="B752" s="1" t="n">
        <v>29</v>
      </c>
      <c r="C752" s="1" t="n">
        <v>21</v>
      </c>
      <c r="D752" s="1" t="s">
        <v>199</v>
      </c>
      <c r="E752" s="1" t="s">
        <v>206</v>
      </c>
      <c r="F752" s="1" t="n">
        <v>3350</v>
      </c>
      <c r="G752" s="4" t="n">
        <v>0</v>
      </c>
      <c r="H752" s="1" t="s">
        <v>393</v>
      </c>
      <c r="I752" s="4" t="n">
        <v>1</v>
      </c>
      <c r="J752" s="1" t="str">
        <f aca="false">_xlfn.CONCAT("с",F752," ",D752,"/",E752,IF(G752=0,"","-" &amp; G752))</f>
        <v>с3350 3б/Тип 10</v>
      </c>
    </row>
    <row r="753" customFormat="false" ht="12.8" hidden="false" customHeight="false" outlineLevel="0" collapsed="false">
      <c r="A753" s="1" t="s">
        <v>9</v>
      </c>
      <c r="B753" s="1" t="n">
        <v>29</v>
      </c>
      <c r="C753" s="1" t="n">
        <v>22</v>
      </c>
      <c r="D753" s="1" t="s">
        <v>206</v>
      </c>
      <c r="E753" s="1" t="s">
        <v>213</v>
      </c>
      <c r="F753" s="1" t="n">
        <v>3350</v>
      </c>
      <c r="G753" s="4" t="n">
        <v>0</v>
      </c>
      <c r="H753" s="1" t="s">
        <v>391</v>
      </c>
      <c r="I753" s="4" t="n">
        <v>1</v>
      </c>
      <c r="J753" s="1" t="str">
        <f aca="false">_xlfn.CONCAT("с",F753," ",D753,"/",E753,IF(G753=0,"","-" &amp; G753))</f>
        <v>с3350 Тип 10/ОК-1.1</v>
      </c>
    </row>
    <row r="754" customFormat="false" ht="12.8" hidden="false" customHeight="false" outlineLevel="0" collapsed="false">
      <c r="A754" s="1" t="s">
        <v>9</v>
      </c>
      <c r="B754" s="1" t="n">
        <v>29</v>
      </c>
      <c r="C754" s="1" t="n">
        <v>23</v>
      </c>
      <c r="D754" s="1" t="s">
        <v>213</v>
      </c>
      <c r="E754" s="1" t="s">
        <v>201</v>
      </c>
      <c r="F754" s="1" t="n">
        <v>3350</v>
      </c>
      <c r="G754" s="4" t="n">
        <v>0</v>
      </c>
      <c r="H754" s="1" t="s">
        <v>394</v>
      </c>
      <c r="I754" s="4" t="n">
        <v>1</v>
      </c>
      <c r="J754" s="1" t="str">
        <f aca="false">_xlfn.CONCAT("с",F754," ",D754,"/",E754,IF(G754=0,"","-" &amp; G754))</f>
        <v>с3350 ОК-1.1/5б</v>
      </c>
    </row>
    <row r="755" customFormat="false" ht="12.8" hidden="false" customHeight="false" outlineLevel="0" collapsed="false">
      <c r="A755" s="1" t="s">
        <v>9</v>
      </c>
      <c r="B755" s="1" t="n">
        <v>29</v>
      </c>
      <c r="C755" s="1" t="n">
        <v>24</v>
      </c>
      <c r="D755" s="1" t="s">
        <v>201</v>
      </c>
      <c r="E755" s="1" t="s">
        <v>206</v>
      </c>
      <c r="F755" s="1" t="n">
        <v>3350</v>
      </c>
      <c r="G755" s="4" t="n">
        <v>0</v>
      </c>
      <c r="H755" s="1" t="s">
        <v>395</v>
      </c>
      <c r="I755" s="4" t="n">
        <v>1</v>
      </c>
      <c r="J755" s="1" t="str">
        <f aca="false">_xlfn.CONCAT("с",F755," ",D755,"/",E755,IF(G755=0,"","-" &amp; G755))</f>
        <v>с3350 5б/Тип 10</v>
      </c>
    </row>
    <row r="756" customFormat="false" ht="12.8" hidden="false" customHeight="false" outlineLevel="0" collapsed="false">
      <c r="A756" s="1" t="s">
        <v>9</v>
      </c>
      <c r="B756" s="1" t="n">
        <v>29</v>
      </c>
      <c r="C756" s="1" t="n">
        <v>25</v>
      </c>
      <c r="D756" s="1" t="s">
        <v>206</v>
      </c>
      <c r="E756" s="1" t="s">
        <v>213</v>
      </c>
      <c r="F756" s="1" t="n">
        <v>3350</v>
      </c>
      <c r="G756" s="4" t="n">
        <v>0</v>
      </c>
      <c r="H756" s="1" t="s">
        <v>391</v>
      </c>
      <c r="I756" s="4" t="n">
        <v>1</v>
      </c>
      <c r="J756" s="1" t="str">
        <f aca="false">_xlfn.CONCAT("с",F756," ",D756,"/",E756,IF(G756=0,"","-" &amp; G756))</f>
        <v>с3350 Тип 10/ОК-1.1</v>
      </c>
    </row>
    <row r="757" customFormat="false" ht="12.8" hidden="false" customHeight="false" outlineLevel="0" collapsed="false">
      <c r="A757" s="1" t="s">
        <v>9</v>
      </c>
      <c r="B757" s="1" t="n">
        <v>29</v>
      </c>
      <c r="C757" s="1" t="n">
        <v>26</v>
      </c>
      <c r="D757" s="1" t="s">
        <v>213</v>
      </c>
      <c r="E757" s="1" t="s">
        <v>201</v>
      </c>
      <c r="F757" s="1" t="n">
        <v>3350</v>
      </c>
      <c r="G757" s="4" t="n">
        <v>0</v>
      </c>
      <c r="H757" s="1" t="s">
        <v>394</v>
      </c>
      <c r="I757" s="4" t="n">
        <v>1</v>
      </c>
      <c r="J757" s="1" t="str">
        <f aca="false">_xlfn.CONCAT("с",F757," ",D757,"/",E757,IF(G757=0,"","-" &amp; G757))</f>
        <v>с3350 ОК-1.1/5б</v>
      </c>
    </row>
    <row r="758" customFormat="false" ht="12.8" hidden="false" customHeight="false" outlineLevel="0" collapsed="false">
      <c r="A758" s="1" t="s">
        <v>9</v>
      </c>
      <c r="B758" s="1" t="n">
        <v>29</v>
      </c>
      <c r="C758" s="1" t="n">
        <v>27</v>
      </c>
      <c r="D758" s="1" t="s">
        <v>201</v>
      </c>
      <c r="E758" s="1" t="s">
        <v>206</v>
      </c>
      <c r="F758" s="1" t="n">
        <v>3350</v>
      </c>
      <c r="G758" s="4" t="n">
        <v>0</v>
      </c>
      <c r="H758" s="1" t="s">
        <v>395</v>
      </c>
      <c r="I758" s="4" t="n">
        <v>1</v>
      </c>
      <c r="J758" s="1" t="str">
        <f aca="false">_xlfn.CONCAT("с",F758," ",D758,"/",E758,IF(G758=0,"","-" &amp; G758))</f>
        <v>с3350 5б/Тип 10</v>
      </c>
    </row>
    <row r="759" customFormat="false" ht="12.8" hidden="false" customHeight="false" outlineLevel="0" collapsed="false">
      <c r="A759" s="1" t="s">
        <v>9</v>
      </c>
      <c r="B759" s="1" t="n">
        <v>29</v>
      </c>
      <c r="C759" s="1" t="n">
        <v>28</v>
      </c>
      <c r="D759" s="1" t="s">
        <v>206</v>
      </c>
      <c r="E759" s="1" t="s">
        <v>213</v>
      </c>
      <c r="F759" s="1" t="n">
        <v>3350</v>
      </c>
      <c r="G759" s="4" t="n">
        <v>0</v>
      </c>
      <c r="H759" s="1" t="s">
        <v>391</v>
      </c>
      <c r="I759" s="4" t="n">
        <v>1</v>
      </c>
      <c r="J759" s="1" t="str">
        <f aca="false">_xlfn.CONCAT("с",F759," ",D759,"/",E759,IF(G759=0,"","-" &amp; G759))</f>
        <v>с3350 Тип 10/ОК-1.1</v>
      </c>
    </row>
    <row r="760" customFormat="false" ht="12.8" hidden="false" customHeight="false" outlineLevel="0" collapsed="false">
      <c r="A760" s="1" t="s">
        <v>9</v>
      </c>
      <c r="B760" s="1" t="n">
        <v>29</v>
      </c>
      <c r="C760" s="1" t="n">
        <v>29</v>
      </c>
      <c r="D760" s="1" t="s">
        <v>213</v>
      </c>
      <c r="E760" s="1" t="s">
        <v>201</v>
      </c>
      <c r="F760" s="1" t="n">
        <v>3350</v>
      </c>
      <c r="G760" s="4" t="n">
        <v>0</v>
      </c>
      <c r="H760" s="1" t="s">
        <v>394</v>
      </c>
      <c r="I760" s="4" t="n">
        <v>1</v>
      </c>
      <c r="J760" s="1" t="str">
        <f aca="false">_xlfn.CONCAT("с",F760," ",D760,"/",E760,IF(G760=0,"","-" &amp; G760))</f>
        <v>с3350 ОК-1.1/5б</v>
      </c>
    </row>
    <row r="761" customFormat="false" ht="12.8" hidden="false" customHeight="false" outlineLevel="0" collapsed="false">
      <c r="A761" s="1" t="s">
        <v>9</v>
      </c>
      <c r="B761" s="1" t="n">
        <v>29</v>
      </c>
      <c r="C761" s="1" t="n">
        <v>30</v>
      </c>
      <c r="D761" s="1" t="s">
        <v>201</v>
      </c>
      <c r="E761" s="1" t="s">
        <v>206</v>
      </c>
      <c r="F761" s="1" t="n">
        <v>3350</v>
      </c>
      <c r="G761" s="4" t="n">
        <v>0</v>
      </c>
      <c r="H761" s="1" t="s">
        <v>395</v>
      </c>
      <c r="I761" s="4" t="n">
        <v>1</v>
      </c>
      <c r="J761" s="1" t="str">
        <f aca="false">_xlfn.CONCAT("с",F761," ",D761,"/",E761,IF(G761=0,"","-" &amp; G761))</f>
        <v>с3350 5б/Тип 10</v>
      </c>
    </row>
    <row r="762" customFormat="false" ht="12.8" hidden="false" customHeight="false" outlineLevel="0" collapsed="false">
      <c r="A762" s="1" t="s">
        <v>9</v>
      </c>
      <c r="B762" s="1" t="n">
        <v>29</v>
      </c>
      <c r="C762" s="1" t="n">
        <v>31</v>
      </c>
      <c r="D762" s="1" t="s">
        <v>206</v>
      </c>
      <c r="E762" s="1" t="s">
        <v>213</v>
      </c>
      <c r="F762" s="1" t="n">
        <v>3350</v>
      </c>
      <c r="G762" s="4" t="n">
        <v>0</v>
      </c>
      <c r="H762" s="1" t="s">
        <v>391</v>
      </c>
      <c r="I762" s="4" t="n">
        <v>1</v>
      </c>
      <c r="J762" s="1" t="str">
        <f aca="false">_xlfn.CONCAT("с",F762," ",D762,"/",E762,IF(G762=0,"","-" &amp; G762))</f>
        <v>с3350 Тип 10/ОК-1.1</v>
      </c>
    </row>
    <row r="763" customFormat="false" ht="12.8" hidden="false" customHeight="false" outlineLevel="0" collapsed="false">
      <c r="A763" s="1" t="s">
        <v>9</v>
      </c>
      <c r="B763" s="1" t="n">
        <v>29</v>
      </c>
      <c r="C763" s="1" t="n">
        <v>32</v>
      </c>
      <c r="D763" s="1" t="s">
        <v>213</v>
      </c>
      <c r="E763" s="1" t="s">
        <v>199</v>
      </c>
      <c r="F763" s="1" t="n">
        <v>3350</v>
      </c>
      <c r="G763" s="4" t="n">
        <v>0</v>
      </c>
      <c r="H763" s="1" t="s">
        <v>392</v>
      </c>
      <c r="I763" s="4" t="n">
        <v>1</v>
      </c>
      <c r="J763" s="1" t="str">
        <f aca="false">_xlfn.CONCAT("с",F763," ",D763,"/",E763,IF(G763=0,"","-" &amp; G763))</f>
        <v>с3350 ОК-1.1/3б</v>
      </c>
    </row>
    <row r="764" customFormat="false" ht="12.8" hidden="false" customHeight="false" outlineLevel="0" collapsed="false">
      <c r="A764" s="1" t="s">
        <v>9</v>
      </c>
      <c r="B764" s="1" t="n">
        <v>29</v>
      </c>
      <c r="C764" s="1" t="n">
        <v>33</v>
      </c>
      <c r="D764" s="1" t="s">
        <v>199</v>
      </c>
      <c r="E764" s="1" t="s">
        <v>206</v>
      </c>
      <c r="F764" s="1" t="n">
        <v>3350</v>
      </c>
      <c r="G764" s="4" t="n">
        <v>0</v>
      </c>
      <c r="H764" s="1" t="s">
        <v>393</v>
      </c>
      <c r="I764" s="4" t="n">
        <v>1</v>
      </c>
      <c r="J764" s="1" t="str">
        <f aca="false">_xlfn.CONCAT("с",F764," ",D764,"/",E764,IF(G764=0,"","-" &amp; G764))</f>
        <v>с3350 3б/Тип 10</v>
      </c>
    </row>
    <row r="765" customFormat="false" ht="12.8" hidden="false" customHeight="false" outlineLevel="0" collapsed="false">
      <c r="A765" s="1" t="s">
        <v>9</v>
      </c>
      <c r="B765" s="1" t="n">
        <v>29</v>
      </c>
      <c r="C765" s="1" t="n">
        <v>34</v>
      </c>
      <c r="D765" s="1" t="s">
        <v>206</v>
      </c>
      <c r="E765" s="1" t="s">
        <v>213</v>
      </c>
      <c r="F765" s="1" t="n">
        <v>3350</v>
      </c>
      <c r="G765" s="4" t="n">
        <v>0</v>
      </c>
      <c r="H765" s="1" t="s">
        <v>391</v>
      </c>
      <c r="I765" s="4" t="n">
        <v>1</v>
      </c>
      <c r="J765" s="1" t="str">
        <f aca="false">_xlfn.CONCAT("с",F765," ",D765,"/",E765,IF(G765=0,"","-" &amp; G765))</f>
        <v>с3350 Тип 10/ОК-1.1</v>
      </c>
    </row>
    <row r="766" customFormat="false" ht="12.8" hidden="false" customHeight="false" outlineLevel="0" collapsed="false">
      <c r="A766" s="1" t="s">
        <v>9</v>
      </c>
      <c r="B766" s="1" t="n">
        <v>29</v>
      </c>
      <c r="C766" s="1" t="n">
        <v>35</v>
      </c>
      <c r="D766" s="1" t="s">
        <v>213</v>
      </c>
      <c r="E766" s="1" t="s">
        <v>201</v>
      </c>
      <c r="F766" s="1" t="n">
        <v>3350</v>
      </c>
      <c r="G766" s="4" t="n">
        <v>1</v>
      </c>
      <c r="H766" s="1" t="s">
        <v>440</v>
      </c>
      <c r="I766" s="4" t="n">
        <v>1</v>
      </c>
      <c r="J766" s="1" t="str">
        <f aca="false">_xlfn.CONCAT("с",F766," ",D766,"/",E766,IF(G766=0,"","-" &amp; G766))</f>
        <v>с3350 ОК-1.1/5б-1</v>
      </c>
    </row>
    <row r="767" customFormat="false" ht="12.8" hidden="false" customHeight="false" outlineLevel="0" collapsed="false">
      <c r="A767" s="1" t="s">
        <v>9</v>
      </c>
      <c r="B767" s="1" t="n">
        <v>29</v>
      </c>
      <c r="C767" s="1" t="n">
        <v>36</v>
      </c>
      <c r="F767" s="1" t="n">
        <v>3350</v>
      </c>
      <c r="G767" s="4" t="n">
        <v>0</v>
      </c>
      <c r="H767" s="1" t="s">
        <v>360</v>
      </c>
      <c r="I767" s="4" t="n">
        <v>1</v>
      </c>
      <c r="J767" s="1" t="str">
        <f aca="false">_xlfn.CONCAT("с",F767," ",D767,"/",E767,IF(G767=0,"","-" &amp; G767))</f>
        <v>с3350 /</v>
      </c>
    </row>
    <row r="768" customFormat="false" ht="12.8" hidden="false" customHeight="false" outlineLevel="0" collapsed="false">
      <c r="A768" s="1" t="s">
        <v>9</v>
      </c>
      <c r="B768" s="1" t="n">
        <v>30</v>
      </c>
      <c r="C768" s="1" t="n">
        <v>1</v>
      </c>
      <c r="F768" s="1" t="n">
        <v>3350</v>
      </c>
      <c r="G768" s="4" t="n">
        <v>0</v>
      </c>
      <c r="H768" s="1" t="s">
        <v>360</v>
      </c>
      <c r="I768" s="4" t="n">
        <v>1</v>
      </c>
      <c r="J768" s="1" t="str">
        <f aca="false">_xlfn.CONCAT("с",F768," ",D768,"/",E768,IF(G768=0,"","-" &amp; G768))</f>
        <v>с3350 /</v>
      </c>
    </row>
    <row r="769" customFormat="false" ht="12.8" hidden="false" customHeight="false" outlineLevel="0" collapsed="false">
      <c r="A769" s="1" t="s">
        <v>9</v>
      </c>
      <c r="B769" s="1" t="n">
        <v>30</v>
      </c>
      <c r="C769" s="1" t="n">
        <v>2</v>
      </c>
      <c r="D769" s="1" t="s">
        <v>201</v>
      </c>
      <c r="E769" s="1" t="s">
        <v>213</v>
      </c>
      <c r="F769" s="1" t="n">
        <v>3350</v>
      </c>
      <c r="G769" s="4" t="n">
        <v>0</v>
      </c>
      <c r="H769" s="1" t="s">
        <v>389</v>
      </c>
      <c r="I769" s="4" t="n">
        <v>1</v>
      </c>
      <c r="J769" s="1" t="str">
        <f aca="false">_xlfn.CONCAT("с",F769," ",D769,"/",E769,IF(G769=0,"","-" &amp; G769))</f>
        <v>с3350 5б/ОК-1.1</v>
      </c>
    </row>
    <row r="770" customFormat="false" ht="12.8" hidden="false" customHeight="false" outlineLevel="0" collapsed="false">
      <c r="A770" s="1" t="s">
        <v>9</v>
      </c>
      <c r="B770" s="1" t="n">
        <v>30</v>
      </c>
      <c r="C770" s="1" t="n">
        <v>3</v>
      </c>
      <c r="D770" s="1" t="s">
        <v>213</v>
      </c>
      <c r="E770" s="1" t="s">
        <v>206</v>
      </c>
      <c r="F770" s="1" t="n">
        <v>3350</v>
      </c>
      <c r="G770" s="4" t="n">
        <v>0</v>
      </c>
      <c r="H770" s="1" t="s">
        <v>390</v>
      </c>
      <c r="I770" s="4" t="n">
        <v>1</v>
      </c>
      <c r="J770" s="1" t="str">
        <f aca="false">_xlfn.CONCAT("с",F770," ",D770,"/",E770,IF(G770=0,"","-" &amp; G770))</f>
        <v>с3350 ОК-1.1/Тип 10</v>
      </c>
    </row>
    <row r="771" customFormat="false" ht="12.8" hidden="false" customHeight="false" outlineLevel="0" collapsed="false">
      <c r="A771" s="1" t="s">
        <v>9</v>
      </c>
      <c r="B771" s="1" t="n">
        <v>30</v>
      </c>
      <c r="C771" s="1" t="n">
        <v>4</v>
      </c>
      <c r="D771" s="1" t="s">
        <v>206</v>
      </c>
      <c r="E771" s="1" t="s">
        <v>201</v>
      </c>
      <c r="F771" s="1" t="n">
        <v>3350</v>
      </c>
      <c r="G771" s="4" t="n">
        <v>0</v>
      </c>
      <c r="H771" s="1" t="s">
        <v>400</v>
      </c>
      <c r="I771" s="4" t="n">
        <v>1</v>
      </c>
      <c r="J771" s="1" t="str">
        <f aca="false">_xlfn.CONCAT("с",F771," ",D771,"/",E771,IF(G771=0,"","-" &amp; G771))</f>
        <v>с3350 Тип 10/5б</v>
      </c>
    </row>
    <row r="772" customFormat="false" ht="12.8" hidden="false" customHeight="false" outlineLevel="0" collapsed="false">
      <c r="A772" s="1" t="s">
        <v>9</v>
      </c>
      <c r="B772" s="1" t="n">
        <v>30</v>
      </c>
      <c r="C772" s="1" t="n">
        <v>5</v>
      </c>
      <c r="D772" s="1" t="s">
        <v>201</v>
      </c>
      <c r="E772" s="1" t="s">
        <v>213</v>
      </c>
      <c r="F772" s="1" t="n">
        <v>3350</v>
      </c>
      <c r="G772" s="4" t="n">
        <v>1</v>
      </c>
      <c r="H772" s="1" t="s">
        <v>404</v>
      </c>
      <c r="I772" s="4" t="n">
        <v>1</v>
      </c>
      <c r="J772" s="1" t="str">
        <f aca="false">_xlfn.CONCAT("с",F772," ",D772,"/",E772,IF(G772=0,"","-" &amp; G772))</f>
        <v>с3350 5б/ОК-1.1-1</v>
      </c>
    </row>
    <row r="773" customFormat="false" ht="12.8" hidden="false" customHeight="false" outlineLevel="0" collapsed="false">
      <c r="A773" s="1" t="s">
        <v>9</v>
      </c>
      <c r="B773" s="1" t="n">
        <v>30</v>
      </c>
      <c r="C773" s="1" t="n">
        <v>6</v>
      </c>
      <c r="D773" s="1" t="s">
        <v>213</v>
      </c>
      <c r="E773" s="1" t="s">
        <v>206</v>
      </c>
      <c r="F773" s="1" t="n">
        <v>3350</v>
      </c>
      <c r="G773" s="4" t="n">
        <v>0</v>
      </c>
      <c r="H773" s="1" t="s">
        <v>390</v>
      </c>
      <c r="I773" s="4" t="n">
        <v>1</v>
      </c>
      <c r="J773" s="1" t="str">
        <f aca="false">_xlfn.CONCAT("с",F773," ",D773,"/",E773,IF(G773=0,"","-" &amp; G773))</f>
        <v>с3350 ОК-1.1/Тип 10</v>
      </c>
    </row>
    <row r="774" customFormat="false" ht="12.8" hidden="false" customHeight="false" outlineLevel="0" collapsed="false">
      <c r="A774" s="1" t="s">
        <v>9</v>
      </c>
      <c r="B774" s="1" t="n">
        <v>30</v>
      </c>
      <c r="C774" s="1" t="n">
        <v>7</v>
      </c>
      <c r="D774" s="1" t="s">
        <v>206</v>
      </c>
      <c r="E774" s="1" t="s">
        <v>201</v>
      </c>
      <c r="F774" s="1" t="n">
        <v>3350</v>
      </c>
      <c r="G774" s="4" t="n">
        <v>0</v>
      </c>
      <c r="H774" s="1" t="s">
        <v>400</v>
      </c>
      <c r="I774" s="4" t="n">
        <v>1</v>
      </c>
      <c r="J774" s="1" t="str">
        <f aca="false">_xlfn.CONCAT("с",F774," ",D774,"/",E774,IF(G774=0,"","-" &amp; G774))</f>
        <v>с3350 Тип 10/5б</v>
      </c>
    </row>
    <row r="775" customFormat="false" ht="12.8" hidden="false" customHeight="false" outlineLevel="0" collapsed="false">
      <c r="A775" s="1" t="s">
        <v>9</v>
      </c>
      <c r="B775" s="1" t="n">
        <v>30</v>
      </c>
      <c r="C775" s="1" t="n">
        <v>8</v>
      </c>
      <c r="D775" s="1" t="s">
        <v>201</v>
      </c>
      <c r="E775" s="1" t="s">
        <v>213</v>
      </c>
      <c r="F775" s="1" t="n">
        <v>3350</v>
      </c>
      <c r="G775" s="4" t="n">
        <v>1</v>
      </c>
      <c r="H775" s="1" t="s">
        <v>404</v>
      </c>
      <c r="I775" s="4" t="n">
        <v>1</v>
      </c>
      <c r="J775" s="1" t="str">
        <f aca="false">_xlfn.CONCAT("с",F775," ",D775,"/",E775,IF(G775=0,"","-" &amp; G775))</f>
        <v>с3350 5б/ОК-1.1-1</v>
      </c>
    </row>
    <row r="776" customFormat="false" ht="12.8" hidden="false" customHeight="false" outlineLevel="0" collapsed="false">
      <c r="A776" s="1" t="s">
        <v>9</v>
      </c>
      <c r="B776" s="1" t="n">
        <v>30</v>
      </c>
      <c r="C776" s="1" t="n">
        <v>9</v>
      </c>
      <c r="D776" s="1" t="s">
        <v>213</v>
      </c>
      <c r="E776" s="1" t="s">
        <v>206</v>
      </c>
      <c r="F776" s="1" t="n">
        <v>3350</v>
      </c>
      <c r="G776" s="4" t="n">
        <v>0</v>
      </c>
      <c r="H776" s="1" t="s">
        <v>390</v>
      </c>
      <c r="I776" s="4" t="n">
        <v>1</v>
      </c>
      <c r="J776" s="1" t="str">
        <f aca="false">_xlfn.CONCAT("с",F776," ",D776,"/",E776,IF(G776=0,"","-" &amp; G776))</f>
        <v>с3350 ОК-1.1/Тип 10</v>
      </c>
    </row>
    <row r="777" customFormat="false" ht="12.8" hidden="false" customHeight="false" outlineLevel="0" collapsed="false">
      <c r="A777" s="1" t="s">
        <v>9</v>
      </c>
      <c r="B777" s="1" t="n">
        <v>30</v>
      </c>
      <c r="C777" s="1" t="n">
        <v>10</v>
      </c>
      <c r="D777" s="1" t="s">
        <v>206</v>
      </c>
      <c r="E777" s="1" t="s">
        <v>201</v>
      </c>
      <c r="F777" s="1" t="n">
        <v>3350</v>
      </c>
      <c r="G777" s="4" t="n">
        <v>0</v>
      </c>
      <c r="H777" s="1" t="s">
        <v>400</v>
      </c>
      <c r="I777" s="4" t="n">
        <v>1</v>
      </c>
      <c r="J777" s="1" t="str">
        <f aca="false">_xlfn.CONCAT("с",F777," ",D777,"/",E777,IF(G777=0,"","-" &amp; G777))</f>
        <v>с3350 Тип 10/5б</v>
      </c>
    </row>
    <row r="778" customFormat="false" ht="12.8" hidden="false" customHeight="false" outlineLevel="0" collapsed="false">
      <c r="A778" s="1" t="s">
        <v>9</v>
      </c>
      <c r="B778" s="1" t="n">
        <v>30</v>
      </c>
      <c r="C778" s="1" t="n">
        <v>11</v>
      </c>
      <c r="D778" s="1" t="s">
        <v>201</v>
      </c>
      <c r="E778" s="1" t="s">
        <v>213</v>
      </c>
      <c r="F778" s="1" t="n">
        <v>3350</v>
      </c>
      <c r="G778" s="4" t="n">
        <v>1</v>
      </c>
      <c r="H778" s="1" t="s">
        <v>404</v>
      </c>
      <c r="I778" s="4" t="n">
        <v>1</v>
      </c>
      <c r="J778" s="1" t="str">
        <f aca="false">_xlfn.CONCAT("с",F778," ",D778,"/",E778,IF(G778=0,"","-" &amp; G778))</f>
        <v>с3350 5б/ОК-1.1-1</v>
      </c>
    </row>
    <row r="779" customFormat="false" ht="12.8" hidden="false" customHeight="false" outlineLevel="0" collapsed="false">
      <c r="A779" s="1" t="s">
        <v>9</v>
      </c>
      <c r="B779" s="1" t="n">
        <v>30</v>
      </c>
      <c r="C779" s="1" t="n">
        <v>12</v>
      </c>
      <c r="D779" s="1" t="s">
        <v>213</v>
      </c>
      <c r="E779" s="1" t="s">
        <v>206</v>
      </c>
      <c r="F779" s="1" t="n">
        <v>3350</v>
      </c>
      <c r="G779" s="4" t="n">
        <v>0</v>
      </c>
      <c r="H779" s="1" t="s">
        <v>390</v>
      </c>
      <c r="I779" s="4" t="n">
        <v>1</v>
      </c>
      <c r="J779" s="1" t="str">
        <f aca="false">_xlfn.CONCAT("с",F779," ",D779,"/",E779,IF(G779=0,"","-" &amp; G779))</f>
        <v>с3350 ОК-1.1/Тип 10</v>
      </c>
    </row>
    <row r="780" customFormat="false" ht="12.8" hidden="false" customHeight="false" outlineLevel="0" collapsed="false">
      <c r="A780" s="1" t="s">
        <v>9</v>
      </c>
      <c r="B780" s="1" t="n">
        <v>30</v>
      </c>
      <c r="C780" s="1" t="n">
        <v>13</v>
      </c>
      <c r="D780" s="1" t="s">
        <v>206</v>
      </c>
      <c r="E780" s="1" t="s">
        <v>201</v>
      </c>
      <c r="F780" s="1" t="n">
        <v>3350</v>
      </c>
      <c r="G780" s="4" t="n">
        <v>0</v>
      </c>
      <c r="H780" s="1" t="s">
        <v>400</v>
      </c>
      <c r="I780" s="4" t="n">
        <v>1</v>
      </c>
      <c r="J780" s="1" t="str">
        <f aca="false">_xlfn.CONCAT("с",F780," ",D780,"/",E780,IF(G780=0,"","-" &amp; G780))</f>
        <v>с3350 Тип 10/5б</v>
      </c>
    </row>
    <row r="781" customFormat="false" ht="12.8" hidden="false" customHeight="false" outlineLevel="0" collapsed="false">
      <c r="A781" s="1" t="s">
        <v>9</v>
      </c>
      <c r="B781" s="1" t="n">
        <v>30</v>
      </c>
      <c r="C781" s="1" t="n">
        <v>14</v>
      </c>
      <c r="D781" s="1" t="s">
        <v>201</v>
      </c>
      <c r="E781" s="1" t="s">
        <v>213</v>
      </c>
      <c r="F781" s="1" t="n">
        <v>3350</v>
      </c>
      <c r="G781" s="4" t="n">
        <v>1</v>
      </c>
      <c r="H781" s="1" t="s">
        <v>404</v>
      </c>
      <c r="I781" s="4" t="n">
        <v>1</v>
      </c>
      <c r="J781" s="1" t="str">
        <f aca="false">_xlfn.CONCAT("с",F781," ",D781,"/",E781,IF(G781=0,"","-" &amp; G781))</f>
        <v>с3350 5б/ОК-1.1-1</v>
      </c>
    </row>
    <row r="782" customFormat="false" ht="12.8" hidden="false" customHeight="false" outlineLevel="0" collapsed="false">
      <c r="A782" s="1" t="s">
        <v>9</v>
      </c>
      <c r="B782" s="1" t="n">
        <v>30</v>
      </c>
      <c r="C782" s="1" t="n">
        <v>15</v>
      </c>
      <c r="D782" s="1" t="s">
        <v>213</v>
      </c>
      <c r="E782" s="1" t="s">
        <v>206</v>
      </c>
      <c r="F782" s="1" t="n">
        <v>3350</v>
      </c>
      <c r="G782" s="4" t="n">
        <v>0</v>
      </c>
      <c r="H782" s="1" t="s">
        <v>390</v>
      </c>
      <c r="I782" s="4" t="n">
        <v>1</v>
      </c>
      <c r="J782" s="1" t="str">
        <f aca="false">_xlfn.CONCAT("с",F782," ",D782,"/",E782,IF(G782=0,"","-" &amp; G782))</f>
        <v>с3350 ОК-1.1/Тип 10</v>
      </c>
    </row>
    <row r="783" customFormat="false" ht="12.8" hidden="false" customHeight="false" outlineLevel="0" collapsed="false">
      <c r="A783" s="1" t="s">
        <v>9</v>
      </c>
      <c r="B783" s="1" t="n">
        <v>30</v>
      </c>
      <c r="C783" s="1" t="n">
        <v>16</v>
      </c>
      <c r="D783" s="1" t="s">
        <v>206</v>
      </c>
      <c r="E783" s="1" t="s">
        <v>201</v>
      </c>
      <c r="F783" s="1" t="n">
        <v>3350</v>
      </c>
      <c r="G783" s="4" t="n">
        <v>0</v>
      </c>
      <c r="H783" s="1" t="s">
        <v>400</v>
      </c>
      <c r="I783" s="4" t="n">
        <v>1</v>
      </c>
      <c r="J783" s="1" t="str">
        <f aca="false">_xlfn.CONCAT("с",F783," ",D783,"/",E783,IF(G783=0,"","-" &amp; G783))</f>
        <v>с3350 Тип 10/5б</v>
      </c>
    </row>
    <row r="784" customFormat="false" ht="12.8" hidden="false" customHeight="false" outlineLevel="0" collapsed="false">
      <c r="A784" s="1" t="s">
        <v>9</v>
      </c>
      <c r="B784" s="1" t="n">
        <v>30</v>
      </c>
      <c r="C784" s="1" t="n">
        <v>17</v>
      </c>
      <c r="D784" s="1" t="s">
        <v>201</v>
      </c>
      <c r="E784" s="1" t="s">
        <v>213</v>
      </c>
      <c r="F784" s="1" t="n">
        <v>3350</v>
      </c>
      <c r="G784" s="4" t="n">
        <v>1</v>
      </c>
      <c r="H784" s="1" t="s">
        <v>404</v>
      </c>
      <c r="I784" s="4" t="n">
        <v>1</v>
      </c>
      <c r="J784" s="1" t="str">
        <f aca="false">_xlfn.CONCAT("с",F784," ",D784,"/",E784,IF(G784=0,"","-" &amp; G784))</f>
        <v>с3350 5б/ОК-1.1-1</v>
      </c>
    </row>
    <row r="785" customFormat="false" ht="12.8" hidden="false" customHeight="false" outlineLevel="0" collapsed="false">
      <c r="A785" s="1" t="s">
        <v>9</v>
      </c>
      <c r="B785" s="1" t="n">
        <v>30</v>
      </c>
      <c r="C785" s="1" t="n">
        <v>18</v>
      </c>
      <c r="D785" s="1" t="s">
        <v>213</v>
      </c>
      <c r="E785" s="1" t="s">
        <v>206</v>
      </c>
      <c r="F785" s="1" t="n">
        <v>3350</v>
      </c>
      <c r="G785" s="4" t="n">
        <v>0</v>
      </c>
      <c r="H785" s="1" t="s">
        <v>390</v>
      </c>
      <c r="I785" s="4" t="n">
        <v>1</v>
      </c>
      <c r="J785" s="1" t="str">
        <f aca="false">_xlfn.CONCAT("с",F785," ",D785,"/",E785,IF(G785=0,"","-" &amp; G785))</f>
        <v>с3350 ОК-1.1/Тип 10</v>
      </c>
    </row>
    <row r="786" customFormat="false" ht="12.8" hidden="false" customHeight="false" outlineLevel="0" collapsed="false">
      <c r="A786" s="1" t="s">
        <v>9</v>
      </c>
      <c r="B786" s="1" t="n">
        <v>30</v>
      </c>
      <c r="C786" s="1" t="n">
        <v>19</v>
      </c>
      <c r="D786" s="1" t="s">
        <v>206</v>
      </c>
      <c r="E786" s="1" t="s">
        <v>199</v>
      </c>
      <c r="F786" s="1" t="n">
        <v>3350</v>
      </c>
      <c r="G786" s="4" t="n">
        <v>0</v>
      </c>
      <c r="H786" s="1" t="s">
        <v>402</v>
      </c>
      <c r="I786" s="4" t="n">
        <v>1</v>
      </c>
      <c r="J786" s="1" t="str">
        <f aca="false">_xlfn.CONCAT("с",F786," ",D786,"/",E786,IF(G786=0,"","-" &amp; G786))</f>
        <v>с3350 Тип 10/3б</v>
      </c>
    </row>
    <row r="787" customFormat="false" ht="12.8" hidden="false" customHeight="false" outlineLevel="0" collapsed="false">
      <c r="A787" s="1" t="s">
        <v>9</v>
      </c>
      <c r="B787" s="1" t="n">
        <v>30</v>
      </c>
      <c r="C787" s="1" t="n">
        <v>20</v>
      </c>
      <c r="D787" s="1" t="s">
        <v>199</v>
      </c>
      <c r="E787" s="1" t="s">
        <v>213</v>
      </c>
      <c r="F787" s="1" t="n">
        <v>3350</v>
      </c>
      <c r="G787" s="4" t="n">
        <v>0</v>
      </c>
      <c r="H787" s="1" t="s">
        <v>403</v>
      </c>
      <c r="I787" s="4" t="n">
        <v>1</v>
      </c>
      <c r="J787" s="1" t="str">
        <f aca="false">_xlfn.CONCAT("с",F787," ",D787,"/",E787,IF(G787=0,"","-" &amp; G787))</f>
        <v>с3350 3б/ОК-1.1</v>
      </c>
    </row>
    <row r="788" customFormat="false" ht="12.8" hidden="false" customHeight="false" outlineLevel="0" collapsed="false">
      <c r="A788" s="1" t="s">
        <v>9</v>
      </c>
      <c r="B788" s="1" t="n">
        <v>30</v>
      </c>
      <c r="C788" s="1" t="n">
        <v>21</v>
      </c>
      <c r="D788" s="1" t="s">
        <v>213</v>
      </c>
      <c r="E788" s="1" t="s">
        <v>206</v>
      </c>
      <c r="F788" s="1" t="n">
        <v>3350</v>
      </c>
      <c r="G788" s="4" t="n">
        <v>0</v>
      </c>
      <c r="H788" s="1" t="s">
        <v>390</v>
      </c>
      <c r="I788" s="4" t="n">
        <v>1</v>
      </c>
      <c r="J788" s="1" t="str">
        <f aca="false">_xlfn.CONCAT("с",F788," ",D788,"/",E788,IF(G788=0,"","-" &amp; G788))</f>
        <v>с3350 ОК-1.1/Тип 10</v>
      </c>
    </row>
    <row r="789" customFormat="false" ht="12.8" hidden="false" customHeight="false" outlineLevel="0" collapsed="false">
      <c r="A789" s="1" t="s">
        <v>9</v>
      </c>
      <c r="B789" s="1" t="n">
        <v>30</v>
      </c>
      <c r="C789" s="1" t="n">
        <v>22</v>
      </c>
      <c r="D789" s="1" t="s">
        <v>206</v>
      </c>
      <c r="E789" s="1" t="s">
        <v>201</v>
      </c>
      <c r="F789" s="1" t="n">
        <v>3350</v>
      </c>
      <c r="G789" s="4" t="n">
        <v>0</v>
      </c>
      <c r="H789" s="1" t="s">
        <v>400</v>
      </c>
      <c r="I789" s="4" t="n">
        <v>1</v>
      </c>
      <c r="J789" s="1" t="str">
        <f aca="false">_xlfn.CONCAT("с",F789," ",D789,"/",E789,IF(G789=0,"","-" &amp; G789))</f>
        <v>с3350 Тип 10/5б</v>
      </c>
    </row>
    <row r="790" customFormat="false" ht="12.8" hidden="false" customHeight="false" outlineLevel="0" collapsed="false">
      <c r="A790" s="1" t="s">
        <v>9</v>
      </c>
      <c r="B790" s="1" t="n">
        <v>30</v>
      </c>
      <c r="C790" s="1" t="n">
        <v>23</v>
      </c>
      <c r="D790" s="1" t="s">
        <v>201</v>
      </c>
      <c r="E790" s="1" t="s">
        <v>213</v>
      </c>
      <c r="F790" s="1" t="n">
        <v>3350</v>
      </c>
      <c r="G790" s="4" t="n">
        <v>1</v>
      </c>
      <c r="H790" s="1" t="s">
        <v>404</v>
      </c>
      <c r="I790" s="4" t="n">
        <v>1</v>
      </c>
      <c r="J790" s="1" t="str">
        <f aca="false">_xlfn.CONCAT("с",F790," ",D790,"/",E790,IF(G790=0,"","-" &amp; G790))</f>
        <v>с3350 5б/ОК-1.1-1</v>
      </c>
    </row>
    <row r="791" customFormat="false" ht="12.8" hidden="false" customHeight="false" outlineLevel="0" collapsed="false">
      <c r="A791" s="1" t="s">
        <v>9</v>
      </c>
      <c r="B791" s="1" t="n">
        <v>30</v>
      </c>
      <c r="C791" s="1" t="n">
        <v>24</v>
      </c>
      <c r="D791" s="1" t="s">
        <v>213</v>
      </c>
      <c r="E791" s="1" t="s">
        <v>206</v>
      </c>
      <c r="F791" s="1" t="n">
        <v>3350</v>
      </c>
      <c r="G791" s="4" t="n">
        <v>0</v>
      </c>
      <c r="H791" s="1" t="s">
        <v>390</v>
      </c>
      <c r="I791" s="4" t="n">
        <v>1</v>
      </c>
      <c r="J791" s="1" t="str">
        <f aca="false">_xlfn.CONCAT("с",F791," ",D791,"/",E791,IF(G791=0,"","-" &amp; G791))</f>
        <v>с3350 ОК-1.1/Тип 10</v>
      </c>
    </row>
    <row r="792" customFormat="false" ht="12.8" hidden="false" customHeight="false" outlineLevel="0" collapsed="false">
      <c r="A792" s="1" t="s">
        <v>9</v>
      </c>
      <c r="B792" s="1" t="n">
        <v>30</v>
      </c>
      <c r="C792" s="1" t="n">
        <v>25</v>
      </c>
      <c r="D792" s="1" t="s">
        <v>206</v>
      </c>
      <c r="E792" s="1" t="s">
        <v>201</v>
      </c>
      <c r="F792" s="1" t="n">
        <v>3350</v>
      </c>
      <c r="G792" s="4" t="n">
        <v>0</v>
      </c>
      <c r="H792" s="1" t="s">
        <v>400</v>
      </c>
      <c r="I792" s="4" t="n">
        <v>1</v>
      </c>
      <c r="J792" s="1" t="str">
        <f aca="false">_xlfn.CONCAT("с",F792," ",D792,"/",E792,IF(G792=0,"","-" &amp; G792))</f>
        <v>с3350 Тип 10/5б</v>
      </c>
    </row>
    <row r="793" customFormat="false" ht="12.8" hidden="false" customHeight="false" outlineLevel="0" collapsed="false">
      <c r="A793" s="1" t="s">
        <v>9</v>
      </c>
      <c r="B793" s="1" t="n">
        <v>30</v>
      </c>
      <c r="C793" s="1" t="n">
        <v>26</v>
      </c>
      <c r="D793" s="1" t="s">
        <v>201</v>
      </c>
      <c r="E793" s="1" t="s">
        <v>213</v>
      </c>
      <c r="F793" s="1" t="n">
        <v>3350</v>
      </c>
      <c r="G793" s="4" t="n">
        <v>1</v>
      </c>
      <c r="H793" s="1" t="s">
        <v>404</v>
      </c>
      <c r="I793" s="4" t="n">
        <v>1</v>
      </c>
      <c r="J793" s="1" t="str">
        <f aca="false">_xlfn.CONCAT("с",F793," ",D793,"/",E793,IF(G793=0,"","-" &amp; G793))</f>
        <v>с3350 5б/ОК-1.1-1</v>
      </c>
    </row>
    <row r="794" customFormat="false" ht="12.8" hidden="false" customHeight="false" outlineLevel="0" collapsed="false">
      <c r="A794" s="1" t="s">
        <v>9</v>
      </c>
      <c r="B794" s="1" t="n">
        <v>30</v>
      </c>
      <c r="C794" s="1" t="n">
        <v>27</v>
      </c>
      <c r="D794" s="1" t="s">
        <v>213</v>
      </c>
      <c r="E794" s="1" t="s">
        <v>206</v>
      </c>
      <c r="F794" s="1" t="n">
        <v>3350</v>
      </c>
      <c r="G794" s="4" t="n">
        <v>0</v>
      </c>
      <c r="H794" s="1" t="s">
        <v>390</v>
      </c>
      <c r="I794" s="4" t="n">
        <v>1</v>
      </c>
      <c r="J794" s="1" t="str">
        <f aca="false">_xlfn.CONCAT("с",F794," ",D794,"/",E794,IF(G794=0,"","-" &amp; G794))</f>
        <v>с3350 ОК-1.1/Тип 10</v>
      </c>
    </row>
    <row r="795" customFormat="false" ht="12.8" hidden="false" customHeight="false" outlineLevel="0" collapsed="false">
      <c r="A795" s="1" t="s">
        <v>9</v>
      </c>
      <c r="B795" s="1" t="n">
        <v>30</v>
      </c>
      <c r="C795" s="1" t="n">
        <v>28</v>
      </c>
      <c r="D795" s="1" t="s">
        <v>206</v>
      </c>
      <c r="E795" s="1" t="s">
        <v>201</v>
      </c>
      <c r="F795" s="1" t="n">
        <v>3350</v>
      </c>
      <c r="G795" s="4" t="n">
        <v>0</v>
      </c>
      <c r="H795" s="1" t="s">
        <v>400</v>
      </c>
      <c r="I795" s="4" t="n">
        <v>1</v>
      </c>
      <c r="J795" s="1" t="str">
        <f aca="false">_xlfn.CONCAT("с",F795," ",D795,"/",E795,IF(G795=0,"","-" &amp; G795))</f>
        <v>с3350 Тип 10/5б</v>
      </c>
    </row>
    <row r="796" customFormat="false" ht="12.8" hidden="false" customHeight="false" outlineLevel="0" collapsed="false">
      <c r="A796" s="1" t="s">
        <v>9</v>
      </c>
      <c r="B796" s="1" t="n">
        <v>30</v>
      </c>
      <c r="C796" s="1" t="n">
        <v>29</v>
      </c>
      <c r="D796" s="1" t="s">
        <v>201</v>
      </c>
      <c r="E796" s="1" t="s">
        <v>213</v>
      </c>
      <c r="F796" s="1" t="n">
        <v>3350</v>
      </c>
      <c r="G796" s="4" t="n">
        <v>1</v>
      </c>
      <c r="H796" s="1" t="s">
        <v>404</v>
      </c>
      <c r="I796" s="4" t="n">
        <v>1</v>
      </c>
      <c r="J796" s="1" t="str">
        <f aca="false">_xlfn.CONCAT("с",F796," ",D796,"/",E796,IF(G796=0,"","-" &amp; G796))</f>
        <v>с3350 5б/ОК-1.1-1</v>
      </c>
    </row>
    <row r="797" customFormat="false" ht="12.8" hidden="false" customHeight="false" outlineLevel="0" collapsed="false">
      <c r="A797" s="1" t="s">
        <v>9</v>
      </c>
      <c r="B797" s="1" t="n">
        <v>30</v>
      </c>
      <c r="C797" s="1" t="n">
        <v>30</v>
      </c>
      <c r="D797" s="1" t="s">
        <v>213</v>
      </c>
      <c r="E797" s="1" t="s">
        <v>206</v>
      </c>
      <c r="F797" s="1" t="n">
        <v>3350</v>
      </c>
      <c r="G797" s="4" t="n">
        <v>0</v>
      </c>
      <c r="H797" s="1" t="s">
        <v>390</v>
      </c>
      <c r="I797" s="4" t="n">
        <v>1</v>
      </c>
      <c r="J797" s="1" t="str">
        <f aca="false">_xlfn.CONCAT("с",F797," ",D797,"/",E797,IF(G797=0,"","-" &amp; G797))</f>
        <v>с3350 ОК-1.1/Тип 10</v>
      </c>
    </row>
    <row r="798" customFormat="false" ht="12.8" hidden="false" customHeight="false" outlineLevel="0" collapsed="false">
      <c r="A798" s="1" t="s">
        <v>9</v>
      </c>
      <c r="B798" s="1" t="n">
        <v>30</v>
      </c>
      <c r="C798" s="1" t="n">
        <v>31</v>
      </c>
      <c r="D798" s="1" t="s">
        <v>206</v>
      </c>
      <c r="E798" s="1" t="s">
        <v>199</v>
      </c>
      <c r="F798" s="1" t="n">
        <v>3350</v>
      </c>
      <c r="G798" s="4" t="n">
        <v>0</v>
      </c>
      <c r="H798" s="1" t="s">
        <v>402</v>
      </c>
      <c r="I798" s="4" t="n">
        <v>1</v>
      </c>
      <c r="J798" s="1" t="str">
        <f aca="false">_xlfn.CONCAT("с",F798," ",D798,"/",E798,IF(G798=0,"","-" &amp; G798))</f>
        <v>с3350 Тип 10/3б</v>
      </c>
    </row>
    <row r="799" customFormat="false" ht="12.8" hidden="false" customHeight="false" outlineLevel="0" collapsed="false">
      <c r="A799" s="1" t="s">
        <v>9</v>
      </c>
      <c r="B799" s="1" t="n">
        <v>30</v>
      </c>
      <c r="C799" s="1" t="n">
        <v>32</v>
      </c>
      <c r="D799" s="1" t="s">
        <v>199</v>
      </c>
      <c r="E799" s="1" t="s">
        <v>213</v>
      </c>
      <c r="F799" s="1" t="n">
        <v>3350</v>
      </c>
      <c r="G799" s="4" t="n">
        <v>0</v>
      </c>
      <c r="H799" s="1" t="s">
        <v>403</v>
      </c>
      <c r="I799" s="4" t="n">
        <v>1</v>
      </c>
      <c r="J799" s="1" t="str">
        <f aca="false">_xlfn.CONCAT("с",F799," ",D799,"/",E799,IF(G799=0,"","-" &amp; G799))</f>
        <v>с3350 3б/ОК-1.1</v>
      </c>
    </row>
    <row r="800" customFormat="false" ht="12.8" hidden="false" customHeight="false" outlineLevel="0" collapsed="false">
      <c r="A800" s="1" t="s">
        <v>9</v>
      </c>
      <c r="B800" s="1" t="n">
        <v>30</v>
      </c>
      <c r="C800" s="1" t="n">
        <v>33</v>
      </c>
      <c r="D800" s="1" t="s">
        <v>213</v>
      </c>
      <c r="E800" s="1" t="s">
        <v>206</v>
      </c>
      <c r="F800" s="1" t="n">
        <v>3350</v>
      </c>
      <c r="G800" s="4" t="n">
        <v>0</v>
      </c>
      <c r="H800" s="1" t="s">
        <v>390</v>
      </c>
      <c r="I800" s="4" t="n">
        <v>1</v>
      </c>
      <c r="J800" s="1" t="str">
        <f aca="false">_xlfn.CONCAT("с",F800," ",D800,"/",E800,IF(G800=0,"","-" &amp; G800))</f>
        <v>с3350 ОК-1.1/Тип 10</v>
      </c>
    </row>
    <row r="801" customFormat="false" ht="12.8" hidden="false" customHeight="false" outlineLevel="0" collapsed="false">
      <c r="A801" s="1" t="s">
        <v>9</v>
      </c>
      <c r="B801" s="1" t="n">
        <v>30</v>
      </c>
      <c r="C801" s="1" t="n">
        <v>34</v>
      </c>
      <c r="D801" s="1" t="s">
        <v>206</v>
      </c>
      <c r="E801" s="1" t="s">
        <v>213</v>
      </c>
      <c r="F801" s="1" t="n">
        <v>3350</v>
      </c>
      <c r="G801" s="4" t="n">
        <v>0</v>
      </c>
      <c r="H801" s="1" t="s">
        <v>391</v>
      </c>
      <c r="I801" s="4" t="n">
        <v>1</v>
      </c>
      <c r="J801" s="1" t="str">
        <f aca="false">_xlfn.CONCAT("с",F801," ",D801,"/",E801,IF(G801=0,"","-" &amp; G801))</f>
        <v>с3350 Тип 10/ОК-1.1</v>
      </c>
    </row>
    <row r="802" customFormat="false" ht="12.8" hidden="false" customHeight="false" outlineLevel="0" collapsed="false">
      <c r="A802" s="1" t="s">
        <v>9</v>
      </c>
      <c r="B802" s="1" t="n">
        <v>30</v>
      </c>
      <c r="C802" s="1" t="n">
        <v>35</v>
      </c>
      <c r="D802" s="1" t="s">
        <v>213</v>
      </c>
      <c r="E802" s="1" t="s">
        <v>201</v>
      </c>
      <c r="F802" s="1" t="n">
        <v>3350</v>
      </c>
      <c r="G802" s="4" t="n">
        <v>1</v>
      </c>
      <c r="H802" s="1" t="s">
        <v>440</v>
      </c>
      <c r="I802" s="4" t="n">
        <v>1</v>
      </c>
      <c r="J802" s="1" t="str">
        <f aca="false">_xlfn.CONCAT("с",F802," ",D802,"/",E802,IF(G802=0,"","-" &amp; G802))</f>
        <v>с3350 ОК-1.1/5б-1</v>
      </c>
    </row>
    <row r="803" customFormat="false" ht="12.8" hidden="false" customHeight="false" outlineLevel="0" collapsed="false">
      <c r="A803" s="1" t="s">
        <v>9</v>
      </c>
      <c r="B803" s="1" t="n">
        <v>30</v>
      </c>
      <c r="C803" s="1" t="n">
        <v>36</v>
      </c>
      <c r="F803" s="1" t="n">
        <v>3350</v>
      </c>
      <c r="G803" s="4" t="n">
        <v>0</v>
      </c>
      <c r="H803" s="1" t="s">
        <v>360</v>
      </c>
      <c r="I803" s="4" t="n">
        <v>1</v>
      </c>
      <c r="J803" s="1" t="str">
        <f aca="false">_xlfn.CONCAT("с",F803," ",D803,"/",E803,IF(G803=0,"","-" &amp; G803))</f>
        <v>с3350 /</v>
      </c>
    </row>
    <row r="804" customFormat="false" ht="12.8" hidden="false" customHeight="false" outlineLevel="0" collapsed="false">
      <c r="A804" s="1" t="s">
        <v>9</v>
      </c>
      <c r="B804" s="1" t="n">
        <v>39</v>
      </c>
      <c r="C804" s="1" t="n">
        <v>1</v>
      </c>
      <c r="F804" s="1" t="n">
        <v>3510</v>
      </c>
      <c r="G804" s="4" t="n">
        <v>0</v>
      </c>
      <c r="H804" s="1" t="s">
        <v>377</v>
      </c>
      <c r="I804" s="4" t="n">
        <v>1</v>
      </c>
      <c r="J804" s="1" t="str">
        <f aca="false">_xlfn.CONCAT("с",F804," ",D804,"/",E804,IF(G804=0,"","-" &amp; G804))</f>
        <v>с3510 /</v>
      </c>
    </row>
    <row r="805" customFormat="false" ht="12.8" hidden="false" customHeight="false" outlineLevel="0" collapsed="false">
      <c r="A805" s="1" t="s">
        <v>9</v>
      </c>
      <c r="B805" s="1" t="n">
        <v>39</v>
      </c>
      <c r="C805" s="1" t="n">
        <v>2</v>
      </c>
      <c r="D805" s="1" t="s">
        <v>201</v>
      </c>
      <c r="E805" s="1" t="s">
        <v>213</v>
      </c>
      <c r="F805" s="1" t="n">
        <v>3510</v>
      </c>
      <c r="G805" s="4" t="n">
        <v>0</v>
      </c>
      <c r="H805" s="1" t="s">
        <v>409</v>
      </c>
      <c r="I805" s="4" t="n">
        <v>1</v>
      </c>
      <c r="J805" s="1" t="str">
        <f aca="false">_xlfn.CONCAT("с",F805," ",D805,"/",E805,IF(G805=0,"","-" &amp; G805))</f>
        <v>с3510 5б/ОК-1.1</v>
      </c>
    </row>
    <row r="806" customFormat="false" ht="12.8" hidden="false" customHeight="false" outlineLevel="0" collapsed="false">
      <c r="A806" s="1" t="s">
        <v>9</v>
      </c>
      <c r="B806" s="1" t="n">
        <v>39</v>
      </c>
      <c r="C806" s="1" t="n">
        <v>3</v>
      </c>
      <c r="D806" s="1" t="s">
        <v>213</v>
      </c>
      <c r="E806" s="1" t="s">
        <v>206</v>
      </c>
      <c r="F806" s="1" t="n">
        <v>3510</v>
      </c>
      <c r="G806" s="4" t="n">
        <v>0</v>
      </c>
      <c r="H806" s="1" t="s">
        <v>410</v>
      </c>
      <c r="I806" s="4" t="n">
        <v>1</v>
      </c>
      <c r="J806" s="1" t="str">
        <f aca="false">_xlfn.CONCAT("с",F806," ",D806,"/",E806,IF(G806=0,"","-" &amp; G806))</f>
        <v>с3510 ОК-1.1/Тип 10</v>
      </c>
    </row>
    <row r="807" customFormat="false" ht="12.8" hidden="false" customHeight="false" outlineLevel="0" collapsed="false">
      <c r="A807" s="1" t="s">
        <v>9</v>
      </c>
      <c r="B807" s="1" t="n">
        <v>39</v>
      </c>
      <c r="C807" s="1" t="n">
        <v>4</v>
      </c>
      <c r="D807" s="1" t="s">
        <v>206</v>
      </c>
      <c r="E807" s="1" t="s">
        <v>213</v>
      </c>
      <c r="F807" s="1" t="n">
        <v>3510</v>
      </c>
      <c r="G807" s="4" t="n">
        <v>0</v>
      </c>
      <c r="H807" s="1" t="s">
        <v>411</v>
      </c>
      <c r="I807" s="4" t="n">
        <v>1</v>
      </c>
      <c r="J807" s="1" t="str">
        <f aca="false">_xlfn.CONCAT("с",F807," ",D807,"/",E807,IF(G807=0,"","-" &amp; G807))</f>
        <v>с3510 Тип 10/ОК-1.1</v>
      </c>
    </row>
    <row r="808" customFormat="false" ht="12.8" hidden="false" customHeight="false" outlineLevel="0" collapsed="false">
      <c r="A808" s="1" t="s">
        <v>9</v>
      </c>
      <c r="B808" s="1" t="n">
        <v>39</v>
      </c>
      <c r="C808" s="1" t="n">
        <v>5</v>
      </c>
      <c r="D808" s="1" t="s">
        <v>213</v>
      </c>
      <c r="E808" s="1" t="s">
        <v>201</v>
      </c>
      <c r="F808" s="1" t="n">
        <v>3510</v>
      </c>
      <c r="G808" s="4" t="n">
        <v>0</v>
      </c>
      <c r="H808" s="1" t="s">
        <v>414</v>
      </c>
      <c r="I808" s="4" t="n">
        <v>1</v>
      </c>
      <c r="J808" s="1" t="str">
        <f aca="false">_xlfn.CONCAT("с",F808," ",D808,"/",E808,IF(G808=0,"","-" &amp; G808))</f>
        <v>с3510 ОК-1.1/5б</v>
      </c>
    </row>
    <row r="809" customFormat="false" ht="12.8" hidden="false" customHeight="false" outlineLevel="0" collapsed="false">
      <c r="A809" s="1" t="s">
        <v>9</v>
      </c>
      <c r="B809" s="1" t="n">
        <v>39</v>
      </c>
      <c r="C809" s="1" t="n">
        <v>6</v>
      </c>
      <c r="D809" s="1" t="s">
        <v>201</v>
      </c>
      <c r="E809" s="1" t="s">
        <v>206</v>
      </c>
      <c r="F809" s="1" t="n">
        <v>3510</v>
      </c>
      <c r="G809" s="4" t="n">
        <v>0</v>
      </c>
      <c r="H809" s="1" t="s">
        <v>415</v>
      </c>
      <c r="I809" s="4" t="n">
        <v>1</v>
      </c>
      <c r="J809" s="1" t="str">
        <f aca="false">_xlfn.CONCAT("с",F809," ",D809,"/",E809,IF(G809=0,"","-" &amp; G809))</f>
        <v>с3510 5б/Тип 10</v>
      </c>
    </row>
    <row r="810" customFormat="false" ht="12.8" hidden="false" customHeight="false" outlineLevel="0" collapsed="false">
      <c r="A810" s="1" t="s">
        <v>9</v>
      </c>
      <c r="B810" s="1" t="n">
        <v>39</v>
      </c>
      <c r="C810" s="1" t="n">
        <v>7</v>
      </c>
      <c r="D810" s="1" t="s">
        <v>206</v>
      </c>
      <c r="E810" s="1" t="s">
        <v>213</v>
      </c>
      <c r="F810" s="1" t="n">
        <v>3510</v>
      </c>
      <c r="G810" s="4" t="n">
        <v>0</v>
      </c>
      <c r="H810" s="1" t="s">
        <v>411</v>
      </c>
      <c r="I810" s="4" t="n">
        <v>1</v>
      </c>
      <c r="J810" s="1" t="str">
        <f aca="false">_xlfn.CONCAT("с",F810," ",D810,"/",E810,IF(G810=0,"","-" &amp; G810))</f>
        <v>с3510 Тип 10/ОК-1.1</v>
      </c>
    </row>
    <row r="811" customFormat="false" ht="12.8" hidden="false" customHeight="false" outlineLevel="0" collapsed="false">
      <c r="A811" s="1" t="s">
        <v>9</v>
      </c>
      <c r="B811" s="1" t="n">
        <v>39</v>
      </c>
      <c r="C811" s="1" t="n">
        <v>8</v>
      </c>
      <c r="D811" s="1" t="s">
        <v>213</v>
      </c>
      <c r="E811" s="1" t="s">
        <v>201</v>
      </c>
      <c r="F811" s="1" t="n">
        <v>3510</v>
      </c>
      <c r="G811" s="4" t="n">
        <v>0</v>
      </c>
      <c r="H811" s="1" t="s">
        <v>414</v>
      </c>
      <c r="I811" s="4" t="n">
        <v>1</v>
      </c>
      <c r="J811" s="1" t="str">
        <f aca="false">_xlfn.CONCAT("с",F811," ",D811,"/",E811,IF(G811=0,"","-" &amp; G811))</f>
        <v>с3510 ОК-1.1/5б</v>
      </c>
    </row>
    <row r="812" customFormat="false" ht="12.8" hidden="false" customHeight="false" outlineLevel="0" collapsed="false">
      <c r="A812" s="1" t="s">
        <v>9</v>
      </c>
      <c r="B812" s="1" t="n">
        <v>39</v>
      </c>
      <c r="C812" s="1" t="n">
        <v>9</v>
      </c>
      <c r="D812" s="1" t="s">
        <v>201</v>
      </c>
      <c r="E812" s="1" t="s">
        <v>206</v>
      </c>
      <c r="F812" s="1" t="n">
        <v>3510</v>
      </c>
      <c r="G812" s="4" t="n">
        <v>0</v>
      </c>
      <c r="H812" s="1" t="s">
        <v>415</v>
      </c>
      <c r="I812" s="4" t="n">
        <v>1</v>
      </c>
      <c r="J812" s="1" t="str">
        <f aca="false">_xlfn.CONCAT("с",F812," ",D812,"/",E812,IF(G812=0,"","-" &amp; G812))</f>
        <v>с3510 5б/Тип 10</v>
      </c>
    </row>
    <row r="813" customFormat="false" ht="12.8" hidden="false" customHeight="false" outlineLevel="0" collapsed="false">
      <c r="A813" s="1" t="s">
        <v>9</v>
      </c>
      <c r="B813" s="1" t="n">
        <v>39</v>
      </c>
      <c r="C813" s="1" t="n">
        <v>10</v>
      </c>
      <c r="D813" s="1" t="s">
        <v>206</v>
      </c>
      <c r="E813" s="1" t="s">
        <v>213</v>
      </c>
      <c r="F813" s="1" t="n">
        <v>3510</v>
      </c>
      <c r="G813" s="4" t="n">
        <v>0</v>
      </c>
      <c r="H813" s="1" t="s">
        <v>411</v>
      </c>
      <c r="I813" s="4" t="n">
        <v>1</v>
      </c>
      <c r="J813" s="1" t="str">
        <f aca="false">_xlfn.CONCAT("с",F813," ",D813,"/",E813,IF(G813=0,"","-" &amp; G813))</f>
        <v>с3510 Тип 10/ОК-1.1</v>
      </c>
    </row>
    <row r="814" customFormat="false" ht="12.8" hidden="false" customHeight="false" outlineLevel="0" collapsed="false">
      <c r="A814" s="1" t="s">
        <v>9</v>
      </c>
      <c r="B814" s="1" t="n">
        <v>39</v>
      </c>
      <c r="C814" s="1" t="n">
        <v>11</v>
      </c>
      <c r="D814" s="1" t="s">
        <v>213</v>
      </c>
      <c r="E814" s="1" t="s">
        <v>201</v>
      </c>
      <c r="F814" s="1" t="n">
        <v>3510</v>
      </c>
      <c r="G814" s="4" t="n">
        <v>0</v>
      </c>
      <c r="H814" s="1" t="s">
        <v>414</v>
      </c>
      <c r="I814" s="4" t="n">
        <v>1</v>
      </c>
      <c r="J814" s="1" t="str">
        <f aca="false">_xlfn.CONCAT("с",F814," ",D814,"/",E814,IF(G814=0,"","-" &amp; G814))</f>
        <v>с3510 ОК-1.1/5б</v>
      </c>
    </row>
    <row r="815" customFormat="false" ht="12.8" hidden="false" customHeight="false" outlineLevel="0" collapsed="false">
      <c r="A815" s="1" t="s">
        <v>9</v>
      </c>
      <c r="B815" s="1" t="n">
        <v>39</v>
      </c>
      <c r="C815" s="1" t="n">
        <v>12</v>
      </c>
      <c r="D815" s="1" t="s">
        <v>201</v>
      </c>
      <c r="E815" s="1" t="s">
        <v>206</v>
      </c>
      <c r="F815" s="1" t="n">
        <v>3510</v>
      </c>
      <c r="G815" s="4" t="n">
        <v>0</v>
      </c>
      <c r="H815" s="1" t="s">
        <v>415</v>
      </c>
      <c r="I815" s="4" t="n">
        <v>1</v>
      </c>
      <c r="J815" s="1" t="str">
        <f aca="false">_xlfn.CONCAT("с",F815," ",D815,"/",E815,IF(G815=0,"","-" &amp; G815))</f>
        <v>с3510 5б/Тип 10</v>
      </c>
    </row>
    <row r="816" customFormat="false" ht="12.8" hidden="false" customHeight="false" outlineLevel="0" collapsed="false">
      <c r="A816" s="1" t="s">
        <v>9</v>
      </c>
      <c r="B816" s="1" t="n">
        <v>39</v>
      </c>
      <c r="C816" s="1" t="n">
        <v>13</v>
      </c>
      <c r="D816" s="1" t="s">
        <v>206</v>
      </c>
      <c r="E816" s="1" t="s">
        <v>213</v>
      </c>
      <c r="F816" s="1" t="n">
        <v>3510</v>
      </c>
      <c r="G816" s="4" t="n">
        <v>0</v>
      </c>
      <c r="H816" s="1" t="s">
        <v>411</v>
      </c>
      <c r="I816" s="4" t="n">
        <v>1</v>
      </c>
      <c r="J816" s="1" t="str">
        <f aca="false">_xlfn.CONCAT("с",F816," ",D816,"/",E816,IF(G816=0,"","-" &amp; G816))</f>
        <v>с3510 Тип 10/ОК-1.1</v>
      </c>
    </row>
    <row r="817" customFormat="false" ht="12.8" hidden="false" customHeight="false" outlineLevel="0" collapsed="false">
      <c r="A817" s="1" t="s">
        <v>9</v>
      </c>
      <c r="B817" s="1" t="n">
        <v>39</v>
      </c>
      <c r="C817" s="1" t="n">
        <v>14</v>
      </c>
      <c r="D817" s="1" t="s">
        <v>213</v>
      </c>
      <c r="E817" s="1" t="s">
        <v>201</v>
      </c>
      <c r="F817" s="1" t="n">
        <v>3510</v>
      </c>
      <c r="G817" s="4" t="n">
        <v>0</v>
      </c>
      <c r="H817" s="1" t="s">
        <v>414</v>
      </c>
      <c r="I817" s="4" t="n">
        <v>1</v>
      </c>
      <c r="J817" s="1" t="str">
        <f aca="false">_xlfn.CONCAT("с",F817," ",D817,"/",E817,IF(G817=0,"","-" &amp; G817))</f>
        <v>с3510 ОК-1.1/5б</v>
      </c>
    </row>
    <row r="818" customFormat="false" ht="12.8" hidden="false" customHeight="false" outlineLevel="0" collapsed="false">
      <c r="A818" s="1" t="s">
        <v>9</v>
      </c>
      <c r="B818" s="1" t="n">
        <v>39</v>
      </c>
      <c r="C818" s="1" t="n">
        <v>15</v>
      </c>
      <c r="D818" s="1" t="s">
        <v>201</v>
      </c>
      <c r="E818" s="1" t="s">
        <v>206</v>
      </c>
      <c r="F818" s="1" t="n">
        <v>3510</v>
      </c>
      <c r="G818" s="4" t="n">
        <v>0</v>
      </c>
      <c r="H818" s="1" t="s">
        <v>415</v>
      </c>
      <c r="I818" s="4" t="n">
        <v>1</v>
      </c>
      <c r="J818" s="1" t="str">
        <f aca="false">_xlfn.CONCAT("с",F818," ",D818,"/",E818,IF(G818=0,"","-" &amp; G818))</f>
        <v>с3510 5б/Тип 10</v>
      </c>
    </row>
    <row r="819" customFormat="false" ht="12.8" hidden="false" customHeight="false" outlineLevel="0" collapsed="false">
      <c r="A819" s="1" t="s">
        <v>9</v>
      </c>
      <c r="B819" s="1" t="n">
        <v>39</v>
      </c>
      <c r="C819" s="1" t="n">
        <v>16</v>
      </c>
      <c r="D819" s="1" t="s">
        <v>206</v>
      </c>
      <c r="E819" s="1" t="s">
        <v>213</v>
      </c>
      <c r="F819" s="1" t="n">
        <v>3510</v>
      </c>
      <c r="G819" s="4" t="n">
        <v>0</v>
      </c>
      <c r="H819" s="1" t="s">
        <v>411</v>
      </c>
      <c r="I819" s="4" t="n">
        <v>1</v>
      </c>
      <c r="J819" s="1" t="str">
        <f aca="false">_xlfn.CONCAT("с",F819," ",D819,"/",E819,IF(G819=0,"","-" &amp; G819))</f>
        <v>с3510 Тип 10/ОК-1.1</v>
      </c>
    </row>
    <row r="820" customFormat="false" ht="12.8" hidden="false" customHeight="false" outlineLevel="0" collapsed="false">
      <c r="A820" s="1" t="s">
        <v>9</v>
      </c>
      <c r="B820" s="1" t="n">
        <v>39</v>
      </c>
      <c r="C820" s="1" t="n">
        <v>17</v>
      </c>
      <c r="D820" s="1" t="s">
        <v>213</v>
      </c>
      <c r="E820" s="1" t="s">
        <v>201</v>
      </c>
      <c r="F820" s="1" t="n">
        <v>3510</v>
      </c>
      <c r="G820" s="4" t="n">
        <v>0</v>
      </c>
      <c r="H820" s="1" t="s">
        <v>414</v>
      </c>
      <c r="I820" s="4" t="n">
        <v>1</v>
      </c>
      <c r="J820" s="1" t="str">
        <f aca="false">_xlfn.CONCAT("с",F820," ",D820,"/",E820,IF(G820=0,"","-" &amp; G820))</f>
        <v>с3510 ОК-1.1/5б</v>
      </c>
    </row>
    <row r="821" customFormat="false" ht="12.8" hidden="false" customHeight="false" outlineLevel="0" collapsed="false">
      <c r="A821" s="1" t="s">
        <v>9</v>
      </c>
      <c r="B821" s="1" t="n">
        <v>39</v>
      </c>
      <c r="C821" s="1" t="n">
        <v>18</v>
      </c>
      <c r="D821" s="1" t="s">
        <v>201</v>
      </c>
      <c r="E821" s="1" t="s">
        <v>206</v>
      </c>
      <c r="F821" s="1" t="n">
        <v>3510</v>
      </c>
      <c r="G821" s="4" t="n">
        <v>0</v>
      </c>
      <c r="H821" s="1" t="s">
        <v>415</v>
      </c>
      <c r="I821" s="4" t="n">
        <v>1</v>
      </c>
      <c r="J821" s="1" t="str">
        <f aca="false">_xlfn.CONCAT("с",F821," ",D821,"/",E821,IF(G821=0,"","-" &amp; G821))</f>
        <v>с3510 5б/Тип 10</v>
      </c>
    </row>
    <row r="822" customFormat="false" ht="12.8" hidden="false" customHeight="false" outlineLevel="0" collapsed="false">
      <c r="A822" s="1" t="s">
        <v>9</v>
      </c>
      <c r="B822" s="1" t="n">
        <v>39</v>
      </c>
      <c r="C822" s="1" t="n">
        <v>19</v>
      </c>
      <c r="D822" s="1" t="s">
        <v>206</v>
      </c>
      <c r="E822" s="1" t="s">
        <v>213</v>
      </c>
      <c r="F822" s="1" t="n">
        <v>3510</v>
      </c>
      <c r="G822" s="4" t="n">
        <v>0</v>
      </c>
      <c r="H822" s="1" t="s">
        <v>411</v>
      </c>
      <c r="I822" s="4" t="n">
        <v>1</v>
      </c>
      <c r="J822" s="1" t="str">
        <f aca="false">_xlfn.CONCAT("с",F822," ",D822,"/",E822,IF(G822=0,"","-" &amp; G822))</f>
        <v>с3510 Тип 10/ОК-1.1</v>
      </c>
    </row>
    <row r="823" customFormat="false" ht="12.8" hidden="false" customHeight="false" outlineLevel="0" collapsed="false">
      <c r="A823" s="1" t="s">
        <v>9</v>
      </c>
      <c r="B823" s="1" t="n">
        <v>39</v>
      </c>
      <c r="C823" s="1" t="n">
        <v>20</v>
      </c>
      <c r="D823" s="1" t="s">
        <v>213</v>
      </c>
      <c r="E823" s="1" t="s">
        <v>199</v>
      </c>
      <c r="F823" s="1" t="n">
        <v>3510</v>
      </c>
      <c r="G823" s="4" t="n">
        <v>0</v>
      </c>
      <c r="H823" s="1" t="s">
        <v>412</v>
      </c>
      <c r="I823" s="4" t="n">
        <v>1</v>
      </c>
      <c r="J823" s="1" t="str">
        <f aca="false">_xlfn.CONCAT("с",F823," ",D823,"/",E823,IF(G823=0,"","-" &amp; G823))</f>
        <v>с3510 ОК-1.1/3б</v>
      </c>
    </row>
    <row r="824" customFormat="false" ht="12.8" hidden="false" customHeight="false" outlineLevel="0" collapsed="false">
      <c r="A824" s="1" t="s">
        <v>9</v>
      </c>
      <c r="B824" s="1" t="n">
        <v>39</v>
      </c>
      <c r="C824" s="1" t="n">
        <v>21</v>
      </c>
      <c r="D824" s="1" t="s">
        <v>199</v>
      </c>
      <c r="E824" s="1" t="s">
        <v>206</v>
      </c>
      <c r="F824" s="1" t="n">
        <v>3510</v>
      </c>
      <c r="G824" s="4" t="n">
        <v>0</v>
      </c>
      <c r="H824" s="1" t="s">
        <v>413</v>
      </c>
      <c r="I824" s="4" t="n">
        <v>1</v>
      </c>
      <c r="J824" s="1" t="str">
        <f aca="false">_xlfn.CONCAT("с",F824," ",D824,"/",E824,IF(G824=0,"","-" &amp; G824))</f>
        <v>с3510 3б/Тип 10</v>
      </c>
    </row>
    <row r="825" customFormat="false" ht="12.8" hidden="false" customHeight="false" outlineLevel="0" collapsed="false">
      <c r="A825" s="1" t="s">
        <v>9</v>
      </c>
      <c r="B825" s="1" t="n">
        <v>39</v>
      </c>
      <c r="C825" s="1" t="n">
        <v>22</v>
      </c>
      <c r="D825" s="1" t="s">
        <v>206</v>
      </c>
      <c r="E825" s="1" t="s">
        <v>213</v>
      </c>
      <c r="F825" s="1" t="n">
        <v>3510</v>
      </c>
      <c r="G825" s="4" t="n">
        <v>0</v>
      </c>
      <c r="H825" s="1" t="s">
        <v>411</v>
      </c>
      <c r="I825" s="4" t="n">
        <v>1</v>
      </c>
      <c r="J825" s="1" t="str">
        <f aca="false">_xlfn.CONCAT("с",F825," ",D825,"/",E825,IF(G825=0,"","-" &amp; G825))</f>
        <v>с3510 Тип 10/ОК-1.1</v>
      </c>
    </row>
    <row r="826" customFormat="false" ht="12.8" hidden="false" customHeight="false" outlineLevel="0" collapsed="false">
      <c r="A826" s="1" t="s">
        <v>9</v>
      </c>
      <c r="B826" s="1" t="n">
        <v>39</v>
      </c>
      <c r="C826" s="1" t="n">
        <v>23</v>
      </c>
      <c r="D826" s="1" t="s">
        <v>213</v>
      </c>
      <c r="E826" s="1" t="s">
        <v>201</v>
      </c>
      <c r="F826" s="1" t="n">
        <v>3510</v>
      </c>
      <c r="G826" s="4" t="n">
        <v>0</v>
      </c>
      <c r="H826" s="1" t="s">
        <v>414</v>
      </c>
      <c r="I826" s="4" t="n">
        <v>1</v>
      </c>
      <c r="J826" s="1" t="str">
        <f aca="false">_xlfn.CONCAT("с",F826," ",D826,"/",E826,IF(G826=0,"","-" &amp; G826))</f>
        <v>с3510 ОК-1.1/5б</v>
      </c>
    </row>
    <row r="827" customFormat="false" ht="12.8" hidden="false" customHeight="false" outlineLevel="0" collapsed="false">
      <c r="A827" s="1" t="s">
        <v>9</v>
      </c>
      <c r="B827" s="1" t="n">
        <v>39</v>
      </c>
      <c r="C827" s="1" t="n">
        <v>24</v>
      </c>
      <c r="D827" s="1" t="s">
        <v>201</v>
      </c>
      <c r="E827" s="1" t="s">
        <v>206</v>
      </c>
      <c r="F827" s="1" t="n">
        <v>3510</v>
      </c>
      <c r="G827" s="4" t="n">
        <v>0</v>
      </c>
      <c r="H827" s="1" t="s">
        <v>415</v>
      </c>
      <c r="I827" s="4" t="n">
        <v>1</v>
      </c>
      <c r="J827" s="1" t="str">
        <f aca="false">_xlfn.CONCAT("с",F827," ",D827,"/",E827,IF(G827=0,"","-" &amp; G827))</f>
        <v>с3510 5б/Тип 10</v>
      </c>
    </row>
    <row r="828" customFormat="false" ht="12.8" hidden="false" customHeight="false" outlineLevel="0" collapsed="false">
      <c r="A828" s="1" t="s">
        <v>9</v>
      </c>
      <c r="B828" s="1" t="n">
        <v>39</v>
      </c>
      <c r="C828" s="1" t="n">
        <v>25</v>
      </c>
      <c r="D828" s="1" t="s">
        <v>206</v>
      </c>
      <c r="E828" s="1" t="s">
        <v>213</v>
      </c>
      <c r="F828" s="1" t="n">
        <v>3510</v>
      </c>
      <c r="G828" s="4" t="n">
        <v>0</v>
      </c>
      <c r="H828" s="1" t="s">
        <v>411</v>
      </c>
      <c r="I828" s="4" t="n">
        <v>1</v>
      </c>
      <c r="J828" s="1" t="str">
        <f aca="false">_xlfn.CONCAT("с",F828," ",D828,"/",E828,IF(G828=0,"","-" &amp; G828))</f>
        <v>с3510 Тип 10/ОК-1.1</v>
      </c>
    </row>
    <row r="829" customFormat="false" ht="12.8" hidden="false" customHeight="false" outlineLevel="0" collapsed="false">
      <c r="A829" s="1" t="s">
        <v>9</v>
      </c>
      <c r="B829" s="1" t="n">
        <v>39</v>
      </c>
      <c r="C829" s="1" t="n">
        <v>26</v>
      </c>
      <c r="D829" s="1" t="s">
        <v>213</v>
      </c>
      <c r="E829" s="1" t="s">
        <v>201</v>
      </c>
      <c r="F829" s="1" t="n">
        <v>3510</v>
      </c>
      <c r="G829" s="4" t="n">
        <v>0</v>
      </c>
      <c r="H829" s="1" t="s">
        <v>414</v>
      </c>
      <c r="I829" s="4" t="n">
        <v>1</v>
      </c>
      <c r="J829" s="1" t="str">
        <f aca="false">_xlfn.CONCAT("с",F829," ",D829,"/",E829,IF(G829=0,"","-" &amp; G829))</f>
        <v>с3510 ОК-1.1/5б</v>
      </c>
    </row>
    <row r="830" customFormat="false" ht="12.8" hidden="false" customHeight="false" outlineLevel="0" collapsed="false">
      <c r="A830" s="1" t="s">
        <v>9</v>
      </c>
      <c r="B830" s="1" t="n">
        <v>39</v>
      </c>
      <c r="C830" s="1" t="n">
        <v>27</v>
      </c>
      <c r="D830" s="1" t="s">
        <v>201</v>
      </c>
      <c r="E830" s="1" t="s">
        <v>206</v>
      </c>
      <c r="F830" s="1" t="n">
        <v>3510</v>
      </c>
      <c r="G830" s="4" t="n">
        <v>0</v>
      </c>
      <c r="H830" s="1" t="s">
        <v>415</v>
      </c>
      <c r="I830" s="4" t="n">
        <v>1</v>
      </c>
      <c r="J830" s="1" t="str">
        <f aca="false">_xlfn.CONCAT("с",F830," ",D830,"/",E830,IF(G830=0,"","-" &amp; G830))</f>
        <v>с3510 5б/Тип 10</v>
      </c>
    </row>
    <row r="831" customFormat="false" ht="12.8" hidden="false" customHeight="false" outlineLevel="0" collapsed="false">
      <c r="A831" s="1" t="s">
        <v>9</v>
      </c>
      <c r="B831" s="1" t="n">
        <v>39</v>
      </c>
      <c r="C831" s="1" t="n">
        <v>28</v>
      </c>
      <c r="D831" s="1" t="s">
        <v>206</v>
      </c>
      <c r="E831" s="1" t="s">
        <v>213</v>
      </c>
      <c r="F831" s="1" t="n">
        <v>3510</v>
      </c>
      <c r="G831" s="4" t="n">
        <v>0</v>
      </c>
      <c r="H831" s="1" t="s">
        <v>411</v>
      </c>
      <c r="I831" s="4" t="n">
        <v>1</v>
      </c>
      <c r="J831" s="1" t="str">
        <f aca="false">_xlfn.CONCAT("с",F831," ",D831,"/",E831,IF(G831=0,"","-" &amp; G831))</f>
        <v>с3510 Тип 10/ОК-1.1</v>
      </c>
    </row>
    <row r="832" customFormat="false" ht="12.8" hidden="false" customHeight="false" outlineLevel="0" collapsed="false">
      <c r="A832" s="1" t="s">
        <v>9</v>
      </c>
      <c r="B832" s="1" t="n">
        <v>39</v>
      </c>
      <c r="C832" s="1" t="n">
        <v>29</v>
      </c>
      <c r="D832" s="1" t="s">
        <v>213</v>
      </c>
      <c r="E832" s="1" t="s">
        <v>201</v>
      </c>
      <c r="F832" s="1" t="n">
        <v>3510</v>
      </c>
      <c r="G832" s="4" t="n">
        <v>0</v>
      </c>
      <c r="H832" s="1" t="s">
        <v>414</v>
      </c>
      <c r="I832" s="4" t="n">
        <v>1</v>
      </c>
      <c r="J832" s="1" t="str">
        <f aca="false">_xlfn.CONCAT("с",F832," ",D832,"/",E832,IF(G832=0,"","-" &amp; G832))</f>
        <v>с3510 ОК-1.1/5б</v>
      </c>
    </row>
    <row r="833" customFormat="false" ht="12.8" hidden="false" customHeight="false" outlineLevel="0" collapsed="false">
      <c r="A833" s="1" t="s">
        <v>9</v>
      </c>
      <c r="B833" s="1" t="n">
        <v>39</v>
      </c>
      <c r="C833" s="1" t="n">
        <v>30</v>
      </c>
      <c r="D833" s="1" t="s">
        <v>201</v>
      </c>
      <c r="E833" s="1" t="s">
        <v>206</v>
      </c>
      <c r="F833" s="1" t="n">
        <v>3510</v>
      </c>
      <c r="G833" s="4" t="n">
        <v>0</v>
      </c>
      <c r="H833" s="1" t="s">
        <v>415</v>
      </c>
      <c r="I833" s="4" t="n">
        <v>1</v>
      </c>
      <c r="J833" s="1" t="str">
        <f aca="false">_xlfn.CONCAT("с",F833," ",D833,"/",E833,IF(G833=0,"","-" &amp; G833))</f>
        <v>с3510 5б/Тип 10</v>
      </c>
    </row>
    <row r="834" customFormat="false" ht="12.8" hidden="false" customHeight="false" outlineLevel="0" collapsed="false">
      <c r="A834" s="1" t="s">
        <v>9</v>
      </c>
      <c r="B834" s="1" t="n">
        <v>39</v>
      </c>
      <c r="C834" s="1" t="n">
        <v>31</v>
      </c>
      <c r="D834" s="1" t="s">
        <v>206</v>
      </c>
      <c r="E834" s="1" t="s">
        <v>213</v>
      </c>
      <c r="F834" s="1" t="n">
        <v>3510</v>
      </c>
      <c r="G834" s="4" t="n">
        <v>0</v>
      </c>
      <c r="H834" s="1" t="s">
        <v>411</v>
      </c>
      <c r="I834" s="4" t="n">
        <v>1</v>
      </c>
      <c r="J834" s="1" t="str">
        <f aca="false">_xlfn.CONCAT("с",F834," ",D834,"/",E834,IF(G834=0,"","-" &amp; G834))</f>
        <v>с3510 Тип 10/ОК-1.1</v>
      </c>
    </row>
    <row r="835" customFormat="false" ht="12.8" hidden="false" customHeight="false" outlineLevel="0" collapsed="false">
      <c r="A835" s="1" t="s">
        <v>9</v>
      </c>
      <c r="B835" s="1" t="n">
        <v>39</v>
      </c>
      <c r="C835" s="1" t="n">
        <v>32</v>
      </c>
      <c r="D835" s="1" t="s">
        <v>213</v>
      </c>
      <c r="E835" s="1" t="s">
        <v>199</v>
      </c>
      <c r="F835" s="1" t="n">
        <v>3510</v>
      </c>
      <c r="G835" s="4" t="n">
        <v>0</v>
      </c>
      <c r="H835" s="1" t="s">
        <v>412</v>
      </c>
      <c r="I835" s="4" t="n">
        <v>1</v>
      </c>
      <c r="J835" s="1" t="str">
        <f aca="false">_xlfn.CONCAT("с",F835," ",D835,"/",E835,IF(G835=0,"","-" &amp; G835))</f>
        <v>с3510 ОК-1.1/3б</v>
      </c>
    </row>
    <row r="836" customFormat="false" ht="12.8" hidden="false" customHeight="false" outlineLevel="0" collapsed="false">
      <c r="A836" s="1" t="s">
        <v>9</v>
      </c>
      <c r="B836" s="1" t="n">
        <v>39</v>
      </c>
      <c r="C836" s="1" t="n">
        <v>33</v>
      </c>
      <c r="D836" s="1" t="s">
        <v>199</v>
      </c>
      <c r="E836" s="1" t="s">
        <v>206</v>
      </c>
      <c r="F836" s="1" t="n">
        <v>3510</v>
      </c>
      <c r="G836" s="4" t="n">
        <v>0</v>
      </c>
      <c r="H836" s="1" t="s">
        <v>413</v>
      </c>
      <c r="I836" s="4" t="n">
        <v>1</v>
      </c>
      <c r="J836" s="1" t="str">
        <f aca="false">_xlfn.CONCAT("с",F836," ",D836,"/",E836,IF(G836=0,"","-" &amp; G836))</f>
        <v>с3510 3б/Тип 10</v>
      </c>
    </row>
    <row r="837" customFormat="false" ht="12.8" hidden="false" customHeight="false" outlineLevel="0" collapsed="false">
      <c r="A837" s="1" t="s">
        <v>9</v>
      </c>
      <c r="B837" s="1" t="n">
        <v>39</v>
      </c>
      <c r="C837" s="1" t="n">
        <v>34</v>
      </c>
      <c r="D837" s="1" t="s">
        <v>206</v>
      </c>
      <c r="E837" s="1" t="s">
        <v>213</v>
      </c>
      <c r="F837" s="1" t="n">
        <v>3510</v>
      </c>
      <c r="G837" s="4" t="n">
        <v>0</v>
      </c>
      <c r="H837" s="1" t="s">
        <v>411</v>
      </c>
      <c r="I837" s="4" t="n">
        <v>1</v>
      </c>
      <c r="J837" s="1" t="str">
        <f aca="false">_xlfn.CONCAT("с",F837," ",D837,"/",E837,IF(G837=0,"","-" &amp; G837))</f>
        <v>с3510 Тип 10/ОК-1.1</v>
      </c>
    </row>
    <row r="838" customFormat="false" ht="12.8" hidden="false" customHeight="false" outlineLevel="0" collapsed="false">
      <c r="A838" s="1" t="s">
        <v>9</v>
      </c>
      <c r="B838" s="1" t="n">
        <v>39</v>
      </c>
      <c r="C838" s="1" t="n">
        <v>35</v>
      </c>
      <c r="D838" s="1" t="s">
        <v>213</v>
      </c>
      <c r="E838" s="1" t="s">
        <v>201</v>
      </c>
      <c r="F838" s="1" t="n">
        <v>3510</v>
      </c>
      <c r="G838" s="4" t="n">
        <v>1</v>
      </c>
      <c r="H838" s="1" t="s">
        <v>441</v>
      </c>
      <c r="I838" s="4" t="n">
        <v>1</v>
      </c>
      <c r="J838" s="1" t="str">
        <f aca="false">_xlfn.CONCAT("с",F838," ",D838,"/",E838,IF(G838=0,"","-" &amp; G838))</f>
        <v>с3510 ОК-1.1/5б-1</v>
      </c>
    </row>
    <row r="839" customFormat="false" ht="12.8" hidden="false" customHeight="false" outlineLevel="0" collapsed="false">
      <c r="A839" s="1" t="s">
        <v>9</v>
      </c>
      <c r="B839" s="1" t="n">
        <v>39</v>
      </c>
      <c r="C839" s="1" t="n">
        <v>36</v>
      </c>
      <c r="F839" s="1" t="n">
        <v>3510</v>
      </c>
      <c r="G839" s="4" t="n">
        <v>0</v>
      </c>
      <c r="H839" s="1" t="s">
        <v>377</v>
      </c>
      <c r="I839" s="4" t="n">
        <v>1</v>
      </c>
      <c r="J839" s="1" t="str">
        <f aca="false">_xlfn.CONCAT("с",F839," ",D839,"/",E839,IF(G839=0,"","-" &amp; G839))</f>
        <v>с3510 /</v>
      </c>
    </row>
    <row r="840" customFormat="false" ht="12.8" hidden="false" customHeight="false" outlineLevel="0" collapsed="false">
      <c r="A840" s="1" t="s">
        <v>9</v>
      </c>
      <c r="B840" s="1" t="n">
        <v>57</v>
      </c>
      <c r="C840" s="1" t="n">
        <v>1</v>
      </c>
      <c r="F840" s="1" t="n">
        <v>3930</v>
      </c>
      <c r="G840" s="4" t="n">
        <v>0</v>
      </c>
      <c r="H840" s="1" t="s">
        <v>422</v>
      </c>
      <c r="I840" s="4" t="n">
        <v>1</v>
      </c>
      <c r="J840" s="1" t="str">
        <f aca="false">_xlfn.CONCAT("с",F840," ",D840,"/",E840,IF(G840=0,"","-" &amp; G840))</f>
        <v>с3930 /</v>
      </c>
    </row>
    <row r="841" customFormat="false" ht="12.8" hidden="false" customHeight="false" outlineLevel="0" collapsed="false">
      <c r="A841" s="1" t="s">
        <v>9</v>
      </c>
      <c r="B841" s="1" t="n">
        <v>57</v>
      </c>
      <c r="C841" s="1" t="n">
        <v>2</v>
      </c>
      <c r="D841" s="1" t="s">
        <v>201</v>
      </c>
      <c r="E841" s="1" t="s">
        <v>213</v>
      </c>
      <c r="F841" s="1" t="n">
        <v>3930</v>
      </c>
      <c r="G841" s="4" t="n">
        <v>0</v>
      </c>
      <c r="H841" s="1" t="s">
        <v>423</v>
      </c>
      <c r="I841" s="4" t="n">
        <v>1</v>
      </c>
      <c r="J841" s="1" t="str">
        <f aca="false">_xlfn.CONCAT("с",F841," ",D841,"/",E841,IF(G841=0,"","-" &amp; G841))</f>
        <v>с3930 5б/ОК-1.1</v>
      </c>
    </row>
    <row r="842" customFormat="false" ht="12.8" hidden="false" customHeight="false" outlineLevel="0" collapsed="false">
      <c r="A842" s="1" t="s">
        <v>9</v>
      </c>
      <c r="B842" s="1" t="n">
        <v>57</v>
      </c>
      <c r="C842" s="1" t="n">
        <v>3</v>
      </c>
      <c r="D842" s="1" t="s">
        <v>213</v>
      </c>
      <c r="E842" s="1" t="s">
        <v>206</v>
      </c>
      <c r="F842" s="1" t="n">
        <v>3930</v>
      </c>
      <c r="G842" s="4" t="n">
        <v>0</v>
      </c>
      <c r="H842" s="1" t="s">
        <v>424</v>
      </c>
      <c r="I842" s="4" t="n">
        <v>1</v>
      </c>
      <c r="J842" s="1" t="str">
        <f aca="false">_xlfn.CONCAT("с",F842," ",D842,"/",E842,IF(G842=0,"","-" &amp; G842))</f>
        <v>с3930 ОК-1.1/Тип 10</v>
      </c>
    </row>
    <row r="843" customFormat="false" ht="12.8" hidden="false" customHeight="false" outlineLevel="0" collapsed="false">
      <c r="A843" s="1" t="s">
        <v>9</v>
      </c>
      <c r="B843" s="1" t="n">
        <v>57</v>
      </c>
      <c r="C843" s="1" t="n">
        <v>4</v>
      </c>
      <c r="D843" s="1" t="s">
        <v>206</v>
      </c>
      <c r="E843" s="1" t="s">
        <v>213</v>
      </c>
      <c r="F843" s="1" t="n">
        <v>3930</v>
      </c>
      <c r="G843" s="4" t="n">
        <v>0</v>
      </c>
      <c r="H843" s="1" t="s">
        <v>425</v>
      </c>
      <c r="I843" s="4" t="n">
        <v>1</v>
      </c>
      <c r="J843" s="1" t="str">
        <f aca="false">_xlfn.CONCAT("с",F843," ",D843,"/",E843,IF(G843=0,"","-" &amp; G843))</f>
        <v>с3930 Тип 10/ОК-1.1</v>
      </c>
    </row>
    <row r="844" customFormat="false" ht="12.8" hidden="false" customHeight="false" outlineLevel="0" collapsed="false">
      <c r="A844" s="1" t="s">
        <v>9</v>
      </c>
      <c r="B844" s="1" t="n">
        <v>57</v>
      </c>
      <c r="C844" s="1" t="n">
        <v>5</v>
      </c>
      <c r="D844" s="1" t="s">
        <v>213</v>
      </c>
      <c r="E844" s="1" t="s">
        <v>201</v>
      </c>
      <c r="F844" s="1" t="n">
        <v>3930</v>
      </c>
      <c r="G844" s="4" t="n">
        <v>0</v>
      </c>
      <c r="H844" s="1" t="s">
        <v>428</v>
      </c>
      <c r="I844" s="4" t="n">
        <v>1</v>
      </c>
      <c r="J844" s="1" t="str">
        <f aca="false">_xlfn.CONCAT("с",F844," ",D844,"/",E844,IF(G844=0,"","-" &amp; G844))</f>
        <v>с3930 ОК-1.1/5б</v>
      </c>
    </row>
    <row r="845" customFormat="false" ht="12.8" hidden="false" customHeight="false" outlineLevel="0" collapsed="false">
      <c r="A845" s="1" t="s">
        <v>9</v>
      </c>
      <c r="B845" s="1" t="n">
        <v>57</v>
      </c>
      <c r="C845" s="1" t="n">
        <v>6</v>
      </c>
      <c r="D845" s="1" t="s">
        <v>201</v>
      </c>
      <c r="E845" s="1" t="s">
        <v>206</v>
      </c>
      <c r="F845" s="1" t="n">
        <v>3930</v>
      </c>
      <c r="G845" s="4" t="n">
        <v>0</v>
      </c>
      <c r="H845" s="1" t="s">
        <v>429</v>
      </c>
      <c r="I845" s="4" t="n">
        <v>1</v>
      </c>
      <c r="J845" s="1" t="str">
        <f aca="false">_xlfn.CONCAT("с",F845," ",D845,"/",E845,IF(G845=0,"","-" &amp; G845))</f>
        <v>с3930 5б/Тип 10</v>
      </c>
    </row>
    <row r="846" customFormat="false" ht="12.8" hidden="false" customHeight="false" outlineLevel="0" collapsed="false">
      <c r="A846" s="1" t="s">
        <v>9</v>
      </c>
      <c r="B846" s="1" t="n">
        <v>57</v>
      </c>
      <c r="C846" s="1" t="n">
        <v>7</v>
      </c>
      <c r="D846" s="1" t="s">
        <v>206</v>
      </c>
      <c r="E846" s="1" t="s">
        <v>213</v>
      </c>
      <c r="F846" s="1" t="n">
        <v>3930</v>
      </c>
      <c r="G846" s="4" t="n">
        <v>0</v>
      </c>
      <c r="H846" s="1" t="s">
        <v>425</v>
      </c>
      <c r="I846" s="4" t="n">
        <v>1</v>
      </c>
      <c r="J846" s="1" t="str">
        <f aca="false">_xlfn.CONCAT("с",F846," ",D846,"/",E846,IF(G846=0,"","-" &amp; G846))</f>
        <v>с3930 Тип 10/ОК-1.1</v>
      </c>
    </row>
    <row r="847" customFormat="false" ht="12.8" hidden="false" customHeight="false" outlineLevel="0" collapsed="false">
      <c r="A847" s="1" t="s">
        <v>9</v>
      </c>
      <c r="B847" s="1" t="n">
        <v>57</v>
      </c>
      <c r="C847" s="1" t="n">
        <v>8</v>
      </c>
      <c r="D847" s="1" t="s">
        <v>213</v>
      </c>
      <c r="E847" s="1" t="s">
        <v>201</v>
      </c>
      <c r="F847" s="1" t="n">
        <v>3930</v>
      </c>
      <c r="G847" s="4" t="n">
        <v>0</v>
      </c>
      <c r="H847" s="1" t="s">
        <v>428</v>
      </c>
      <c r="I847" s="4" t="n">
        <v>1</v>
      </c>
      <c r="J847" s="1" t="str">
        <f aca="false">_xlfn.CONCAT("с",F847," ",D847,"/",E847,IF(G847=0,"","-" &amp; G847))</f>
        <v>с3930 ОК-1.1/5б</v>
      </c>
    </row>
    <row r="848" customFormat="false" ht="12.8" hidden="false" customHeight="false" outlineLevel="0" collapsed="false">
      <c r="A848" s="1" t="s">
        <v>9</v>
      </c>
      <c r="B848" s="1" t="n">
        <v>57</v>
      </c>
      <c r="C848" s="1" t="n">
        <v>9</v>
      </c>
      <c r="D848" s="1" t="s">
        <v>201</v>
      </c>
      <c r="E848" s="1" t="s">
        <v>206</v>
      </c>
      <c r="F848" s="1" t="n">
        <v>3930</v>
      </c>
      <c r="G848" s="4" t="n">
        <v>0</v>
      </c>
      <c r="H848" s="1" t="s">
        <v>429</v>
      </c>
      <c r="I848" s="4" t="n">
        <v>1</v>
      </c>
      <c r="J848" s="1" t="str">
        <f aca="false">_xlfn.CONCAT("с",F848," ",D848,"/",E848,IF(G848=0,"","-" &amp; G848))</f>
        <v>с3930 5б/Тип 10</v>
      </c>
    </row>
    <row r="849" customFormat="false" ht="12.8" hidden="false" customHeight="false" outlineLevel="0" collapsed="false">
      <c r="A849" s="1" t="s">
        <v>9</v>
      </c>
      <c r="B849" s="1" t="n">
        <v>57</v>
      </c>
      <c r="C849" s="1" t="n">
        <v>10</v>
      </c>
      <c r="D849" s="1" t="s">
        <v>206</v>
      </c>
      <c r="E849" s="1" t="s">
        <v>213</v>
      </c>
      <c r="F849" s="1" t="n">
        <v>3930</v>
      </c>
      <c r="G849" s="4" t="n">
        <v>0</v>
      </c>
      <c r="H849" s="1" t="s">
        <v>425</v>
      </c>
      <c r="I849" s="4" t="n">
        <v>1</v>
      </c>
      <c r="J849" s="1" t="str">
        <f aca="false">_xlfn.CONCAT("с",F849," ",D849,"/",E849,IF(G849=0,"","-" &amp; G849))</f>
        <v>с3930 Тип 10/ОК-1.1</v>
      </c>
    </row>
    <row r="850" customFormat="false" ht="12.8" hidden="false" customHeight="false" outlineLevel="0" collapsed="false">
      <c r="A850" s="1" t="s">
        <v>9</v>
      </c>
      <c r="B850" s="1" t="n">
        <v>57</v>
      </c>
      <c r="C850" s="1" t="n">
        <v>11</v>
      </c>
      <c r="D850" s="1" t="s">
        <v>213</v>
      </c>
      <c r="E850" s="1" t="s">
        <v>201</v>
      </c>
      <c r="F850" s="1" t="n">
        <v>3930</v>
      </c>
      <c r="G850" s="4" t="n">
        <v>0</v>
      </c>
      <c r="H850" s="1" t="s">
        <v>428</v>
      </c>
      <c r="I850" s="4" t="n">
        <v>1</v>
      </c>
      <c r="J850" s="1" t="str">
        <f aca="false">_xlfn.CONCAT("с",F850," ",D850,"/",E850,IF(G850=0,"","-" &amp; G850))</f>
        <v>с3930 ОК-1.1/5б</v>
      </c>
    </row>
    <row r="851" customFormat="false" ht="12.8" hidden="false" customHeight="false" outlineLevel="0" collapsed="false">
      <c r="A851" s="1" t="s">
        <v>9</v>
      </c>
      <c r="B851" s="1" t="n">
        <v>57</v>
      </c>
      <c r="C851" s="1" t="n">
        <v>12</v>
      </c>
      <c r="D851" s="1" t="s">
        <v>201</v>
      </c>
      <c r="E851" s="1" t="s">
        <v>206</v>
      </c>
      <c r="F851" s="1" t="n">
        <v>3930</v>
      </c>
      <c r="G851" s="4" t="n">
        <v>0</v>
      </c>
      <c r="H851" s="1" t="s">
        <v>429</v>
      </c>
      <c r="I851" s="4" t="n">
        <v>1</v>
      </c>
      <c r="J851" s="1" t="str">
        <f aca="false">_xlfn.CONCAT("с",F851," ",D851,"/",E851,IF(G851=0,"","-" &amp; G851))</f>
        <v>с3930 5б/Тип 10</v>
      </c>
    </row>
    <row r="852" customFormat="false" ht="12.8" hidden="false" customHeight="false" outlineLevel="0" collapsed="false">
      <c r="A852" s="1" t="s">
        <v>9</v>
      </c>
      <c r="B852" s="1" t="n">
        <v>57</v>
      </c>
      <c r="C852" s="1" t="n">
        <v>13</v>
      </c>
      <c r="D852" s="1" t="s">
        <v>206</v>
      </c>
      <c r="E852" s="1" t="s">
        <v>213</v>
      </c>
      <c r="F852" s="1" t="n">
        <v>3930</v>
      </c>
      <c r="G852" s="4" t="n">
        <v>0</v>
      </c>
      <c r="H852" s="1" t="s">
        <v>425</v>
      </c>
      <c r="I852" s="4" t="n">
        <v>1</v>
      </c>
      <c r="J852" s="1" t="str">
        <f aca="false">_xlfn.CONCAT("с",F852," ",D852,"/",E852,IF(G852=0,"","-" &amp; G852))</f>
        <v>с3930 Тип 10/ОК-1.1</v>
      </c>
    </row>
    <row r="853" customFormat="false" ht="12.8" hidden="false" customHeight="false" outlineLevel="0" collapsed="false">
      <c r="A853" s="1" t="s">
        <v>9</v>
      </c>
      <c r="B853" s="1" t="n">
        <v>57</v>
      </c>
      <c r="C853" s="1" t="n">
        <v>14</v>
      </c>
      <c r="D853" s="1" t="s">
        <v>213</v>
      </c>
      <c r="E853" s="1" t="s">
        <v>201</v>
      </c>
      <c r="F853" s="1" t="n">
        <v>3930</v>
      </c>
      <c r="G853" s="4" t="n">
        <v>0</v>
      </c>
      <c r="H853" s="1" t="s">
        <v>428</v>
      </c>
      <c r="I853" s="4" t="n">
        <v>1</v>
      </c>
      <c r="J853" s="1" t="str">
        <f aca="false">_xlfn.CONCAT("с",F853," ",D853,"/",E853,IF(G853=0,"","-" &amp; G853))</f>
        <v>с3930 ОК-1.1/5б</v>
      </c>
    </row>
    <row r="854" customFormat="false" ht="12.8" hidden="false" customHeight="false" outlineLevel="0" collapsed="false">
      <c r="A854" s="1" t="s">
        <v>9</v>
      </c>
      <c r="B854" s="1" t="n">
        <v>57</v>
      </c>
      <c r="C854" s="1" t="n">
        <v>15</v>
      </c>
      <c r="D854" s="1" t="s">
        <v>201</v>
      </c>
      <c r="E854" s="1" t="s">
        <v>206</v>
      </c>
      <c r="F854" s="1" t="n">
        <v>3930</v>
      </c>
      <c r="G854" s="4" t="n">
        <v>0</v>
      </c>
      <c r="H854" s="1" t="s">
        <v>429</v>
      </c>
      <c r="I854" s="4" t="n">
        <v>1</v>
      </c>
      <c r="J854" s="1" t="str">
        <f aca="false">_xlfn.CONCAT("с",F854," ",D854,"/",E854,IF(G854=0,"","-" &amp; G854))</f>
        <v>с3930 5б/Тип 10</v>
      </c>
    </row>
    <row r="855" customFormat="false" ht="12.8" hidden="false" customHeight="false" outlineLevel="0" collapsed="false">
      <c r="A855" s="1" t="s">
        <v>9</v>
      </c>
      <c r="B855" s="1" t="n">
        <v>57</v>
      </c>
      <c r="C855" s="1" t="n">
        <v>16</v>
      </c>
      <c r="D855" s="1" t="s">
        <v>206</v>
      </c>
      <c r="E855" s="1" t="s">
        <v>213</v>
      </c>
      <c r="F855" s="1" t="n">
        <v>3930</v>
      </c>
      <c r="G855" s="4" t="n">
        <v>0</v>
      </c>
      <c r="H855" s="1" t="s">
        <v>425</v>
      </c>
      <c r="I855" s="4" t="n">
        <v>1</v>
      </c>
      <c r="J855" s="1" t="str">
        <f aca="false">_xlfn.CONCAT("с",F855," ",D855,"/",E855,IF(G855=0,"","-" &amp; G855))</f>
        <v>с3930 Тип 10/ОК-1.1</v>
      </c>
    </row>
    <row r="856" customFormat="false" ht="12.8" hidden="false" customHeight="false" outlineLevel="0" collapsed="false">
      <c r="A856" s="1" t="s">
        <v>9</v>
      </c>
      <c r="B856" s="1" t="n">
        <v>57</v>
      </c>
      <c r="C856" s="1" t="n">
        <v>17</v>
      </c>
      <c r="D856" s="1" t="s">
        <v>213</v>
      </c>
      <c r="E856" s="1" t="s">
        <v>201</v>
      </c>
      <c r="F856" s="1" t="n">
        <v>3930</v>
      </c>
      <c r="G856" s="4" t="n">
        <v>0</v>
      </c>
      <c r="H856" s="1" t="s">
        <v>428</v>
      </c>
      <c r="I856" s="4" t="n">
        <v>1</v>
      </c>
      <c r="J856" s="1" t="str">
        <f aca="false">_xlfn.CONCAT("с",F856," ",D856,"/",E856,IF(G856=0,"","-" &amp; G856))</f>
        <v>с3930 ОК-1.1/5б</v>
      </c>
    </row>
    <row r="857" customFormat="false" ht="12.8" hidden="false" customHeight="false" outlineLevel="0" collapsed="false">
      <c r="A857" s="1" t="s">
        <v>9</v>
      </c>
      <c r="B857" s="1" t="n">
        <v>57</v>
      </c>
      <c r="C857" s="1" t="n">
        <v>18</v>
      </c>
      <c r="D857" s="1" t="s">
        <v>201</v>
      </c>
      <c r="E857" s="1" t="s">
        <v>206</v>
      </c>
      <c r="F857" s="1" t="n">
        <v>3930</v>
      </c>
      <c r="G857" s="4" t="n">
        <v>0</v>
      </c>
      <c r="H857" s="1" t="s">
        <v>429</v>
      </c>
      <c r="I857" s="4" t="n">
        <v>1</v>
      </c>
      <c r="J857" s="1" t="str">
        <f aca="false">_xlfn.CONCAT("с",F857," ",D857,"/",E857,IF(G857=0,"","-" &amp; G857))</f>
        <v>с3930 5б/Тип 10</v>
      </c>
    </row>
    <row r="858" customFormat="false" ht="12.8" hidden="false" customHeight="false" outlineLevel="0" collapsed="false">
      <c r="A858" s="1" t="s">
        <v>9</v>
      </c>
      <c r="B858" s="1" t="n">
        <v>57</v>
      </c>
      <c r="C858" s="1" t="n">
        <v>19</v>
      </c>
      <c r="D858" s="1" t="s">
        <v>206</v>
      </c>
      <c r="E858" s="1" t="s">
        <v>213</v>
      </c>
      <c r="F858" s="1" t="n">
        <v>3930</v>
      </c>
      <c r="G858" s="4" t="n">
        <v>0</v>
      </c>
      <c r="H858" s="1" t="s">
        <v>425</v>
      </c>
      <c r="I858" s="4" t="n">
        <v>1</v>
      </c>
      <c r="J858" s="1" t="str">
        <f aca="false">_xlfn.CONCAT("с",F858," ",D858,"/",E858,IF(G858=0,"","-" &amp; G858))</f>
        <v>с3930 Тип 10/ОК-1.1</v>
      </c>
    </row>
    <row r="859" customFormat="false" ht="12.8" hidden="false" customHeight="false" outlineLevel="0" collapsed="false">
      <c r="A859" s="1" t="s">
        <v>9</v>
      </c>
      <c r="B859" s="1" t="n">
        <v>57</v>
      </c>
      <c r="C859" s="1" t="n">
        <v>20</v>
      </c>
      <c r="D859" s="1" t="s">
        <v>213</v>
      </c>
      <c r="E859" s="1" t="s">
        <v>199</v>
      </c>
      <c r="F859" s="1" t="n">
        <v>3930</v>
      </c>
      <c r="G859" s="4" t="n">
        <v>0</v>
      </c>
      <c r="H859" s="1" t="s">
        <v>426</v>
      </c>
      <c r="I859" s="4" t="n">
        <v>1</v>
      </c>
      <c r="J859" s="1" t="str">
        <f aca="false">_xlfn.CONCAT("с",F859," ",D859,"/",E859,IF(G859=0,"","-" &amp; G859))</f>
        <v>с3930 ОК-1.1/3б</v>
      </c>
    </row>
    <row r="860" customFormat="false" ht="12.8" hidden="false" customHeight="false" outlineLevel="0" collapsed="false">
      <c r="A860" s="1" t="s">
        <v>9</v>
      </c>
      <c r="B860" s="1" t="n">
        <v>57</v>
      </c>
      <c r="C860" s="1" t="n">
        <v>21</v>
      </c>
      <c r="D860" s="1" t="s">
        <v>199</v>
      </c>
      <c r="E860" s="1" t="s">
        <v>206</v>
      </c>
      <c r="F860" s="1" t="n">
        <v>3930</v>
      </c>
      <c r="G860" s="4" t="n">
        <v>1</v>
      </c>
      <c r="H860" s="1" t="s">
        <v>433</v>
      </c>
      <c r="I860" s="4" t="n">
        <v>1</v>
      </c>
      <c r="J860" s="1" t="str">
        <f aca="false">_xlfn.CONCAT("с",F860," ",D860,"/",E860,IF(G860=0,"","-" &amp; G860))</f>
        <v>с3930 3б/Тип 10-1</v>
      </c>
    </row>
    <row r="861" customFormat="false" ht="12.8" hidden="false" customHeight="false" outlineLevel="0" collapsed="false">
      <c r="A861" s="1" t="s">
        <v>9</v>
      </c>
      <c r="B861" s="1" t="n">
        <v>57</v>
      </c>
      <c r="C861" s="1" t="n">
        <v>22</v>
      </c>
      <c r="D861" s="1" t="s">
        <v>206</v>
      </c>
      <c r="E861" s="1" t="s">
        <v>213</v>
      </c>
      <c r="F861" s="1" t="n">
        <v>3930</v>
      </c>
      <c r="G861" s="4" t="n">
        <v>0</v>
      </c>
      <c r="H861" s="1" t="s">
        <v>425</v>
      </c>
      <c r="I861" s="4" t="n">
        <v>1</v>
      </c>
      <c r="J861" s="1" t="str">
        <f aca="false">_xlfn.CONCAT("с",F861," ",D861,"/",E861,IF(G861=0,"","-" &amp; G861))</f>
        <v>с3930 Тип 10/ОК-1.1</v>
      </c>
    </row>
    <row r="862" customFormat="false" ht="12.8" hidden="false" customHeight="false" outlineLevel="0" collapsed="false">
      <c r="A862" s="1" t="s">
        <v>9</v>
      </c>
      <c r="B862" s="1" t="n">
        <v>57</v>
      </c>
      <c r="C862" s="1" t="n">
        <v>23</v>
      </c>
      <c r="D862" s="1" t="s">
        <v>213</v>
      </c>
      <c r="E862" s="1" t="s">
        <v>201</v>
      </c>
      <c r="F862" s="1" t="n">
        <v>3930</v>
      </c>
      <c r="G862" s="4" t="n">
        <v>0</v>
      </c>
      <c r="H862" s="1" t="s">
        <v>428</v>
      </c>
      <c r="I862" s="4" t="n">
        <v>1</v>
      </c>
      <c r="J862" s="1" t="str">
        <f aca="false">_xlfn.CONCAT("с",F862," ",D862,"/",E862,IF(G862=0,"","-" &amp; G862))</f>
        <v>с3930 ОК-1.1/5б</v>
      </c>
    </row>
    <row r="863" customFormat="false" ht="12.8" hidden="false" customHeight="false" outlineLevel="0" collapsed="false">
      <c r="A863" s="1" t="s">
        <v>9</v>
      </c>
      <c r="B863" s="1" t="n">
        <v>57</v>
      </c>
      <c r="C863" s="1" t="n">
        <v>24</v>
      </c>
      <c r="D863" s="1" t="s">
        <v>201</v>
      </c>
      <c r="E863" s="1" t="s">
        <v>206</v>
      </c>
      <c r="F863" s="1" t="n">
        <v>3930</v>
      </c>
      <c r="G863" s="4" t="n">
        <v>1</v>
      </c>
      <c r="H863" s="1" t="s">
        <v>442</v>
      </c>
      <c r="I863" s="4" t="n">
        <v>1</v>
      </c>
      <c r="J863" s="1" t="str">
        <f aca="false">_xlfn.CONCAT("с",F863," ",D863,"/",E863,IF(G863=0,"","-" &amp; G863))</f>
        <v>с3930 5б/Тип 10-1</v>
      </c>
    </row>
    <row r="864" customFormat="false" ht="12.8" hidden="false" customHeight="false" outlineLevel="0" collapsed="false">
      <c r="A864" s="1" t="s">
        <v>9</v>
      </c>
      <c r="B864" s="1" t="n">
        <v>57</v>
      </c>
      <c r="C864" s="1" t="n">
        <v>25</v>
      </c>
      <c r="D864" s="1" t="s">
        <v>206</v>
      </c>
      <c r="E864" s="1" t="s">
        <v>213</v>
      </c>
      <c r="F864" s="1" t="n">
        <v>3930</v>
      </c>
      <c r="G864" s="4" t="n">
        <v>0</v>
      </c>
      <c r="H864" s="1" t="s">
        <v>425</v>
      </c>
      <c r="I864" s="4" t="n">
        <v>1</v>
      </c>
      <c r="J864" s="1" t="str">
        <f aca="false">_xlfn.CONCAT("с",F864," ",D864,"/",E864,IF(G864=0,"","-" &amp; G864))</f>
        <v>с3930 Тип 10/ОК-1.1</v>
      </c>
    </row>
    <row r="865" customFormat="false" ht="12.8" hidden="false" customHeight="false" outlineLevel="0" collapsed="false">
      <c r="A865" s="1" t="s">
        <v>9</v>
      </c>
      <c r="B865" s="1" t="n">
        <v>57</v>
      </c>
      <c r="C865" s="1" t="n">
        <v>26</v>
      </c>
      <c r="D865" s="1" t="s">
        <v>213</v>
      </c>
      <c r="E865" s="1" t="s">
        <v>201</v>
      </c>
      <c r="F865" s="1" t="n">
        <v>3930</v>
      </c>
      <c r="G865" s="4" t="n">
        <v>0</v>
      </c>
      <c r="H865" s="1" t="s">
        <v>428</v>
      </c>
      <c r="I865" s="4" t="n">
        <v>1</v>
      </c>
      <c r="J865" s="1" t="str">
        <f aca="false">_xlfn.CONCAT("с",F865," ",D865,"/",E865,IF(G865=0,"","-" &amp; G865))</f>
        <v>с3930 ОК-1.1/5б</v>
      </c>
    </row>
    <row r="866" customFormat="false" ht="12.8" hidden="false" customHeight="false" outlineLevel="0" collapsed="false">
      <c r="A866" s="1" t="s">
        <v>9</v>
      </c>
      <c r="B866" s="1" t="n">
        <v>57</v>
      </c>
      <c r="C866" s="1" t="n">
        <v>27</v>
      </c>
      <c r="D866" s="1" t="s">
        <v>201</v>
      </c>
      <c r="E866" s="1" t="s">
        <v>206</v>
      </c>
      <c r="F866" s="1" t="n">
        <v>3930</v>
      </c>
      <c r="G866" s="4" t="n">
        <v>0</v>
      </c>
      <c r="H866" s="1" t="s">
        <v>429</v>
      </c>
      <c r="I866" s="4" t="n">
        <v>1</v>
      </c>
      <c r="J866" s="1" t="str">
        <f aca="false">_xlfn.CONCAT("с",F866," ",D866,"/",E866,IF(G866=0,"","-" &amp; G866))</f>
        <v>с3930 5б/Тип 10</v>
      </c>
    </row>
    <row r="867" customFormat="false" ht="12.8" hidden="false" customHeight="false" outlineLevel="0" collapsed="false">
      <c r="A867" s="1" t="s">
        <v>9</v>
      </c>
      <c r="B867" s="1" t="n">
        <v>57</v>
      </c>
      <c r="C867" s="1" t="n">
        <v>28</v>
      </c>
      <c r="D867" s="1" t="s">
        <v>206</v>
      </c>
      <c r="E867" s="1" t="s">
        <v>213</v>
      </c>
      <c r="F867" s="1" t="n">
        <v>3930</v>
      </c>
      <c r="G867" s="4" t="n">
        <v>0</v>
      </c>
      <c r="H867" s="1" t="s">
        <v>425</v>
      </c>
      <c r="I867" s="4" t="n">
        <v>1</v>
      </c>
      <c r="J867" s="1" t="str">
        <f aca="false">_xlfn.CONCAT("с",F867," ",D867,"/",E867,IF(G867=0,"","-" &amp; G867))</f>
        <v>с3930 Тип 10/ОК-1.1</v>
      </c>
    </row>
    <row r="868" customFormat="false" ht="12.8" hidden="false" customHeight="false" outlineLevel="0" collapsed="false">
      <c r="A868" s="1" t="s">
        <v>9</v>
      </c>
      <c r="B868" s="1" t="n">
        <v>57</v>
      </c>
      <c r="C868" s="1" t="n">
        <v>29</v>
      </c>
      <c r="D868" s="1" t="s">
        <v>213</v>
      </c>
      <c r="E868" s="1" t="s">
        <v>201</v>
      </c>
      <c r="F868" s="1" t="n">
        <v>3930</v>
      </c>
      <c r="G868" s="4" t="n">
        <v>0</v>
      </c>
      <c r="H868" s="1" t="s">
        <v>428</v>
      </c>
      <c r="I868" s="4" t="n">
        <v>1</v>
      </c>
      <c r="J868" s="1" t="str">
        <f aca="false">_xlfn.CONCAT("с",F868," ",D868,"/",E868,IF(G868=0,"","-" &amp; G868))</f>
        <v>с3930 ОК-1.1/5б</v>
      </c>
    </row>
    <row r="869" customFormat="false" ht="12.8" hidden="false" customHeight="false" outlineLevel="0" collapsed="false">
      <c r="A869" s="1" t="s">
        <v>9</v>
      </c>
      <c r="B869" s="1" t="n">
        <v>57</v>
      </c>
      <c r="C869" s="1" t="n">
        <v>30</v>
      </c>
      <c r="D869" s="1" t="s">
        <v>201</v>
      </c>
      <c r="E869" s="1" t="s">
        <v>206</v>
      </c>
      <c r="F869" s="1" t="n">
        <v>3930</v>
      </c>
      <c r="G869" s="4" t="n">
        <v>0</v>
      </c>
      <c r="H869" s="1" t="s">
        <v>429</v>
      </c>
      <c r="I869" s="4" t="n">
        <v>1</v>
      </c>
      <c r="J869" s="1" t="str">
        <f aca="false">_xlfn.CONCAT("с",F869," ",D869,"/",E869,IF(G869=0,"","-" &amp; G869))</f>
        <v>с3930 5б/Тип 10</v>
      </c>
    </row>
    <row r="870" customFormat="false" ht="12.8" hidden="false" customHeight="false" outlineLevel="0" collapsed="false">
      <c r="A870" s="1" t="s">
        <v>9</v>
      </c>
      <c r="B870" s="1" t="n">
        <v>57</v>
      </c>
      <c r="C870" s="1" t="n">
        <v>31</v>
      </c>
      <c r="D870" s="1" t="s">
        <v>206</v>
      </c>
      <c r="E870" s="1" t="s">
        <v>213</v>
      </c>
      <c r="F870" s="1" t="n">
        <v>3930</v>
      </c>
      <c r="G870" s="4" t="n">
        <v>0</v>
      </c>
      <c r="H870" s="1" t="s">
        <v>425</v>
      </c>
      <c r="I870" s="4" t="n">
        <v>1</v>
      </c>
      <c r="J870" s="1" t="str">
        <f aca="false">_xlfn.CONCAT("с",F870," ",D870,"/",E870,IF(G870=0,"","-" &amp; G870))</f>
        <v>с3930 Тип 10/ОК-1.1</v>
      </c>
    </row>
    <row r="871" customFormat="false" ht="12.8" hidden="false" customHeight="false" outlineLevel="0" collapsed="false">
      <c r="A871" s="1" t="s">
        <v>9</v>
      </c>
      <c r="B871" s="1" t="n">
        <v>57</v>
      </c>
      <c r="C871" s="1" t="n">
        <v>32</v>
      </c>
      <c r="D871" s="1" t="s">
        <v>213</v>
      </c>
      <c r="E871" s="1" t="s">
        <v>199</v>
      </c>
      <c r="F871" s="1" t="n">
        <v>3930</v>
      </c>
      <c r="G871" s="4" t="n">
        <v>0</v>
      </c>
      <c r="H871" s="1" t="s">
        <v>426</v>
      </c>
      <c r="I871" s="4" t="n">
        <v>1</v>
      </c>
      <c r="J871" s="1" t="str">
        <f aca="false">_xlfn.CONCAT("с",F871," ",D871,"/",E871,IF(G871=0,"","-" &amp; G871))</f>
        <v>с3930 ОК-1.1/3б</v>
      </c>
    </row>
    <row r="872" customFormat="false" ht="12.8" hidden="false" customHeight="false" outlineLevel="0" collapsed="false">
      <c r="A872" s="1" t="s">
        <v>9</v>
      </c>
      <c r="B872" s="1" t="n">
        <v>57</v>
      </c>
      <c r="C872" s="1" t="n">
        <v>33</v>
      </c>
      <c r="D872" s="1" t="s">
        <v>199</v>
      </c>
      <c r="E872" s="1" t="s">
        <v>206</v>
      </c>
      <c r="F872" s="1" t="n">
        <v>3930</v>
      </c>
      <c r="G872" s="4" t="n">
        <v>0</v>
      </c>
      <c r="H872" s="1" t="s">
        <v>427</v>
      </c>
      <c r="I872" s="4" t="n">
        <v>1</v>
      </c>
      <c r="J872" s="1" t="str">
        <f aca="false">_xlfn.CONCAT("с",F872," ",D872,"/",E872,IF(G872=0,"","-" &amp; G872))</f>
        <v>с3930 3б/Тип 10</v>
      </c>
    </row>
    <row r="873" customFormat="false" ht="12.8" hidden="false" customHeight="false" outlineLevel="0" collapsed="false">
      <c r="A873" s="1" t="s">
        <v>9</v>
      </c>
      <c r="B873" s="1" t="n">
        <v>57</v>
      </c>
      <c r="C873" s="1" t="n">
        <v>34</v>
      </c>
      <c r="D873" s="1" t="s">
        <v>206</v>
      </c>
      <c r="E873" s="1" t="s">
        <v>213</v>
      </c>
      <c r="F873" s="1" t="n">
        <v>3930</v>
      </c>
      <c r="G873" s="4" t="n">
        <v>0</v>
      </c>
      <c r="H873" s="1" t="s">
        <v>425</v>
      </c>
      <c r="I873" s="4" t="n">
        <v>1</v>
      </c>
      <c r="J873" s="1" t="str">
        <f aca="false">_xlfn.CONCAT("с",F873," ",D873,"/",E873,IF(G873=0,"","-" &amp; G873))</f>
        <v>с3930 Тип 10/ОК-1.1</v>
      </c>
    </row>
    <row r="874" customFormat="false" ht="12.8" hidden="false" customHeight="false" outlineLevel="0" collapsed="false">
      <c r="A874" s="1" t="s">
        <v>9</v>
      </c>
      <c r="B874" s="1" t="n">
        <v>57</v>
      </c>
      <c r="C874" s="1" t="n">
        <v>35</v>
      </c>
      <c r="D874" s="1" t="s">
        <v>213</v>
      </c>
      <c r="E874" s="1" t="s">
        <v>201</v>
      </c>
      <c r="F874" s="1" t="n">
        <v>3930</v>
      </c>
      <c r="G874" s="4" t="n">
        <v>1</v>
      </c>
      <c r="H874" s="1" t="s">
        <v>443</v>
      </c>
      <c r="I874" s="4" t="n">
        <v>1</v>
      </c>
      <c r="J874" s="1" t="str">
        <f aca="false">_xlfn.CONCAT("с",F874," ",D874,"/",E874,IF(G874=0,"","-" &amp; G874))</f>
        <v>с3930 ОК-1.1/5б-1</v>
      </c>
    </row>
    <row r="875" customFormat="false" ht="12.8" hidden="false" customHeight="false" outlineLevel="0" collapsed="false">
      <c r="A875" s="1" t="s">
        <v>9</v>
      </c>
      <c r="B875" s="1" t="n">
        <v>57</v>
      </c>
      <c r="C875" s="1" t="n">
        <v>36</v>
      </c>
      <c r="F875" s="1" t="n">
        <v>3930</v>
      </c>
      <c r="G875" s="4" t="n">
        <v>0</v>
      </c>
      <c r="H875" s="1" t="s">
        <v>422</v>
      </c>
      <c r="I875" s="4" t="n">
        <v>1</v>
      </c>
      <c r="J875" s="1" t="str">
        <f aca="false">_xlfn.CONCAT("с",F875," ",D875,"/",E875,IF(G875=0,"","-" &amp; G875))</f>
        <v>с3930 /</v>
      </c>
    </row>
  </sheetData>
  <autoFilter ref="A1:J87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47"/>
    <col collapsed="false" customWidth="true" hidden="false" outlineLevel="0" max="2" min="2" style="1" width="11.12"/>
    <col collapsed="false" customWidth="true" hidden="false" outlineLevel="0" max="3" min="3" style="1" width="68.72"/>
    <col collapsed="false" customWidth="true" hidden="false" outlineLevel="0" max="8" min="8" style="1" width="20.31"/>
  </cols>
  <sheetData>
    <row r="1" customFormat="false" ht="12.8" hidden="false" customHeight="false" outlineLevel="0" collapsed="false">
      <c r="A1" s="49" t="s">
        <v>271</v>
      </c>
      <c r="B1" s="50" t="s">
        <v>269</v>
      </c>
      <c r="C1" s="50" t="s">
        <v>270</v>
      </c>
      <c r="D1" s="51" t="s">
        <v>444</v>
      </c>
    </row>
    <row r="2" customFormat="false" ht="12.8" hidden="false" customHeight="false" outlineLevel="0" collapsed="false">
      <c r="A2" s="52" t="s">
        <v>445</v>
      </c>
      <c r="B2" s="53" t="n">
        <v>0</v>
      </c>
      <c r="C2" s="53" t="s">
        <v>360</v>
      </c>
      <c r="D2" s="54" t="n">
        <v>16</v>
      </c>
    </row>
    <row r="3" customFormat="false" ht="12.8" hidden="false" customHeight="false" outlineLevel="0" collapsed="false">
      <c r="A3" s="52" t="s">
        <v>446</v>
      </c>
      <c r="B3" s="53" t="n">
        <v>0</v>
      </c>
      <c r="C3" s="53" t="s">
        <v>305</v>
      </c>
      <c r="D3" s="54" t="n">
        <v>1</v>
      </c>
    </row>
    <row r="4" customFormat="false" ht="12.8" hidden="false" customHeight="false" outlineLevel="0" collapsed="false">
      <c r="A4" s="52" t="s">
        <v>447</v>
      </c>
      <c r="B4" s="53" t="n">
        <v>0</v>
      </c>
      <c r="C4" s="53" t="s">
        <v>295</v>
      </c>
      <c r="D4" s="54" t="n">
        <v>1</v>
      </c>
    </row>
    <row r="5" customFormat="false" ht="12.8" hidden="false" customHeight="false" outlineLevel="0" collapsed="false">
      <c r="A5" s="52" t="s">
        <v>448</v>
      </c>
      <c r="B5" s="53" t="n">
        <v>0</v>
      </c>
      <c r="C5" s="53" t="s">
        <v>299</v>
      </c>
      <c r="D5" s="54" t="n">
        <v>11</v>
      </c>
    </row>
    <row r="6" customFormat="false" ht="12.8" hidden="false" customHeight="false" outlineLevel="0" collapsed="false">
      <c r="A6" s="52" t="s">
        <v>449</v>
      </c>
      <c r="B6" s="53" t="n">
        <v>0</v>
      </c>
      <c r="C6" s="53" t="s">
        <v>364</v>
      </c>
      <c r="D6" s="54" t="n">
        <v>7</v>
      </c>
    </row>
    <row r="7" customFormat="false" ht="12.8" hidden="false" customHeight="false" outlineLevel="0" collapsed="false">
      <c r="A7" s="52" t="s">
        <v>450</v>
      </c>
      <c r="B7" s="53" t="n">
        <v>0</v>
      </c>
      <c r="C7" s="53" t="s">
        <v>288</v>
      </c>
      <c r="D7" s="54" t="n">
        <v>5</v>
      </c>
    </row>
    <row r="8" customFormat="false" ht="12.8" hidden="false" customHeight="false" outlineLevel="0" collapsed="false">
      <c r="A8" s="52" t="s">
        <v>451</v>
      </c>
      <c r="B8" s="53" t="n">
        <v>0</v>
      </c>
      <c r="C8" s="53" t="s">
        <v>296</v>
      </c>
      <c r="D8" s="54" t="n">
        <v>6</v>
      </c>
    </row>
    <row r="9" customFormat="false" ht="12.8" hidden="false" customHeight="false" outlineLevel="0" collapsed="false">
      <c r="A9" s="52" t="s">
        <v>452</v>
      </c>
      <c r="B9" s="53" t="n">
        <v>0</v>
      </c>
      <c r="C9" s="53" t="s">
        <v>403</v>
      </c>
      <c r="D9" s="54" t="n">
        <v>5</v>
      </c>
    </row>
    <row r="10" customFormat="false" ht="12.8" hidden="false" customHeight="false" outlineLevel="0" collapsed="false">
      <c r="A10" s="52" t="s">
        <v>453</v>
      </c>
      <c r="B10" s="53" t="n">
        <v>0</v>
      </c>
      <c r="C10" s="53" t="s">
        <v>393</v>
      </c>
      <c r="D10" s="54" t="n">
        <v>5</v>
      </c>
    </row>
    <row r="11" customFormat="false" ht="12.8" hidden="false" customHeight="false" outlineLevel="0" collapsed="false">
      <c r="A11" s="52" t="s">
        <v>454</v>
      </c>
      <c r="B11" s="53" t="n">
        <v>0</v>
      </c>
      <c r="C11" s="53" t="s">
        <v>302</v>
      </c>
      <c r="D11" s="54" t="n">
        <v>2</v>
      </c>
    </row>
    <row r="12" customFormat="false" ht="12.8" hidden="false" customHeight="false" outlineLevel="0" collapsed="false">
      <c r="A12" s="52" t="s">
        <v>455</v>
      </c>
      <c r="B12" s="53" t="n">
        <v>0</v>
      </c>
      <c r="C12" s="53" t="s">
        <v>361</v>
      </c>
      <c r="D12" s="54" t="n">
        <v>4</v>
      </c>
    </row>
    <row r="13" customFormat="false" ht="12.8" hidden="false" customHeight="false" outlineLevel="0" collapsed="false">
      <c r="A13" s="52" t="s">
        <v>456</v>
      </c>
      <c r="B13" s="53" t="n">
        <v>0</v>
      </c>
      <c r="C13" s="53" t="s">
        <v>291</v>
      </c>
      <c r="D13" s="54" t="n">
        <v>2</v>
      </c>
    </row>
    <row r="14" customFormat="false" ht="12.8" hidden="false" customHeight="false" outlineLevel="0" collapsed="false">
      <c r="A14" s="52" t="s">
        <v>457</v>
      </c>
      <c r="B14" s="53" t="n">
        <v>0</v>
      </c>
      <c r="C14" s="53" t="s">
        <v>389</v>
      </c>
      <c r="D14" s="54" t="n">
        <v>4</v>
      </c>
    </row>
    <row r="15" customFormat="false" ht="12.8" hidden="false" customHeight="false" outlineLevel="0" collapsed="false">
      <c r="A15" s="52" t="s">
        <v>458</v>
      </c>
      <c r="B15" s="53" t="n">
        <v>0</v>
      </c>
      <c r="C15" s="53" t="s">
        <v>395</v>
      </c>
      <c r="D15" s="54" t="n">
        <v>12</v>
      </c>
    </row>
    <row r="16" customFormat="false" ht="12.8" hidden="false" customHeight="false" outlineLevel="0" collapsed="false">
      <c r="A16" s="52" t="s">
        <v>459</v>
      </c>
      <c r="B16" s="53" t="n">
        <v>0</v>
      </c>
      <c r="C16" s="53" t="s">
        <v>368</v>
      </c>
      <c r="D16" s="54" t="n">
        <v>2</v>
      </c>
    </row>
    <row r="17" customFormat="false" ht="12.8" hidden="false" customHeight="false" outlineLevel="0" collapsed="false">
      <c r="A17" s="52" t="s">
        <v>460</v>
      </c>
      <c r="B17" s="53" t="n">
        <v>0</v>
      </c>
      <c r="C17" s="53" t="s">
        <v>376</v>
      </c>
      <c r="D17" s="54" t="n">
        <v>2</v>
      </c>
    </row>
    <row r="18" customFormat="false" ht="12.8" hidden="false" customHeight="false" outlineLevel="0" collapsed="false">
      <c r="A18" s="52" t="s">
        <v>461</v>
      </c>
      <c r="B18" s="53" t="n">
        <v>0</v>
      </c>
      <c r="C18" s="53" t="s">
        <v>408</v>
      </c>
      <c r="D18" s="54" t="n">
        <v>2</v>
      </c>
    </row>
    <row r="19" customFormat="false" ht="12.8" hidden="false" customHeight="false" outlineLevel="0" collapsed="false">
      <c r="A19" s="52" t="s">
        <v>462</v>
      </c>
      <c r="B19" s="53" t="n">
        <v>0</v>
      </c>
      <c r="C19" s="53" t="s">
        <v>399</v>
      </c>
      <c r="D19" s="54" t="n">
        <v>2</v>
      </c>
    </row>
    <row r="20" customFormat="false" ht="12.8" hidden="false" customHeight="false" outlineLevel="0" collapsed="false">
      <c r="A20" s="52" t="s">
        <v>463</v>
      </c>
      <c r="B20" s="53" t="n">
        <v>0</v>
      </c>
      <c r="C20" s="53" t="s">
        <v>294</v>
      </c>
      <c r="D20" s="54" t="n">
        <v>1</v>
      </c>
    </row>
    <row r="21" customFormat="false" ht="12.8" hidden="false" customHeight="false" outlineLevel="0" collapsed="false">
      <c r="A21" s="52" t="s">
        <v>464</v>
      </c>
      <c r="B21" s="53" t="n">
        <v>0</v>
      </c>
      <c r="C21" s="53" t="s">
        <v>287</v>
      </c>
      <c r="D21" s="54" t="n">
        <v>11</v>
      </c>
    </row>
    <row r="22" customFormat="false" ht="12.8" hidden="false" customHeight="false" outlineLevel="0" collapsed="false">
      <c r="A22" s="52" t="s">
        <v>465</v>
      </c>
      <c r="B22" s="53" t="n">
        <v>0</v>
      </c>
      <c r="C22" s="53" t="s">
        <v>290</v>
      </c>
      <c r="D22" s="54" t="n">
        <v>2</v>
      </c>
    </row>
    <row r="23" customFormat="false" ht="12.8" hidden="false" customHeight="false" outlineLevel="0" collapsed="false">
      <c r="A23" s="52" t="s">
        <v>466</v>
      </c>
      <c r="B23" s="53" t="n">
        <v>0</v>
      </c>
      <c r="C23" s="53" t="s">
        <v>300</v>
      </c>
      <c r="D23" s="54" t="n">
        <v>6</v>
      </c>
    </row>
    <row r="24" customFormat="false" ht="12.8" hidden="false" customHeight="false" outlineLevel="0" collapsed="false">
      <c r="A24" s="52" t="s">
        <v>467</v>
      </c>
      <c r="B24" s="53" t="n">
        <v>0</v>
      </c>
      <c r="C24" s="53" t="s">
        <v>303</v>
      </c>
      <c r="D24" s="54" t="n">
        <v>8</v>
      </c>
    </row>
    <row r="25" customFormat="false" ht="12.8" hidden="false" customHeight="false" outlineLevel="0" collapsed="false">
      <c r="A25" s="52" t="s">
        <v>468</v>
      </c>
      <c r="B25" s="53" t="n">
        <v>0</v>
      </c>
      <c r="C25" s="53" t="s">
        <v>285</v>
      </c>
      <c r="D25" s="54" t="n">
        <v>4</v>
      </c>
    </row>
    <row r="26" customFormat="false" ht="12.8" hidden="false" customHeight="false" outlineLevel="0" collapsed="false">
      <c r="A26" s="52" t="s">
        <v>469</v>
      </c>
      <c r="B26" s="53" t="n">
        <v>0</v>
      </c>
      <c r="C26" s="53" t="s">
        <v>392</v>
      </c>
      <c r="D26" s="54" t="n">
        <v>5</v>
      </c>
    </row>
    <row r="27" customFormat="false" ht="12.8" hidden="false" customHeight="false" outlineLevel="0" collapsed="false">
      <c r="A27" s="52" t="s">
        <v>470</v>
      </c>
      <c r="B27" s="53" t="n">
        <v>0</v>
      </c>
      <c r="C27" s="53" t="s">
        <v>394</v>
      </c>
      <c r="D27" s="54" t="n">
        <v>10</v>
      </c>
    </row>
    <row r="28" customFormat="false" ht="12.8" hidden="false" customHeight="false" outlineLevel="0" collapsed="false">
      <c r="A28" s="52" t="s">
        <v>471</v>
      </c>
      <c r="B28" s="53" t="n">
        <v>0</v>
      </c>
      <c r="C28" s="53" t="s">
        <v>398</v>
      </c>
      <c r="D28" s="54" t="n">
        <v>2</v>
      </c>
    </row>
    <row r="29" customFormat="false" ht="12.8" hidden="false" customHeight="false" outlineLevel="0" collapsed="false">
      <c r="A29" s="52" t="s">
        <v>472</v>
      </c>
      <c r="B29" s="53" t="n">
        <v>0</v>
      </c>
      <c r="C29" s="53" t="s">
        <v>390</v>
      </c>
      <c r="D29" s="54" t="n">
        <v>23</v>
      </c>
    </row>
    <row r="30" customFormat="false" ht="12.8" hidden="false" customHeight="false" outlineLevel="0" collapsed="false">
      <c r="A30" s="52" t="s">
        <v>473</v>
      </c>
      <c r="B30" s="53" t="n">
        <v>0</v>
      </c>
      <c r="C30" s="53" t="s">
        <v>371</v>
      </c>
      <c r="D30" s="54" t="n">
        <v>2</v>
      </c>
    </row>
    <row r="31" customFormat="false" ht="12.8" hidden="false" customHeight="false" outlineLevel="0" collapsed="false">
      <c r="A31" s="52" t="s">
        <v>474</v>
      </c>
      <c r="B31" s="53" t="n">
        <v>0</v>
      </c>
      <c r="C31" s="53" t="s">
        <v>374</v>
      </c>
      <c r="D31" s="54" t="n">
        <v>10</v>
      </c>
    </row>
    <row r="32" customFormat="false" ht="12.8" hidden="false" customHeight="false" outlineLevel="0" collapsed="false">
      <c r="A32" s="52" t="s">
        <v>475</v>
      </c>
      <c r="B32" s="53" t="n">
        <v>0</v>
      </c>
      <c r="C32" s="53" t="s">
        <v>375</v>
      </c>
      <c r="D32" s="54" t="n">
        <v>2</v>
      </c>
    </row>
    <row r="33" customFormat="false" ht="12.8" hidden="false" customHeight="false" outlineLevel="0" collapsed="false">
      <c r="A33" s="52" t="s">
        <v>476</v>
      </c>
      <c r="B33" s="53" t="n">
        <v>0</v>
      </c>
      <c r="C33" s="53" t="s">
        <v>362</v>
      </c>
      <c r="D33" s="54" t="n">
        <v>23</v>
      </c>
    </row>
    <row r="34" customFormat="false" ht="12.8" hidden="false" customHeight="false" outlineLevel="0" collapsed="false">
      <c r="A34" s="52" t="s">
        <v>477</v>
      </c>
      <c r="B34" s="53" t="n">
        <v>0</v>
      </c>
      <c r="C34" s="53" t="s">
        <v>304</v>
      </c>
      <c r="D34" s="54" t="n">
        <v>1</v>
      </c>
    </row>
    <row r="35" customFormat="false" ht="12.8" hidden="false" customHeight="false" outlineLevel="0" collapsed="false">
      <c r="A35" s="52" t="s">
        <v>478</v>
      </c>
      <c r="B35" s="53" t="n">
        <v>0</v>
      </c>
      <c r="C35" s="53" t="s">
        <v>306</v>
      </c>
      <c r="D35" s="54" t="n">
        <v>5</v>
      </c>
    </row>
    <row r="36" customFormat="false" ht="12.8" hidden="false" customHeight="false" outlineLevel="0" collapsed="false">
      <c r="A36" s="52" t="s">
        <v>479</v>
      </c>
      <c r="B36" s="53" t="n">
        <v>0</v>
      </c>
      <c r="C36" s="53" t="s">
        <v>293</v>
      </c>
      <c r="D36" s="54" t="n">
        <v>6</v>
      </c>
    </row>
    <row r="37" customFormat="false" ht="12.8" hidden="false" customHeight="false" outlineLevel="0" collapsed="false">
      <c r="A37" s="52" t="s">
        <v>480</v>
      </c>
      <c r="B37" s="53" t="n">
        <v>0</v>
      </c>
      <c r="C37" s="53" t="s">
        <v>289</v>
      </c>
      <c r="D37" s="54" t="n">
        <v>12</v>
      </c>
    </row>
    <row r="38" customFormat="false" ht="12.8" hidden="false" customHeight="false" outlineLevel="0" collapsed="false">
      <c r="A38" s="52" t="s">
        <v>481</v>
      </c>
      <c r="B38" s="53" t="n">
        <v>0</v>
      </c>
      <c r="C38" s="53" t="s">
        <v>298</v>
      </c>
      <c r="D38" s="54" t="n">
        <v>6</v>
      </c>
    </row>
    <row r="39" customFormat="false" ht="12.8" hidden="false" customHeight="false" outlineLevel="0" collapsed="false">
      <c r="A39" s="52" t="s">
        <v>482</v>
      </c>
      <c r="B39" s="53" t="n">
        <v>0</v>
      </c>
      <c r="C39" s="53" t="s">
        <v>402</v>
      </c>
      <c r="D39" s="54" t="n">
        <v>5</v>
      </c>
    </row>
    <row r="40" customFormat="false" ht="12.8" hidden="false" customHeight="false" outlineLevel="0" collapsed="false">
      <c r="A40" s="52" t="s">
        <v>483</v>
      </c>
      <c r="B40" s="53" t="n">
        <v>0</v>
      </c>
      <c r="C40" s="53" t="s">
        <v>301</v>
      </c>
      <c r="D40" s="54" t="n">
        <v>2</v>
      </c>
    </row>
    <row r="41" customFormat="false" ht="12.8" hidden="false" customHeight="false" outlineLevel="0" collapsed="false">
      <c r="A41" s="52" t="s">
        <v>484</v>
      </c>
      <c r="B41" s="53" t="n">
        <v>0</v>
      </c>
      <c r="C41" s="53" t="s">
        <v>400</v>
      </c>
      <c r="D41" s="54" t="n">
        <v>12</v>
      </c>
    </row>
    <row r="42" customFormat="false" ht="12.8" hidden="false" customHeight="false" outlineLevel="0" collapsed="false">
      <c r="A42" s="52" t="s">
        <v>485</v>
      </c>
      <c r="B42" s="53" t="n">
        <v>0</v>
      </c>
      <c r="C42" s="53" t="s">
        <v>367</v>
      </c>
      <c r="D42" s="54" t="n">
        <v>2</v>
      </c>
    </row>
    <row r="43" customFormat="false" ht="12.8" hidden="false" customHeight="false" outlineLevel="0" collapsed="false">
      <c r="A43" s="52" t="s">
        <v>486</v>
      </c>
      <c r="B43" s="53" t="n">
        <v>0</v>
      </c>
      <c r="C43" s="53" t="s">
        <v>407</v>
      </c>
      <c r="D43" s="54" t="n">
        <v>2</v>
      </c>
    </row>
    <row r="44" customFormat="false" ht="12.8" hidden="false" customHeight="false" outlineLevel="0" collapsed="false">
      <c r="A44" s="52" t="s">
        <v>487</v>
      </c>
      <c r="B44" s="53" t="n">
        <v>0</v>
      </c>
      <c r="C44" s="53" t="s">
        <v>286</v>
      </c>
      <c r="D44" s="54" t="n">
        <v>8</v>
      </c>
    </row>
    <row r="45" customFormat="false" ht="12.8" hidden="false" customHeight="false" outlineLevel="0" collapsed="false">
      <c r="A45" s="52" t="s">
        <v>488</v>
      </c>
      <c r="B45" s="53" t="n">
        <v>0</v>
      </c>
      <c r="C45" s="53" t="s">
        <v>297</v>
      </c>
      <c r="D45" s="54" t="n">
        <v>4</v>
      </c>
    </row>
    <row r="46" customFormat="false" ht="12.8" hidden="false" customHeight="false" outlineLevel="0" collapsed="false">
      <c r="A46" s="52" t="s">
        <v>489</v>
      </c>
      <c r="B46" s="53" t="n">
        <v>0</v>
      </c>
      <c r="C46" s="53" t="s">
        <v>370</v>
      </c>
      <c r="D46" s="54" t="n">
        <v>23</v>
      </c>
    </row>
    <row r="47" customFormat="false" ht="12.8" hidden="false" customHeight="false" outlineLevel="0" collapsed="false">
      <c r="A47" s="52" t="s">
        <v>490</v>
      </c>
      <c r="B47" s="53" t="n">
        <v>0</v>
      </c>
      <c r="C47" s="53" t="s">
        <v>391</v>
      </c>
      <c r="D47" s="54" t="n">
        <v>23</v>
      </c>
    </row>
    <row r="48" customFormat="false" ht="12.8" hidden="false" customHeight="false" outlineLevel="0" collapsed="false">
      <c r="A48" s="52" t="s">
        <v>491</v>
      </c>
      <c r="B48" s="53" t="n">
        <v>0</v>
      </c>
      <c r="C48" s="53" t="s">
        <v>292</v>
      </c>
      <c r="D48" s="54" t="n">
        <v>12</v>
      </c>
    </row>
    <row r="49" customFormat="false" ht="12.8" hidden="false" customHeight="false" outlineLevel="0" collapsed="false">
      <c r="A49" s="52" t="s">
        <v>492</v>
      </c>
      <c r="B49" s="53" t="n">
        <v>0</v>
      </c>
      <c r="C49" s="53" t="s">
        <v>377</v>
      </c>
      <c r="D49" s="54" t="n">
        <v>8</v>
      </c>
    </row>
    <row r="50" customFormat="false" ht="12.8" hidden="false" customHeight="false" outlineLevel="0" collapsed="false">
      <c r="A50" s="52" t="s">
        <v>493</v>
      </c>
      <c r="B50" s="53" t="n">
        <v>0</v>
      </c>
      <c r="C50" s="53" t="s">
        <v>317</v>
      </c>
      <c r="D50" s="54" t="n">
        <v>1</v>
      </c>
    </row>
    <row r="51" customFormat="false" ht="12.8" hidden="false" customHeight="false" outlineLevel="0" collapsed="false">
      <c r="A51" s="52" t="s">
        <v>494</v>
      </c>
      <c r="B51" s="53" t="n">
        <v>0</v>
      </c>
      <c r="C51" s="53" t="s">
        <v>310</v>
      </c>
      <c r="D51" s="54" t="n">
        <v>5</v>
      </c>
    </row>
    <row r="52" customFormat="false" ht="12.8" hidden="false" customHeight="false" outlineLevel="0" collapsed="false">
      <c r="A52" s="52" t="s">
        <v>495</v>
      </c>
      <c r="B52" s="53" t="n">
        <v>0</v>
      </c>
      <c r="C52" s="53" t="s">
        <v>318</v>
      </c>
      <c r="D52" s="54" t="n">
        <v>6</v>
      </c>
    </row>
    <row r="53" customFormat="false" ht="12.8" hidden="false" customHeight="false" outlineLevel="0" collapsed="false">
      <c r="A53" s="52" t="s">
        <v>496</v>
      </c>
      <c r="B53" s="53" t="n">
        <v>0</v>
      </c>
      <c r="C53" s="53" t="s">
        <v>413</v>
      </c>
      <c r="D53" s="54" t="n">
        <v>5</v>
      </c>
    </row>
    <row r="54" customFormat="false" ht="12.8" hidden="false" customHeight="false" outlineLevel="0" collapsed="false">
      <c r="A54" s="52" t="s">
        <v>497</v>
      </c>
      <c r="B54" s="53" t="n">
        <v>0</v>
      </c>
      <c r="C54" s="53" t="s">
        <v>378</v>
      </c>
      <c r="D54" s="54" t="n">
        <v>2</v>
      </c>
    </row>
    <row r="55" customFormat="false" ht="12.8" hidden="false" customHeight="false" outlineLevel="0" collapsed="false">
      <c r="A55" s="52" t="s">
        <v>498</v>
      </c>
      <c r="B55" s="53" t="n">
        <v>0</v>
      </c>
      <c r="C55" s="53" t="s">
        <v>313</v>
      </c>
      <c r="D55" s="54" t="n">
        <v>2</v>
      </c>
    </row>
    <row r="56" customFormat="false" ht="12.8" hidden="false" customHeight="false" outlineLevel="0" collapsed="false">
      <c r="A56" s="52" t="s">
        <v>499</v>
      </c>
      <c r="B56" s="53" t="n">
        <v>0</v>
      </c>
      <c r="C56" s="53" t="s">
        <v>409</v>
      </c>
      <c r="D56" s="54" t="n">
        <v>2</v>
      </c>
    </row>
    <row r="57" customFormat="false" ht="12.8" hidden="false" customHeight="false" outlineLevel="0" collapsed="false">
      <c r="A57" s="52" t="s">
        <v>500</v>
      </c>
      <c r="B57" s="53" t="n">
        <v>0</v>
      </c>
      <c r="C57" s="53" t="s">
        <v>415</v>
      </c>
      <c r="D57" s="54" t="n">
        <v>11</v>
      </c>
    </row>
    <row r="58" customFormat="false" ht="12.8" hidden="false" customHeight="false" outlineLevel="0" collapsed="false">
      <c r="A58" s="52" t="s">
        <v>501</v>
      </c>
      <c r="B58" s="53" t="n">
        <v>0</v>
      </c>
      <c r="C58" s="53" t="s">
        <v>386</v>
      </c>
      <c r="D58" s="54" t="n">
        <v>2</v>
      </c>
    </row>
    <row r="59" customFormat="false" ht="12.8" hidden="false" customHeight="false" outlineLevel="0" collapsed="false">
      <c r="A59" s="52" t="s">
        <v>502</v>
      </c>
      <c r="B59" s="53" t="n">
        <v>0</v>
      </c>
      <c r="C59" s="53" t="s">
        <v>419</v>
      </c>
      <c r="D59" s="54" t="n">
        <v>2</v>
      </c>
    </row>
    <row r="60" customFormat="false" ht="12.8" hidden="false" customHeight="false" outlineLevel="0" collapsed="false">
      <c r="A60" s="52" t="s">
        <v>503</v>
      </c>
      <c r="B60" s="53" t="n">
        <v>0</v>
      </c>
      <c r="C60" s="53" t="s">
        <v>316</v>
      </c>
      <c r="D60" s="54" t="n">
        <v>1</v>
      </c>
    </row>
    <row r="61" customFormat="false" ht="12.8" hidden="false" customHeight="false" outlineLevel="0" collapsed="false">
      <c r="A61" s="52" t="s">
        <v>504</v>
      </c>
      <c r="B61" s="53" t="n">
        <v>0</v>
      </c>
      <c r="C61" s="53" t="s">
        <v>309</v>
      </c>
      <c r="D61" s="54" t="n">
        <v>10</v>
      </c>
    </row>
    <row r="62" customFormat="false" ht="12.8" hidden="false" customHeight="false" outlineLevel="0" collapsed="false">
      <c r="A62" s="52" t="s">
        <v>505</v>
      </c>
      <c r="B62" s="53" t="n">
        <v>0</v>
      </c>
      <c r="C62" s="53" t="s">
        <v>312</v>
      </c>
      <c r="D62" s="54" t="n">
        <v>2</v>
      </c>
    </row>
    <row r="63" customFormat="false" ht="12.8" hidden="false" customHeight="false" outlineLevel="0" collapsed="false">
      <c r="A63" s="52" t="s">
        <v>506</v>
      </c>
      <c r="B63" s="53" t="n">
        <v>0</v>
      </c>
      <c r="C63" s="53" t="s">
        <v>307</v>
      </c>
      <c r="D63" s="54" t="n">
        <v>2</v>
      </c>
    </row>
    <row r="64" customFormat="false" ht="12.8" hidden="false" customHeight="false" outlineLevel="0" collapsed="false">
      <c r="A64" s="52" t="s">
        <v>507</v>
      </c>
      <c r="B64" s="53" t="n">
        <v>0</v>
      </c>
      <c r="C64" s="53" t="s">
        <v>412</v>
      </c>
      <c r="D64" s="54" t="n">
        <v>5</v>
      </c>
    </row>
    <row r="65" customFormat="false" ht="12.8" hidden="false" customHeight="false" outlineLevel="0" collapsed="false">
      <c r="A65" s="52" t="s">
        <v>508</v>
      </c>
      <c r="B65" s="53" t="n">
        <v>0</v>
      </c>
      <c r="C65" s="53" t="s">
        <v>414</v>
      </c>
      <c r="D65" s="54" t="n">
        <v>10</v>
      </c>
    </row>
    <row r="66" customFormat="false" ht="12.8" hidden="false" customHeight="false" outlineLevel="0" collapsed="false">
      <c r="A66" s="52" t="s">
        <v>509</v>
      </c>
      <c r="B66" s="53" t="n">
        <v>0</v>
      </c>
      <c r="C66" s="53" t="s">
        <v>418</v>
      </c>
      <c r="D66" s="54" t="n">
        <v>2</v>
      </c>
    </row>
    <row r="67" customFormat="false" ht="12.8" hidden="false" customHeight="false" outlineLevel="0" collapsed="false">
      <c r="A67" s="52" t="s">
        <v>510</v>
      </c>
      <c r="B67" s="53" t="n">
        <v>0</v>
      </c>
      <c r="C67" s="53" t="s">
        <v>410</v>
      </c>
      <c r="D67" s="54" t="n">
        <v>2</v>
      </c>
    </row>
    <row r="68" customFormat="false" ht="12.8" hidden="false" customHeight="false" outlineLevel="0" collapsed="false">
      <c r="A68" s="52" t="s">
        <v>511</v>
      </c>
      <c r="B68" s="53" t="n">
        <v>0</v>
      </c>
      <c r="C68" s="53" t="s">
        <v>381</v>
      </c>
      <c r="D68" s="54" t="n">
        <v>7</v>
      </c>
    </row>
    <row r="69" customFormat="false" ht="12.8" hidden="false" customHeight="false" outlineLevel="0" collapsed="false">
      <c r="A69" s="52" t="s">
        <v>512</v>
      </c>
      <c r="B69" s="53" t="n">
        <v>0</v>
      </c>
      <c r="C69" s="53" t="s">
        <v>383</v>
      </c>
      <c r="D69" s="54" t="n">
        <v>10</v>
      </c>
    </row>
    <row r="70" customFormat="false" ht="12.8" hidden="false" customHeight="false" outlineLevel="0" collapsed="false">
      <c r="A70" s="52" t="s">
        <v>513</v>
      </c>
      <c r="B70" s="53" t="n">
        <v>0</v>
      </c>
      <c r="C70" s="53" t="s">
        <v>385</v>
      </c>
      <c r="D70" s="54" t="n">
        <v>2</v>
      </c>
    </row>
    <row r="71" customFormat="false" ht="12.8" hidden="false" customHeight="false" outlineLevel="0" collapsed="false">
      <c r="A71" s="52" t="s">
        <v>514</v>
      </c>
      <c r="B71" s="53" t="n">
        <v>0</v>
      </c>
      <c r="C71" s="53" t="s">
        <v>379</v>
      </c>
      <c r="D71" s="54" t="n">
        <v>2</v>
      </c>
    </row>
    <row r="72" customFormat="false" ht="12.8" hidden="false" customHeight="false" outlineLevel="0" collapsed="false">
      <c r="A72" s="52" t="s">
        <v>515</v>
      </c>
      <c r="B72" s="53" t="n">
        <v>0</v>
      </c>
      <c r="C72" s="53" t="s">
        <v>315</v>
      </c>
      <c r="D72" s="54" t="n">
        <v>6</v>
      </c>
    </row>
    <row r="73" customFormat="false" ht="12.8" hidden="false" customHeight="false" outlineLevel="0" collapsed="false">
      <c r="A73" s="52" t="s">
        <v>516</v>
      </c>
      <c r="B73" s="53" t="n">
        <v>0</v>
      </c>
      <c r="C73" s="53" t="s">
        <v>311</v>
      </c>
      <c r="D73" s="54" t="n">
        <v>6</v>
      </c>
    </row>
    <row r="74" customFormat="false" ht="12.8" hidden="false" customHeight="false" outlineLevel="0" collapsed="false">
      <c r="A74" s="52" t="s">
        <v>517</v>
      </c>
      <c r="B74" s="53" t="n">
        <v>0</v>
      </c>
      <c r="C74" s="53" t="s">
        <v>387</v>
      </c>
      <c r="D74" s="54" t="n">
        <v>1</v>
      </c>
    </row>
    <row r="75" customFormat="false" ht="12.8" hidden="false" customHeight="false" outlineLevel="0" collapsed="false">
      <c r="A75" s="52" t="s">
        <v>518</v>
      </c>
      <c r="B75" s="53" t="n">
        <v>0</v>
      </c>
      <c r="C75" s="53" t="s">
        <v>420</v>
      </c>
      <c r="D75" s="54" t="n">
        <v>1</v>
      </c>
    </row>
    <row r="76" customFormat="false" ht="12.8" hidden="false" customHeight="false" outlineLevel="0" collapsed="false">
      <c r="A76" s="52" t="s">
        <v>519</v>
      </c>
      <c r="B76" s="53" t="n">
        <v>0</v>
      </c>
      <c r="C76" s="53" t="s">
        <v>308</v>
      </c>
      <c r="D76" s="54" t="n">
        <v>8</v>
      </c>
    </row>
    <row r="77" customFormat="false" ht="12.8" hidden="false" customHeight="false" outlineLevel="0" collapsed="false">
      <c r="A77" s="52" t="s">
        <v>520</v>
      </c>
      <c r="B77" s="53" t="n">
        <v>0</v>
      </c>
      <c r="C77" s="53" t="s">
        <v>319</v>
      </c>
      <c r="D77" s="54" t="n">
        <v>2</v>
      </c>
    </row>
    <row r="78" customFormat="false" ht="12.8" hidden="false" customHeight="false" outlineLevel="0" collapsed="false">
      <c r="A78" s="52" t="s">
        <v>521</v>
      </c>
      <c r="B78" s="53" t="n">
        <v>0</v>
      </c>
      <c r="C78" s="53" t="s">
        <v>380</v>
      </c>
      <c r="D78" s="54" t="n">
        <v>21</v>
      </c>
    </row>
    <row r="79" customFormat="false" ht="12.8" hidden="false" customHeight="false" outlineLevel="0" collapsed="false">
      <c r="A79" s="52" t="s">
        <v>522</v>
      </c>
      <c r="B79" s="53" t="n">
        <v>0</v>
      </c>
      <c r="C79" s="53" t="s">
        <v>411</v>
      </c>
      <c r="D79" s="54" t="n">
        <v>21</v>
      </c>
    </row>
    <row r="80" customFormat="false" ht="12.8" hidden="false" customHeight="false" outlineLevel="0" collapsed="false">
      <c r="A80" s="52" t="s">
        <v>523</v>
      </c>
      <c r="B80" s="53" t="n">
        <v>0</v>
      </c>
      <c r="C80" s="53" t="s">
        <v>314</v>
      </c>
      <c r="D80" s="54" t="n">
        <v>6</v>
      </c>
    </row>
    <row r="81" customFormat="false" ht="12.8" hidden="false" customHeight="false" outlineLevel="0" collapsed="false">
      <c r="A81" s="52" t="s">
        <v>524</v>
      </c>
      <c r="B81" s="53" t="n">
        <v>0</v>
      </c>
      <c r="C81" s="53" t="s">
        <v>282</v>
      </c>
      <c r="D81" s="54" t="n">
        <v>1</v>
      </c>
    </row>
    <row r="82" customFormat="false" ht="12.8" hidden="false" customHeight="false" outlineLevel="0" collapsed="false">
      <c r="A82" s="52" t="s">
        <v>525</v>
      </c>
      <c r="B82" s="53" t="n">
        <v>0</v>
      </c>
      <c r="C82" s="53" t="s">
        <v>274</v>
      </c>
      <c r="D82" s="54" t="n">
        <v>4</v>
      </c>
    </row>
    <row r="83" customFormat="false" ht="12.8" hidden="false" customHeight="false" outlineLevel="0" collapsed="false">
      <c r="A83" s="52" t="s">
        <v>526</v>
      </c>
      <c r="B83" s="53" t="n">
        <v>0</v>
      </c>
      <c r="C83" s="53" t="s">
        <v>278</v>
      </c>
      <c r="D83" s="54" t="n">
        <v>2</v>
      </c>
    </row>
    <row r="84" customFormat="false" ht="12.8" hidden="false" customHeight="false" outlineLevel="0" collapsed="false">
      <c r="A84" s="52" t="s">
        <v>527</v>
      </c>
      <c r="B84" s="53" t="n">
        <v>0</v>
      </c>
      <c r="C84" s="53" t="s">
        <v>275</v>
      </c>
      <c r="D84" s="54" t="n">
        <v>3</v>
      </c>
    </row>
    <row r="85" customFormat="false" ht="12.8" hidden="false" customHeight="false" outlineLevel="0" collapsed="false">
      <c r="A85" s="52" t="s">
        <v>528</v>
      </c>
      <c r="B85" s="53" t="n">
        <v>0</v>
      </c>
      <c r="C85" s="53" t="s">
        <v>279</v>
      </c>
      <c r="D85" s="54" t="n">
        <v>4</v>
      </c>
    </row>
    <row r="86" customFormat="false" ht="12.8" hidden="false" customHeight="false" outlineLevel="0" collapsed="false">
      <c r="A86" s="52" t="s">
        <v>529</v>
      </c>
      <c r="B86" s="53" t="n">
        <v>0</v>
      </c>
      <c r="C86" s="53" t="s">
        <v>272</v>
      </c>
      <c r="D86" s="54" t="n">
        <v>1</v>
      </c>
    </row>
    <row r="87" customFormat="false" ht="12.8" hidden="false" customHeight="false" outlineLevel="0" collapsed="false">
      <c r="A87" s="52" t="s">
        <v>530</v>
      </c>
      <c r="B87" s="53" t="n">
        <v>0</v>
      </c>
      <c r="C87" s="53" t="s">
        <v>281</v>
      </c>
      <c r="D87" s="54" t="n">
        <v>1</v>
      </c>
    </row>
    <row r="88" customFormat="false" ht="12.8" hidden="false" customHeight="false" outlineLevel="0" collapsed="false">
      <c r="A88" s="52" t="s">
        <v>531</v>
      </c>
      <c r="B88" s="53" t="n">
        <v>0</v>
      </c>
      <c r="C88" s="53" t="s">
        <v>283</v>
      </c>
      <c r="D88" s="54" t="n">
        <v>2</v>
      </c>
    </row>
    <row r="89" customFormat="false" ht="12.8" hidden="false" customHeight="false" outlineLevel="0" collapsed="false">
      <c r="A89" s="52" t="s">
        <v>532</v>
      </c>
      <c r="B89" s="53" t="n">
        <v>0</v>
      </c>
      <c r="C89" s="53" t="s">
        <v>276</v>
      </c>
      <c r="D89" s="54" t="n">
        <v>3</v>
      </c>
    </row>
    <row r="90" customFormat="false" ht="12.8" hidden="false" customHeight="false" outlineLevel="0" collapsed="false">
      <c r="A90" s="52" t="s">
        <v>533</v>
      </c>
      <c r="B90" s="53" t="n">
        <v>0</v>
      </c>
      <c r="C90" s="53" t="s">
        <v>273</v>
      </c>
      <c r="D90" s="54" t="n">
        <v>2</v>
      </c>
    </row>
    <row r="91" customFormat="false" ht="12.8" hidden="false" customHeight="false" outlineLevel="0" collapsed="false">
      <c r="A91" s="52" t="s">
        <v>534</v>
      </c>
      <c r="B91" s="53" t="n">
        <v>0</v>
      </c>
      <c r="C91" s="53" t="s">
        <v>277</v>
      </c>
      <c r="D91" s="54" t="n">
        <v>2</v>
      </c>
    </row>
    <row r="92" customFormat="false" ht="12.8" hidden="false" customHeight="false" outlineLevel="0" collapsed="false">
      <c r="A92" s="52" t="s">
        <v>535</v>
      </c>
      <c r="B92" s="53" t="n">
        <v>0</v>
      </c>
      <c r="C92" s="53" t="s">
        <v>284</v>
      </c>
      <c r="D92" s="54" t="n">
        <v>1</v>
      </c>
    </row>
    <row r="93" customFormat="false" ht="12.8" hidden="false" customHeight="false" outlineLevel="0" collapsed="false">
      <c r="A93" s="52" t="s">
        <v>536</v>
      </c>
      <c r="B93" s="53" t="n">
        <v>0</v>
      </c>
      <c r="C93" s="53" t="s">
        <v>280</v>
      </c>
      <c r="D93" s="54" t="n">
        <v>3</v>
      </c>
    </row>
    <row r="94" customFormat="false" ht="12.8" hidden="false" customHeight="false" outlineLevel="0" collapsed="false">
      <c r="A94" s="52" t="s">
        <v>537</v>
      </c>
      <c r="B94" s="53" t="n">
        <v>0</v>
      </c>
      <c r="C94" s="53" t="s">
        <v>422</v>
      </c>
      <c r="D94" s="54" t="n">
        <v>4</v>
      </c>
    </row>
    <row r="95" customFormat="false" ht="12.8" hidden="false" customHeight="false" outlineLevel="0" collapsed="false">
      <c r="A95" s="52" t="s">
        <v>538</v>
      </c>
      <c r="B95" s="53" t="n">
        <v>0</v>
      </c>
      <c r="C95" s="53" t="s">
        <v>432</v>
      </c>
      <c r="D95" s="54" t="n">
        <v>2</v>
      </c>
    </row>
    <row r="96" customFormat="false" ht="12.8" hidden="false" customHeight="false" outlineLevel="0" collapsed="false">
      <c r="A96" s="52" t="s">
        <v>539</v>
      </c>
      <c r="B96" s="53" t="n">
        <v>0</v>
      </c>
      <c r="C96" s="53" t="s">
        <v>349</v>
      </c>
      <c r="D96" s="54" t="n">
        <v>7</v>
      </c>
    </row>
    <row r="97" customFormat="false" ht="12.8" hidden="false" customHeight="false" outlineLevel="0" collapsed="false">
      <c r="A97" s="52" t="s">
        <v>540</v>
      </c>
      <c r="B97" s="53" t="n">
        <v>0</v>
      </c>
      <c r="C97" s="53" t="s">
        <v>427</v>
      </c>
      <c r="D97" s="54" t="n">
        <v>3</v>
      </c>
    </row>
    <row r="98" customFormat="false" ht="12.8" hidden="false" customHeight="false" outlineLevel="0" collapsed="false">
      <c r="A98" s="52" t="s">
        <v>541</v>
      </c>
      <c r="B98" s="53" t="n">
        <v>0</v>
      </c>
      <c r="C98" s="53" t="s">
        <v>423</v>
      </c>
      <c r="D98" s="54" t="n">
        <v>2</v>
      </c>
    </row>
    <row r="99" customFormat="false" ht="12.8" hidden="false" customHeight="false" outlineLevel="0" collapsed="false">
      <c r="A99" s="52" t="s">
        <v>542</v>
      </c>
      <c r="B99" s="53" t="n">
        <v>0</v>
      </c>
      <c r="C99" s="53" t="s">
        <v>429</v>
      </c>
      <c r="D99" s="54" t="n">
        <v>10</v>
      </c>
    </row>
    <row r="100" customFormat="false" ht="12.8" hidden="false" customHeight="false" outlineLevel="0" collapsed="false">
      <c r="A100" s="52" t="s">
        <v>543</v>
      </c>
      <c r="B100" s="53" t="n">
        <v>0</v>
      </c>
      <c r="C100" s="53" t="s">
        <v>435</v>
      </c>
      <c r="D100" s="54" t="n">
        <v>2</v>
      </c>
    </row>
    <row r="101" customFormat="false" ht="12.8" hidden="false" customHeight="false" outlineLevel="0" collapsed="false">
      <c r="A101" s="52" t="s">
        <v>544</v>
      </c>
      <c r="B101" s="53" t="n">
        <v>0</v>
      </c>
      <c r="C101" s="53" t="s">
        <v>350</v>
      </c>
      <c r="D101" s="54" t="n">
        <v>3</v>
      </c>
    </row>
    <row r="102" customFormat="false" ht="12.8" hidden="false" customHeight="false" outlineLevel="0" collapsed="false">
      <c r="A102" s="52" t="s">
        <v>545</v>
      </c>
      <c r="B102" s="53" t="n">
        <v>0</v>
      </c>
      <c r="C102" s="53" t="s">
        <v>352</v>
      </c>
      <c r="D102" s="54" t="n">
        <v>4</v>
      </c>
    </row>
    <row r="103" customFormat="false" ht="12.8" hidden="false" customHeight="false" outlineLevel="0" collapsed="false">
      <c r="A103" s="52" t="s">
        <v>546</v>
      </c>
      <c r="B103" s="53" t="n">
        <v>0</v>
      </c>
      <c r="C103" s="53" t="s">
        <v>347</v>
      </c>
      <c r="D103" s="54" t="n">
        <v>1</v>
      </c>
    </row>
    <row r="104" customFormat="false" ht="12.8" hidden="false" customHeight="false" outlineLevel="0" collapsed="false">
      <c r="A104" s="52" t="s">
        <v>547</v>
      </c>
      <c r="B104" s="53" t="n">
        <v>0</v>
      </c>
      <c r="C104" s="53" t="s">
        <v>431</v>
      </c>
      <c r="D104" s="54" t="n">
        <v>2</v>
      </c>
    </row>
    <row r="105" customFormat="false" ht="12.8" hidden="false" customHeight="false" outlineLevel="0" collapsed="false">
      <c r="A105" s="52" t="s">
        <v>548</v>
      </c>
      <c r="B105" s="53" t="n">
        <v>0</v>
      </c>
      <c r="C105" s="53" t="s">
        <v>426</v>
      </c>
      <c r="D105" s="54" t="n">
        <v>5</v>
      </c>
    </row>
    <row r="106" customFormat="false" ht="12.8" hidden="false" customHeight="false" outlineLevel="0" collapsed="false">
      <c r="A106" s="52" t="s">
        <v>549</v>
      </c>
      <c r="B106" s="53" t="n">
        <v>0</v>
      </c>
      <c r="C106" s="53" t="s">
        <v>428</v>
      </c>
      <c r="D106" s="54" t="n">
        <v>10</v>
      </c>
    </row>
    <row r="107" customFormat="false" ht="12.8" hidden="false" customHeight="false" outlineLevel="0" collapsed="false">
      <c r="A107" s="52" t="s">
        <v>550</v>
      </c>
      <c r="B107" s="53" t="n">
        <v>0</v>
      </c>
      <c r="C107" s="53" t="s">
        <v>434</v>
      </c>
      <c r="D107" s="54" t="n">
        <v>2</v>
      </c>
    </row>
    <row r="108" customFormat="false" ht="12.8" hidden="false" customHeight="false" outlineLevel="0" collapsed="false">
      <c r="A108" s="52" t="s">
        <v>551</v>
      </c>
      <c r="B108" s="53" t="n">
        <v>0</v>
      </c>
      <c r="C108" s="53" t="s">
        <v>424</v>
      </c>
      <c r="D108" s="54" t="n">
        <v>2</v>
      </c>
    </row>
    <row r="109" customFormat="false" ht="12.8" hidden="false" customHeight="false" outlineLevel="0" collapsed="false">
      <c r="A109" s="52" t="s">
        <v>552</v>
      </c>
      <c r="B109" s="53" t="n">
        <v>0</v>
      </c>
      <c r="C109" s="53" t="s">
        <v>354</v>
      </c>
      <c r="D109" s="54" t="n">
        <v>3</v>
      </c>
    </row>
    <row r="110" customFormat="false" ht="12.8" hidden="false" customHeight="false" outlineLevel="0" collapsed="false">
      <c r="A110" s="52" t="s">
        <v>553</v>
      </c>
      <c r="B110" s="53" t="n">
        <v>0</v>
      </c>
      <c r="C110" s="53" t="s">
        <v>351</v>
      </c>
      <c r="D110" s="54" t="n">
        <v>3</v>
      </c>
    </row>
    <row r="111" customFormat="false" ht="12.8" hidden="false" customHeight="false" outlineLevel="0" collapsed="false">
      <c r="A111" s="52" t="s">
        <v>554</v>
      </c>
      <c r="B111" s="53" t="n">
        <v>0</v>
      </c>
      <c r="C111" s="53" t="s">
        <v>348</v>
      </c>
      <c r="D111" s="54" t="n">
        <v>4</v>
      </c>
    </row>
    <row r="112" customFormat="false" ht="12.8" hidden="false" customHeight="false" outlineLevel="0" collapsed="false">
      <c r="A112" s="52" t="s">
        <v>555</v>
      </c>
      <c r="B112" s="53" t="n">
        <v>0</v>
      </c>
      <c r="C112" s="53" t="s">
        <v>436</v>
      </c>
      <c r="D112" s="54" t="n">
        <v>1</v>
      </c>
    </row>
    <row r="113" customFormat="false" ht="12.8" hidden="false" customHeight="false" outlineLevel="0" collapsed="false">
      <c r="A113" s="52" t="s">
        <v>556</v>
      </c>
      <c r="B113" s="53" t="n">
        <v>0</v>
      </c>
      <c r="C113" s="53" t="s">
        <v>355</v>
      </c>
      <c r="D113" s="54" t="n">
        <v>1</v>
      </c>
    </row>
    <row r="114" customFormat="false" ht="12.8" hidden="false" customHeight="false" outlineLevel="0" collapsed="false">
      <c r="A114" s="52" t="s">
        <v>557</v>
      </c>
      <c r="B114" s="53" t="n">
        <v>0</v>
      </c>
      <c r="C114" s="53" t="s">
        <v>425</v>
      </c>
      <c r="D114" s="54" t="n">
        <v>19</v>
      </c>
    </row>
    <row r="115" customFormat="false" ht="12.8" hidden="false" customHeight="false" outlineLevel="0" collapsed="false">
      <c r="A115" s="52" t="s">
        <v>558</v>
      </c>
      <c r="B115" s="53" t="n">
        <v>0</v>
      </c>
      <c r="C115" s="53" t="s">
        <v>353</v>
      </c>
      <c r="D115" s="54" t="n">
        <v>3</v>
      </c>
    </row>
    <row r="116" customFormat="false" ht="12.8" hidden="false" customHeight="false" outlineLevel="0" collapsed="false">
      <c r="A116" s="52" t="s">
        <v>559</v>
      </c>
      <c r="B116" s="53" t="n">
        <v>0</v>
      </c>
      <c r="C116" s="53" t="s">
        <v>343</v>
      </c>
      <c r="D116" s="54" t="n">
        <v>1</v>
      </c>
    </row>
    <row r="117" customFormat="false" ht="12.8" hidden="false" customHeight="false" outlineLevel="0" collapsed="false">
      <c r="A117" s="52" t="s">
        <v>560</v>
      </c>
      <c r="B117" s="53" t="n">
        <v>0</v>
      </c>
      <c r="C117" s="53" t="s">
        <v>336</v>
      </c>
      <c r="D117" s="54" t="n">
        <v>5</v>
      </c>
    </row>
    <row r="118" customFormat="false" ht="12.8" hidden="false" customHeight="false" outlineLevel="0" collapsed="false">
      <c r="A118" s="52" t="s">
        <v>561</v>
      </c>
      <c r="B118" s="53" t="n">
        <v>0</v>
      </c>
      <c r="C118" s="53" t="s">
        <v>345</v>
      </c>
      <c r="D118" s="54" t="n">
        <v>6</v>
      </c>
    </row>
    <row r="119" customFormat="false" ht="12.8" hidden="false" customHeight="false" outlineLevel="0" collapsed="false">
      <c r="A119" s="52" t="s">
        <v>562</v>
      </c>
      <c r="B119" s="53" t="n">
        <v>0</v>
      </c>
      <c r="C119" s="53" t="s">
        <v>339</v>
      </c>
      <c r="D119" s="54" t="n">
        <v>2</v>
      </c>
    </row>
    <row r="120" customFormat="false" ht="12.8" hidden="false" customHeight="false" outlineLevel="0" collapsed="false">
      <c r="A120" s="52" t="s">
        <v>563</v>
      </c>
      <c r="B120" s="53" t="n">
        <v>0</v>
      </c>
      <c r="C120" s="53" t="s">
        <v>342</v>
      </c>
      <c r="D120" s="54" t="n">
        <v>1</v>
      </c>
    </row>
    <row r="121" customFormat="false" ht="12.8" hidden="false" customHeight="false" outlineLevel="0" collapsed="false">
      <c r="A121" s="52" t="s">
        <v>564</v>
      </c>
      <c r="B121" s="53" t="n">
        <v>0</v>
      </c>
      <c r="C121" s="53" t="s">
        <v>335</v>
      </c>
      <c r="D121" s="54" t="n">
        <v>10</v>
      </c>
    </row>
    <row r="122" customFormat="false" ht="12.8" hidden="false" customHeight="false" outlineLevel="0" collapsed="false">
      <c r="A122" s="52" t="s">
        <v>565</v>
      </c>
      <c r="B122" s="53" t="n">
        <v>0</v>
      </c>
      <c r="C122" s="53" t="s">
        <v>338</v>
      </c>
      <c r="D122" s="54" t="n">
        <v>2</v>
      </c>
    </row>
    <row r="123" customFormat="false" ht="12.8" hidden="false" customHeight="false" outlineLevel="0" collapsed="false">
      <c r="A123" s="52" t="s">
        <v>566</v>
      </c>
      <c r="B123" s="53" t="n">
        <v>0</v>
      </c>
      <c r="C123" s="53" t="s">
        <v>333</v>
      </c>
      <c r="D123" s="54" t="n">
        <v>2</v>
      </c>
    </row>
    <row r="124" customFormat="false" ht="12.8" hidden="false" customHeight="false" outlineLevel="0" collapsed="false">
      <c r="A124" s="52" t="s">
        <v>567</v>
      </c>
      <c r="B124" s="53" t="n">
        <v>0</v>
      </c>
      <c r="C124" s="53" t="s">
        <v>341</v>
      </c>
      <c r="D124" s="54" t="n">
        <v>1</v>
      </c>
    </row>
    <row r="125" customFormat="false" ht="12.8" hidden="false" customHeight="false" outlineLevel="0" collapsed="false">
      <c r="A125" s="52" t="s">
        <v>568</v>
      </c>
      <c r="B125" s="53" t="n">
        <v>0</v>
      </c>
      <c r="C125" s="53" t="s">
        <v>337</v>
      </c>
      <c r="D125" s="54" t="n">
        <v>6</v>
      </c>
    </row>
    <row r="126" customFormat="false" ht="12.8" hidden="false" customHeight="false" outlineLevel="0" collapsed="false">
      <c r="A126" s="52" t="s">
        <v>569</v>
      </c>
      <c r="B126" s="53" t="n">
        <v>0</v>
      </c>
      <c r="C126" s="53" t="s">
        <v>334</v>
      </c>
      <c r="D126" s="54" t="n">
        <v>8</v>
      </c>
    </row>
    <row r="127" customFormat="false" ht="12.8" hidden="false" customHeight="false" outlineLevel="0" collapsed="false">
      <c r="A127" s="52" t="s">
        <v>570</v>
      </c>
      <c r="B127" s="53" t="n">
        <v>0</v>
      </c>
      <c r="C127" s="53" t="s">
        <v>346</v>
      </c>
      <c r="D127" s="54" t="n">
        <v>2</v>
      </c>
    </row>
    <row r="128" customFormat="false" ht="12.8" hidden="false" customHeight="false" outlineLevel="0" collapsed="false">
      <c r="A128" s="52" t="s">
        <v>571</v>
      </c>
      <c r="B128" s="53" t="n">
        <v>0</v>
      </c>
      <c r="C128" s="53" t="s">
        <v>340</v>
      </c>
      <c r="D128" s="54" t="n">
        <v>6</v>
      </c>
    </row>
    <row r="129" customFormat="false" ht="12.8" hidden="false" customHeight="false" outlineLevel="0" collapsed="false">
      <c r="A129" s="52" t="s">
        <v>572</v>
      </c>
      <c r="B129" s="53" t="n">
        <v>1</v>
      </c>
      <c r="C129" s="53" t="s">
        <v>330</v>
      </c>
      <c r="D129" s="54" t="n">
        <v>2</v>
      </c>
    </row>
    <row r="130" customFormat="false" ht="12.8" hidden="false" customHeight="false" outlineLevel="0" collapsed="false">
      <c r="A130" s="52" t="s">
        <v>573</v>
      </c>
      <c r="B130" s="53" t="n">
        <v>1</v>
      </c>
      <c r="C130" s="53" t="s">
        <v>322</v>
      </c>
      <c r="D130" s="54" t="n">
        <v>14</v>
      </c>
    </row>
    <row r="131" customFormat="false" ht="12.8" hidden="false" customHeight="false" outlineLevel="0" collapsed="false">
      <c r="A131" s="52" t="s">
        <v>574</v>
      </c>
      <c r="B131" s="53" t="n">
        <v>2</v>
      </c>
      <c r="C131" s="53" t="s">
        <v>358</v>
      </c>
      <c r="D131" s="54" t="n">
        <v>1</v>
      </c>
    </row>
    <row r="132" customFormat="false" ht="12.8" hidden="false" customHeight="false" outlineLevel="0" collapsed="false">
      <c r="A132" s="52" t="s">
        <v>575</v>
      </c>
      <c r="B132" s="53" t="n">
        <v>1</v>
      </c>
      <c r="C132" s="53" t="s">
        <v>373</v>
      </c>
      <c r="D132" s="54" t="n">
        <v>7</v>
      </c>
    </row>
    <row r="133" customFormat="false" ht="12.8" hidden="false" customHeight="false" outlineLevel="0" collapsed="false">
      <c r="A133" s="52" t="s">
        <v>576</v>
      </c>
      <c r="B133" s="53" t="n">
        <v>1</v>
      </c>
      <c r="C133" s="53" t="s">
        <v>406</v>
      </c>
      <c r="D133" s="54" t="n">
        <v>2</v>
      </c>
    </row>
    <row r="134" customFormat="false" ht="12.8" hidden="false" customHeight="false" outlineLevel="0" collapsed="false">
      <c r="A134" s="52" t="s">
        <v>577</v>
      </c>
      <c r="B134" s="53" t="n">
        <v>1</v>
      </c>
      <c r="C134" s="53" t="s">
        <v>397</v>
      </c>
      <c r="D134" s="54" t="n">
        <v>2</v>
      </c>
    </row>
    <row r="135" customFormat="false" ht="12.8" hidden="false" customHeight="false" outlineLevel="0" collapsed="false">
      <c r="A135" s="52" t="s">
        <v>578</v>
      </c>
      <c r="B135" s="53" t="n">
        <v>1</v>
      </c>
      <c r="C135" s="53" t="s">
        <v>326</v>
      </c>
      <c r="D135" s="54" t="n">
        <v>4</v>
      </c>
    </row>
    <row r="136" customFormat="false" ht="12.8" hidden="false" customHeight="false" outlineLevel="0" collapsed="false">
      <c r="A136" s="52" t="s">
        <v>579</v>
      </c>
      <c r="B136" s="53" t="n">
        <v>1</v>
      </c>
      <c r="C136" s="53" t="s">
        <v>366</v>
      </c>
      <c r="D136" s="54" t="n">
        <v>10</v>
      </c>
    </row>
    <row r="137" customFormat="false" ht="12.8" hidden="false" customHeight="false" outlineLevel="0" collapsed="false">
      <c r="A137" s="52" t="s">
        <v>580</v>
      </c>
      <c r="B137" s="53" t="n">
        <v>1</v>
      </c>
      <c r="C137" s="53" t="s">
        <v>369</v>
      </c>
      <c r="D137" s="54" t="n">
        <v>12</v>
      </c>
    </row>
    <row r="138" customFormat="false" ht="12.8" hidden="false" customHeight="false" outlineLevel="0" collapsed="false">
      <c r="A138" s="52" t="s">
        <v>581</v>
      </c>
      <c r="B138" s="53" t="n">
        <v>1</v>
      </c>
      <c r="C138" s="53" t="s">
        <v>404</v>
      </c>
      <c r="D138" s="54" t="n">
        <v>10</v>
      </c>
    </row>
    <row r="139" customFormat="false" ht="12.8" hidden="false" customHeight="false" outlineLevel="0" collapsed="false">
      <c r="A139" s="52" t="s">
        <v>582</v>
      </c>
      <c r="B139" s="53" t="n">
        <v>1</v>
      </c>
      <c r="C139" s="53" t="s">
        <v>323</v>
      </c>
      <c r="D139" s="54" t="n">
        <v>9</v>
      </c>
    </row>
    <row r="140" customFormat="false" ht="12.8" hidden="false" customHeight="false" outlineLevel="0" collapsed="false">
      <c r="A140" s="52" t="s">
        <v>583</v>
      </c>
      <c r="B140" s="53" t="n">
        <v>1</v>
      </c>
      <c r="C140" s="53" t="s">
        <v>327</v>
      </c>
      <c r="D140" s="54" t="n">
        <v>12</v>
      </c>
    </row>
    <row r="141" customFormat="false" ht="12.8" hidden="false" customHeight="false" outlineLevel="0" collapsed="false">
      <c r="A141" s="52" t="s">
        <v>584</v>
      </c>
      <c r="B141" s="53" t="n">
        <v>1</v>
      </c>
      <c r="C141" s="53" t="s">
        <v>320</v>
      </c>
      <c r="D141" s="54" t="n">
        <v>3</v>
      </c>
    </row>
    <row r="142" customFormat="false" ht="12.8" hidden="false" customHeight="false" outlineLevel="0" collapsed="false">
      <c r="A142" s="52" t="s">
        <v>585</v>
      </c>
      <c r="B142" s="53" t="n">
        <v>1</v>
      </c>
      <c r="C142" s="53" t="s">
        <v>396</v>
      </c>
      <c r="D142" s="54" t="n">
        <v>2</v>
      </c>
    </row>
    <row r="143" customFormat="false" ht="12.8" hidden="false" customHeight="false" outlineLevel="0" collapsed="false">
      <c r="A143" s="52" t="s">
        <v>586</v>
      </c>
      <c r="B143" s="53" t="n">
        <v>2</v>
      </c>
      <c r="C143" s="53" t="s">
        <v>401</v>
      </c>
      <c r="D143" s="54" t="n">
        <v>2</v>
      </c>
    </row>
    <row r="144" customFormat="false" ht="12.8" hidden="false" customHeight="false" outlineLevel="0" collapsed="false">
      <c r="A144" s="52" t="s">
        <v>587</v>
      </c>
      <c r="B144" s="53" t="n">
        <v>1</v>
      </c>
      <c r="C144" s="53" t="s">
        <v>440</v>
      </c>
      <c r="D144" s="54" t="n">
        <v>2</v>
      </c>
    </row>
    <row r="145" customFormat="false" ht="12.8" hidden="false" customHeight="false" outlineLevel="0" collapsed="false">
      <c r="A145" s="52" t="s">
        <v>588</v>
      </c>
      <c r="B145" s="53" t="n">
        <v>1</v>
      </c>
      <c r="C145" s="53" t="s">
        <v>372</v>
      </c>
      <c r="D145" s="54" t="n">
        <v>7</v>
      </c>
    </row>
    <row r="146" customFormat="false" ht="12.8" hidden="false" customHeight="false" outlineLevel="0" collapsed="false">
      <c r="A146" s="52" t="s">
        <v>589</v>
      </c>
      <c r="B146" s="53" t="n">
        <v>1</v>
      </c>
      <c r="C146" s="53" t="s">
        <v>438</v>
      </c>
      <c r="D146" s="54" t="n">
        <v>2</v>
      </c>
    </row>
    <row r="147" customFormat="false" ht="12.8" hidden="false" customHeight="false" outlineLevel="0" collapsed="false">
      <c r="A147" s="52" t="s">
        <v>590</v>
      </c>
      <c r="B147" s="53" t="n">
        <v>1</v>
      </c>
      <c r="C147" s="53" t="s">
        <v>329</v>
      </c>
      <c r="D147" s="54" t="n">
        <v>2</v>
      </c>
    </row>
    <row r="148" customFormat="false" ht="12.8" hidden="false" customHeight="false" outlineLevel="0" collapsed="false">
      <c r="A148" s="52" t="s">
        <v>591</v>
      </c>
      <c r="B148" s="53" t="n">
        <v>1</v>
      </c>
      <c r="C148" s="53" t="s">
        <v>331</v>
      </c>
      <c r="D148" s="54" t="n">
        <v>7</v>
      </c>
    </row>
    <row r="149" customFormat="false" ht="12.8" hidden="false" customHeight="false" outlineLevel="0" collapsed="false">
      <c r="A149" s="52" t="s">
        <v>592</v>
      </c>
      <c r="B149" s="53" t="n">
        <v>1</v>
      </c>
      <c r="C149" s="53" t="s">
        <v>324</v>
      </c>
      <c r="D149" s="54" t="n">
        <v>9</v>
      </c>
    </row>
    <row r="150" customFormat="false" ht="12.8" hidden="false" customHeight="false" outlineLevel="0" collapsed="false">
      <c r="A150" s="52" t="s">
        <v>593</v>
      </c>
      <c r="B150" s="53" t="n">
        <v>1</v>
      </c>
      <c r="C150" s="53" t="s">
        <v>321</v>
      </c>
      <c r="D150" s="54" t="n">
        <v>7</v>
      </c>
    </row>
    <row r="151" customFormat="false" ht="12.8" hidden="false" customHeight="false" outlineLevel="0" collapsed="false">
      <c r="A151" s="52" t="s">
        <v>594</v>
      </c>
      <c r="B151" s="53" t="n">
        <v>2</v>
      </c>
      <c r="C151" s="53" t="s">
        <v>357</v>
      </c>
      <c r="D151" s="54" t="n">
        <v>1</v>
      </c>
    </row>
    <row r="152" customFormat="false" ht="12.8" hidden="false" customHeight="false" outlineLevel="0" collapsed="false">
      <c r="A152" s="52" t="s">
        <v>595</v>
      </c>
      <c r="B152" s="53" t="n">
        <v>3</v>
      </c>
      <c r="C152" s="53" t="s">
        <v>363</v>
      </c>
      <c r="D152" s="54" t="n">
        <v>7</v>
      </c>
    </row>
    <row r="153" customFormat="false" ht="12.8" hidden="false" customHeight="false" outlineLevel="0" collapsed="false">
      <c r="A153" s="52" t="s">
        <v>596</v>
      </c>
      <c r="B153" s="53" t="n">
        <v>1</v>
      </c>
      <c r="C153" s="53" t="s">
        <v>405</v>
      </c>
      <c r="D153" s="54" t="n">
        <v>2</v>
      </c>
    </row>
    <row r="154" customFormat="false" ht="12.8" hidden="false" customHeight="false" outlineLevel="0" collapsed="false">
      <c r="A154" s="52" t="s">
        <v>597</v>
      </c>
      <c r="B154" s="53" t="n">
        <v>1</v>
      </c>
      <c r="C154" s="53" t="s">
        <v>325</v>
      </c>
      <c r="D154" s="54" t="n">
        <v>4</v>
      </c>
    </row>
    <row r="155" customFormat="false" ht="12.8" hidden="false" customHeight="false" outlineLevel="0" collapsed="false">
      <c r="A155" s="52" t="s">
        <v>598</v>
      </c>
      <c r="B155" s="53" t="n">
        <v>2</v>
      </c>
      <c r="C155" s="53" t="s">
        <v>365</v>
      </c>
      <c r="D155" s="54" t="n">
        <v>12</v>
      </c>
    </row>
    <row r="156" customFormat="false" ht="12.8" hidden="false" customHeight="false" outlineLevel="0" collapsed="false">
      <c r="A156" s="52" t="s">
        <v>599</v>
      </c>
      <c r="B156" s="53" t="n">
        <v>1</v>
      </c>
      <c r="C156" s="53" t="s">
        <v>332</v>
      </c>
      <c r="D156" s="54" t="n">
        <v>3</v>
      </c>
    </row>
    <row r="157" customFormat="false" ht="12.8" hidden="false" customHeight="false" outlineLevel="0" collapsed="false">
      <c r="A157" s="52" t="s">
        <v>600</v>
      </c>
      <c r="B157" s="53" t="n">
        <v>1</v>
      </c>
      <c r="C157" s="53" t="s">
        <v>328</v>
      </c>
      <c r="D157" s="54" t="n">
        <v>9</v>
      </c>
    </row>
    <row r="158" customFormat="false" ht="12.8" hidden="false" customHeight="false" outlineLevel="0" collapsed="false">
      <c r="A158" s="52" t="s">
        <v>601</v>
      </c>
      <c r="B158" s="53" t="n">
        <v>1</v>
      </c>
      <c r="C158" s="53" t="s">
        <v>382</v>
      </c>
      <c r="D158" s="54" t="n">
        <v>7</v>
      </c>
    </row>
    <row r="159" customFormat="false" ht="12.8" hidden="false" customHeight="false" outlineLevel="0" collapsed="false">
      <c r="A159" s="52" t="s">
        <v>602</v>
      </c>
      <c r="B159" s="53" t="n">
        <v>1</v>
      </c>
      <c r="C159" s="53" t="s">
        <v>417</v>
      </c>
      <c r="D159" s="54" t="n">
        <v>2</v>
      </c>
    </row>
    <row r="160" customFormat="false" ht="12.8" hidden="false" customHeight="false" outlineLevel="0" collapsed="false">
      <c r="A160" s="52" t="s">
        <v>603</v>
      </c>
      <c r="B160" s="53" t="n">
        <v>1</v>
      </c>
      <c r="C160" s="53" t="s">
        <v>384</v>
      </c>
      <c r="D160" s="54" t="n">
        <v>11</v>
      </c>
    </row>
    <row r="161" customFormat="false" ht="12.8" hidden="false" customHeight="false" outlineLevel="0" collapsed="false">
      <c r="A161" s="52" t="s">
        <v>604</v>
      </c>
      <c r="B161" s="53" t="n">
        <v>1</v>
      </c>
      <c r="C161" s="53" t="s">
        <v>356</v>
      </c>
      <c r="D161" s="54" t="n">
        <v>1</v>
      </c>
    </row>
    <row r="162" customFormat="false" ht="12.8" hidden="false" customHeight="false" outlineLevel="0" collapsed="false">
      <c r="A162" s="52" t="s">
        <v>605</v>
      </c>
      <c r="B162" s="53" t="n">
        <v>1</v>
      </c>
      <c r="C162" s="53" t="s">
        <v>416</v>
      </c>
      <c r="D162" s="54" t="n">
        <v>2</v>
      </c>
    </row>
    <row r="163" customFormat="false" ht="12.8" hidden="false" customHeight="false" outlineLevel="0" collapsed="false">
      <c r="A163" s="52" t="s">
        <v>606</v>
      </c>
      <c r="B163" s="53" t="n">
        <v>2</v>
      </c>
      <c r="C163" s="53" t="s">
        <v>421</v>
      </c>
      <c r="D163" s="54" t="n">
        <v>1</v>
      </c>
    </row>
    <row r="164" customFormat="false" ht="12.8" hidden="false" customHeight="false" outlineLevel="0" collapsed="false">
      <c r="A164" s="52" t="s">
        <v>607</v>
      </c>
      <c r="B164" s="53" t="n">
        <v>1</v>
      </c>
      <c r="C164" s="53" t="s">
        <v>441</v>
      </c>
      <c r="D164" s="54" t="n">
        <v>1</v>
      </c>
    </row>
    <row r="165" customFormat="false" ht="12.8" hidden="false" customHeight="false" outlineLevel="0" collapsed="false">
      <c r="A165" s="52" t="s">
        <v>608</v>
      </c>
      <c r="B165" s="53" t="n">
        <v>1</v>
      </c>
      <c r="C165" s="53" t="s">
        <v>388</v>
      </c>
      <c r="D165" s="54" t="n">
        <v>1</v>
      </c>
    </row>
    <row r="166" customFormat="false" ht="12.8" hidden="false" customHeight="false" outlineLevel="0" collapsed="false">
      <c r="A166" s="52" t="s">
        <v>609</v>
      </c>
      <c r="B166" s="53" t="n">
        <v>1</v>
      </c>
      <c r="C166" s="53" t="s">
        <v>439</v>
      </c>
      <c r="D166" s="54" t="n">
        <v>1</v>
      </c>
    </row>
    <row r="167" customFormat="false" ht="12.8" hidden="false" customHeight="false" outlineLevel="0" collapsed="false">
      <c r="A167" s="52" t="s">
        <v>610</v>
      </c>
      <c r="B167" s="53" t="n">
        <v>1</v>
      </c>
      <c r="C167" s="53" t="s">
        <v>433</v>
      </c>
      <c r="D167" s="54" t="n">
        <v>2</v>
      </c>
    </row>
    <row r="168" customFormat="false" ht="12.8" hidden="false" customHeight="false" outlineLevel="0" collapsed="false">
      <c r="A168" s="52" t="s">
        <v>611</v>
      </c>
      <c r="B168" s="53" t="n">
        <v>1</v>
      </c>
      <c r="C168" s="53" t="s">
        <v>442</v>
      </c>
      <c r="D168" s="54" t="n">
        <v>1</v>
      </c>
    </row>
    <row r="169" customFormat="false" ht="12.8" hidden="false" customHeight="false" outlineLevel="0" collapsed="false">
      <c r="A169" s="52" t="s">
        <v>612</v>
      </c>
      <c r="B169" s="53" t="n">
        <v>1</v>
      </c>
      <c r="C169" s="53" t="s">
        <v>437</v>
      </c>
      <c r="D169" s="54" t="n">
        <v>1</v>
      </c>
    </row>
    <row r="170" customFormat="false" ht="12.8" hidden="false" customHeight="false" outlineLevel="0" collapsed="false">
      <c r="A170" s="52" t="s">
        <v>613</v>
      </c>
      <c r="B170" s="53" t="n">
        <v>1</v>
      </c>
      <c r="C170" s="53" t="s">
        <v>443</v>
      </c>
      <c r="D170" s="54" t="n">
        <v>1</v>
      </c>
    </row>
    <row r="171" customFormat="false" ht="12.8" hidden="false" customHeight="false" outlineLevel="0" collapsed="false">
      <c r="A171" s="52" t="s">
        <v>614</v>
      </c>
      <c r="B171" s="53" t="n">
        <v>1</v>
      </c>
      <c r="C171" s="53" t="s">
        <v>430</v>
      </c>
      <c r="D171" s="54" t="n">
        <v>2</v>
      </c>
    </row>
    <row r="172" customFormat="false" ht="12.8" hidden="false" customHeight="false" outlineLevel="0" collapsed="false">
      <c r="A172" s="52" t="s">
        <v>615</v>
      </c>
      <c r="B172" s="53" t="n">
        <v>1</v>
      </c>
      <c r="C172" s="53" t="s">
        <v>359</v>
      </c>
      <c r="D172" s="54" t="n">
        <v>1</v>
      </c>
    </row>
    <row r="173" customFormat="false" ht="12.8" hidden="false" customHeight="false" outlineLevel="0" collapsed="false">
      <c r="A173" s="52" t="s">
        <v>616</v>
      </c>
      <c r="B173" s="53" t="n">
        <v>1</v>
      </c>
      <c r="C173" s="53" t="s">
        <v>344</v>
      </c>
      <c r="D173" s="54" t="n">
        <v>5</v>
      </c>
    </row>
    <row r="174" customFormat="false" ht="12.8" hidden="false" customHeight="false" outlineLevel="0" collapsed="false">
      <c r="A174" s="55" t="s">
        <v>617</v>
      </c>
      <c r="B174" s="56"/>
      <c r="C174" s="57"/>
      <c r="D174" s="58" t="n">
        <v>874</v>
      </c>
    </row>
  </sheetData>
  <autoFilter ref="A:C"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0.26"/>
    <col collapsed="false" customWidth="true" hidden="false" outlineLevel="0" max="2" min="2" style="1" width="20.05"/>
  </cols>
  <sheetData>
    <row r="1" customFormat="false" ht="12.8" hidden="false" customHeight="false" outlineLevel="0" collapsed="false">
      <c r="A1" s="49" t="s">
        <v>270</v>
      </c>
      <c r="B1" s="51" t="s">
        <v>444</v>
      </c>
    </row>
    <row r="2" customFormat="false" ht="12.8" hidden="false" customHeight="false" outlineLevel="0" collapsed="false">
      <c r="A2" s="59" t="s">
        <v>402</v>
      </c>
      <c r="B2" s="60" t="n">
        <v>5</v>
      </c>
    </row>
    <row r="3" customFormat="false" ht="12.8" hidden="false" customHeight="false" outlineLevel="0" collapsed="false">
      <c r="A3" s="61" t="s">
        <v>303</v>
      </c>
      <c r="B3" s="62" t="n">
        <v>8</v>
      </c>
    </row>
    <row r="4" customFormat="false" ht="12.8" hidden="false" customHeight="false" outlineLevel="0" collapsed="false">
      <c r="A4" s="61" t="s">
        <v>357</v>
      </c>
      <c r="B4" s="62" t="n">
        <v>1</v>
      </c>
    </row>
    <row r="5" customFormat="false" ht="12.8" hidden="false" customHeight="false" outlineLevel="0" collapsed="false">
      <c r="A5" s="61" t="s">
        <v>304</v>
      </c>
      <c r="B5" s="62" t="n">
        <v>1</v>
      </c>
    </row>
    <row r="6" customFormat="false" ht="12.8" hidden="false" customHeight="false" outlineLevel="0" collapsed="false">
      <c r="A6" s="61" t="s">
        <v>397</v>
      </c>
      <c r="B6" s="62" t="n">
        <v>2</v>
      </c>
    </row>
    <row r="7" customFormat="false" ht="12.8" hidden="false" customHeight="false" outlineLevel="0" collapsed="false">
      <c r="A7" s="61" t="s">
        <v>293</v>
      </c>
      <c r="B7" s="62" t="n">
        <v>6</v>
      </c>
    </row>
    <row r="8" customFormat="false" ht="12.8" hidden="false" customHeight="false" outlineLevel="0" collapsed="false">
      <c r="A8" s="61" t="s">
        <v>411</v>
      </c>
      <c r="B8" s="62" t="n">
        <v>21</v>
      </c>
    </row>
    <row r="9" customFormat="false" ht="12.8" hidden="false" customHeight="false" outlineLevel="0" collapsed="false">
      <c r="A9" s="61" t="s">
        <v>307</v>
      </c>
      <c r="B9" s="62" t="n">
        <v>2</v>
      </c>
    </row>
    <row r="10" customFormat="false" ht="12.8" hidden="false" customHeight="false" outlineLevel="0" collapsed="false">
      <c r="A10" s="61" t="s">
        <v>350</v>
      </c>
      <c r="B10" s="62" t="n">
        <v>3</v>
      </c>
    </row>
    <row r="11" customFormat="false" ht="12.8" hidden="false" customHeight="false" outlineLevel="0" collapsed="false">
      <c r="A11" s="61" t="s">
        <v>404</v>
      </c>
      <c r="B11" s="62" t="n">
        <v>10</v>
      </c>
    </row>
    <row r="12" customFormat="false" ht="12.8" hidden="false" customHeight="false" outlineLevel="0" collapsed="false">
      <c r="A12" s="61" t="s">
        <v>440</v>
      </c>
      <c r="B12" s="62" t="n">
        <v>2</v>
      </c>
    </row>
    <row r="13" customFormat="false" ht="12.8" hidden="false" customHeight="false" outlineLevel="0" collapsed="false">
      <c r="A13" s="61" t="s">
        <v>277</v>
      </c>
      <c r="B13" s="62" t="n">
        <v>2</v>
      </c>
    </row>
    <row r="14" customFormat="false" ht="12.8" hidden="false" customHeight="false" outlineLevel="0" collapsed="false">
      <c r="A14" s="61" t="s">
        <v>388</v>
      </c>
      <c r="B14" s="62" t="n">
        <v>1</v>
      </c>
    </row>
    <row r="15" customFormat="false" ht="12.8" hidden="false" customHeight="false" outlineLevel="0" collapsed="false">
      <c r="A15" s="61" t="s">
        <v>419</v>
      </c>
      <c r="B15" s="62" t="n">
        <v>2</v>
      </c>
    </row>
    <row r="16" customFormat="false" ht="12.8" hidden="false" customHeight="false" outlineLevel="0" collapsed="false">
      <c r="A16" s="61" t="s">
        <v>310</v>
      </c>
      <c r="B16" s="62" t="n">
        <v>5</v>
      </c>
    </row>
    <row r="17" customFormat="false" ht="12.8" hidden="false" customHeight="false" outlineLevel="0" collapsed="false">
      <c r="A17" s="61" t="s">
        <v>413</v>
      </c>
      <c r="B17" s="62" t="n">
        <v>5</v>
      </c>
    </row>
    <row r="18" customFormat="false" ht="12.8" hidden="false" customHeight="false" outlineLevel="0" collapsed="false">
      <c r="A18" s="61" t="s">
        <v>291</v>
      </c>
      <c r="B18" s="62" t="n">
        <v>2</v>
      </c>
    </row>
    <row r="19" customFormat="false" ht="12.8" hidden="false" customHeight="false" outlineLevel="0" collapsed="false">
      <c r="A19" s="61" t="s">
        <v>425</v>
      </c>
      <c r="B19" s="62" t="n">
        <v>19</v>
      </c>
    </row>
    <row r="20" customFormat="false" ht="12.8" hidden="false" customHeight="false" outlineLevel="0" collapsed="false">
      <c r="A20" s="61" t="s">
        <v>328</v>
      </c>
      <c r="B20" s="62" t="n">
        <v>9</v>
      </c>
    </row>
    <row r="21" customFormat="false" ht="12.8" hidden="false" customHeight="false" outlineLevel="0" collapsed="false">
      <c r="A21" s="61" t="s">
        <v>344</v>
      </c>
      <c r="B21" s="62" t="n">
        <v>5</v>
      </c>
    </row>
    <row r="22" customFormat="false" ht="12.8" hidden="false" customHeight="false" outlineLevel="0" collapsed="false">
      <c r="A22" s="61" t="s">
        <v>308</v>
      </c>
      <c r="B22" s="62" t="n">
        <v>8</v>
      </c>
    </row>
    <row r="23" customFormat="false" ht="12.8" hidden="false" customHeight="false" outlineLevel="0" collapsed="false">
      <c r="A23" s="61" t="s">
        <v>414</v>
      </c>
      <c r="B23" s="62" t="n">
        <v>10</v>
      </c>
    </row>
    <row r="24" customFormat="false" ht="12.8" hidden="false" customHeight="false" outlineLevel="0" collapsed="false">
      <c r="A24" s="61" t="s">
        <v>324</v>
      </c>
      <c r="B24" s="62" t="n">
        <v>9</v>
      </c>
    </row>
    <row r="25" customFormat="false" ht="12.8" hidden="false" customHeight="false" outlineLevel="0" collapsed="false">
      <c r="A25" s="61" t="s">
        <v>401</v>
      </c>
      <c r="B25" s="62" t="n">
        <v>2</v>
      </c>
    </row>
    <row r="26" customFormat="false" ht="12.8" hidden="false" customHeight="false" outlineLevel="0" collapsed="false">
      <c r="A26" s="61" t="s">
        <v>373</v>
      </c>
      <c r="B26" s="62" t="n">
        <v>7</v>
      </c>
    </row>
    <row r="27" customFormat="false" ht="12.8" hidden="false" customHeight="false" outlineLevel="0" collapsed="false">
      <c r="A27" s="61" t="s">
        <v>432</v>
      </c>
      <c r="B27" s="62" t="n">
        <v>2</v>
      </c>
    </row>
    <row r="28" customFormat="false" ht="12.8" hidden="false" customHeight="false" outlineLevel="0" collapsed="false">
      <c r="A28" s="61" t="s">
        <v>367</v>
      </c>
      <c r="B28" s="62" t="n">
        <v>2</v>
      </c>
    </row>
    <row r="29" customFormat="false" ht="12.8" hidden="false" customHeight="false" outlineLevel="0" collapsed="false">
      <c r="A29" s="61" t="s">
        <v>435</v>
      </c>
      <c r="B29" s="62" t="n">
        <v>2</v>
      </c>
    </row>
    <row r="30" customFormat="false" ht="12.8" hidden="false" customHeight="false" outlineLevel="0" collapsed="false">
      <c r="A30" s="61" t="s">
        <v>379</v>
      </c>
      <c r="B30" s="62" t="n">
        <v>2</v>
      </c>
    </row>
    <row r="31" customFormat="false" ht="12.8" hidden="false" customHeight="false" outlineLevel="0" collapsed="false">
      <c r="A31" s="61" t="s">
        <v>316</v>
      </c>
      <c r="B31" s="62" t="n">
        <v>1</v>
      </c>
    </row>
    <row r="32" customFormat="false" ht="12.8" hidden="false" customHeight="false" outlineLevel="0" collapsed="false">
      <c r="A32" s="61" t="s">
        <v>386</v>
      </c>
      <c r="B32" s="62" t="n">
        <v>2</v>
      </c>
    </row>
    <row r="33" customFormat="false" ht="12.8" hidden="false" customHeight="false" outlineLevel="0" collapsed="false">
      <c r="A33" s="61" t="s">
        <v>301</v>
      </c>
      <c r="B33" s="62" t="n">
        <v>2</v>
      </c>
    </row>
    <row r="34" customFormat="false" ht="12.8" hidden="false" customHeight="false" outlineLevel="0" collapsed="false">
      <c r="A34" s="61" t="s">
        <v>287</v>
      </c>
      <c r="B34" s="62" t="n">
        <v>11</v>
      </c>
    </row>
    <row r="35" customFormat="false" ht="12.8" hidden="false" customHeight="false" outlineLevel="0" collapsed="false">
      <c r="A35" s="61" t="s">
        <v>281</v>
      </c>
      <c r="B35" s="62" t="n">
        <v>1</v>
      </c>
    </row>
    <row r="36" customFormat="false" ht="12.8" hidden="false" customHeight="false" outlineLevel="0" collapsed="false">
      <c r="A36" s="61" t="s">
        <v>376</v>
      </c>
      <c r="B36" s="62" t="n">
        <v>2</v>
      </c>
    </row>
    <row r="37" customFormat="false" ht="12.8" hidden="false" customHeight="false" outlineLevel="0" collapsed="false">
      <c r="A37" s="61" t="s">
        <v>392</v>
      </c>
      <c r="B37" s="62" t="n">
        <v>5</v>
      </c>
    </row>
    <row r="38" customFormat="false" ht="12.8" hidden="false" customHeight="false" outlineLevel="0" collapsed="false">
      <c r="A38" s="61" t="s">
        <v>294</v>
      </c>
      <c r="B38" s="62" t="n">
        <v>1</v>
      </c>
    </row>
    <row r="39" customFormat="false" ht="12.8" hidden="false" customHeight="false" outlineLevel="0" collapsed="false">
      <c r="A39" s="61" t="s">
        <v>333</v>
      </c>
      <c r="B39" s="62" t="n">
        <v>2</v>
      </c>
    </row>
    <row r="40" customFormat="false" ht="12.8" hidden="false" customHeight="false" outlineLevel="0" collapsed="false">
      <c r="A40" s="61" t="s">
        <v>288</v>
      </c>
      <c r="B40" s="62" t="n">
        <v>5</v>
      </c>
    </row>
    <row r="41" customFormat="false" ht="12.8" hidden="false" customHeight="false" outlineLevel="0" collapsed="false">
      <c r="A41" s="61" t="s">
        <v>354</v>
      </c>
      <c r="B41" s="62" t="n">
        <v>3</v>
      </c>
    </row>
    <row r="42" customFormat="false" ht="12.8" hidden="false" customHeight="false" outlineLevel="0" collapsed="false">
      <c r="A42" s="61" t="s">
        <v>329</v>
      </c>
      <c r="B42" s="62" t="n">
        <v>2</v>
      </c>
    </row>
    <row r="43" customFormat="false" ht="12.8" hidden="false" customHeight="false" outlineLevel="0" collapsed="false">
      <c r="A43" s="61" t="s">
        <v>431</v>
      </c>
      <c r="B43" s="62" t="n">
        <v>2</v>
      </c>
    </row>
    <row r="44" customFormat="false" ht="12.8" hidden="false" customHeight="false" outlineLevel="0" collapsed="false">
      <c r="A44" s="61" t="s">
        <v>305</v>
      </c>
      <c r="B44" s="62" t="n">
        <v>1</v>
      </c>
    </row>
    <row r="45" customFormat="false" ht="12.8" hidden="false" customHeight="false" outlineLevel="0" collapsed="false">
      <c r="A45" s="61" t="s">
        <v>295</v>
      </c>
      <c r="B45" s="62" t="n">
        <v>1</v>
      </c>
    </row>
    <row r="46" customFormat="false" ht="12.8" hidden="false" customHeight="false" outlineLevel="0" collapsed="false">
      <c r="A46" s="61" t="s">
        <v>320</v>
      </c>
      <c r="B46" s="62" t="n">
        <v>3</v>
      </c>
    </row>
    <row r="47" customFormat="false" ht="12.8" hidden="false" customHeight="false" outlineLevel="0" collapsed="false">
      <c r="A47" s="61" t="s">
        <v>364</v>
      </c>
      <c r="B47" s="62" t="n">
        <v>7</v>
      </c>
    </row>
    <row r="48" customFormat="false" ht="12.8" hidden="false" customHeight="false" outlineLevel="0" collapsed="false">
      <c r="A48" s="61" t="s">
        <v>352</v>
      </c>
      <c r="B48" s="62" t="n">
        <v>4</v>
      </c>
    </row>
    <row r="49" customFormat="false" ht="12.8" hidden="false" customHeight="false" outlineLevel="0" collapsed="false">
      <c r="A49" s="61" t="s">
        <v>275</v>
      </c>
      <c r="B49" s="62" t="n">
        <v>3</v>
      </c>
    </row>
    <row r="50" customFormat="false" ht="12.8" hidden="false" customHeight="false" outlineLevel="0" collapsed="false">
      <c r="A50" s="61" t="s">
        <v>322</v>
      </c>
      <c r="B50" s="62" t="n">
        <v>14</v>
      </c>
    </row>
    <row r="51" customFormat="false" ht="12.8" hidden="false" customHeight="false" outlineLevel="0" collapsed="false">
      <c r="A51" s="61" t="s">
        <v>356</v>
      </c>
      <c r="B51" s="62" t="n">
        <v>1</v>
      </c>
    </row>
    <row r="52" customFormat="false" ht="12.8" hidden="false" customHeight="false" outlineLevel="0" collapsed="false">
      <c r="A52" s="61" t="s">
        <v>372</v>
      </c>
      <c r="B52" s="62" t="n">
        <v>7</v>
      </c>
    </row>
    <row r="53" customFormat="false" ht="12.8" hidden="false" customHeight="false" outlineLevel="0" collapsed="false">
      <c r="A53" s="61" t="s">
        <v>292</v>
      </c>
      <c r="B53" s="62" t="n">
        <v>12</v>
      </c>
    </row>
    <row r="54" customFormat="false" ht="12.8" hidden="false" customHeight="false" outlineLevel="0" collapsed="false">
      <c r="A54" s="61" t="s">
        <v>378</v>
      </c>
      <c r="B54" s="62" t="n">
        <v>2</v>
      </c>
    </row>
    <row r="55" customFormat="false" ht="12.8" hidden="false" customHeight="false" outlineLevel="0" collapsed="false">
      <c r="A55" s="61" t="s">
        <v>325</v>
      </c>
      <c r="B55" s="62" t="n">
        <v>4</v>
      </c>
    </row>
    <row r="56" customFormat="false" ht="12.8" hidden="false" customHeight="false" outlineLevel="0" collapsed="false">
      <c r="A56" s="61" t="s">
        <v>371</v>
      </c>
      <c r="B56" s="62" t="n">
        <v>2</v>
      </c>
    </row>
    <row r="57" customFormat="false" ht="12.8" hidden="false" customHeight="false" outlineLevel="0" collapsed="false">
      <c r="A57" s="61" t="s">
        <v>442</v>
      </c>
      <c r="B57" s="62" t="n">
        <v>1</v>
      </c>
    </row>
    <row r="58" customFormat="false" ht="12.8" hidden="false" customHeight="false" outlineLevel="0" collapsed="false">
      <c r="A58" s="61" t="s">
        <v>385</v>
      </c>
      <c r="B58" s="62" t="n">
        <v>2</v>
      </c>
    </row>
    <row r="59" customFormat="false" ht="12.8" hidden="false" customHeight="false" outlineLevel="0" collapsed="false">
      <c r="A59" s="61" t="s">
        <v>342</v>
      </c>
      <c r="B59" s="62" t="n">
        <v>1</v>
      </c>
    </row>
    <row r="60" customFormat="false" ht="12.8" hidden="false" customHeight="false" outlineLevel="0" collapsed="false">
      <c r="A60" s="61" t="s">
        <v>326</v>
      </c>
      <c r="B60" s="62" t="n">
        <v>4</v>
      </c>
    </row>
    <row r="61" customFormat="false" ht="12.8" hidden="false" customHeight="false" outlineLevel="0" collapsed="false">
      <c r="A61" s="61" t="s">
        <v>422</v>
      </c>
      <c r="B61" s="62" t="n">
        <v>4</v>
      </c>
    </row>
    <row r="62" customFormat="false" ht="12.8" hidden="false" customHeight="false" outlineLevel="0" collapsed="false">
      <c r="A62" s="61" t="s">
        <v>283</v>
      </c>
      <c r="B62" s="62" t="n">
        <v>2</v>
      </c>
    </row>
    <row r="63" customFormat="false" ht="12.8" hidden="false" customHeight="false" outlineLevel="0" collapsed="false">
      <c r="A63" s="61" t="s">
        <v>299</v>
      </c>
      <c r="B63" s="62" t="n">
        <v>11</v>
      </c>
    </row>
    <row r="64" customFormat="false" ht="12.8" hidden="false" customHeight="false" outlineLevel="0" collapsed="false">
      <c r="A64" s="61" t="s">
        <v>389</v>
      </c>
      <c r="B64" s="62" t="n">
        <v>4</v>
      </c>
    </row>
    <row r="65" customFormat="false" ht="12.8" hidden="false" customHeight="false" outlineLevel="0" collapsed="false">
      <c r="A65" s="61" t="s">
        <v>346</v>
      </c>
      <c r="B65" s="62" t="n">
        <v>2</v>
      </c>
    </row>
    <row r="66" customFormat="false" ht="12.8" hidden="false" customHeight="false" outlineLevel="0" collapsed="false">
      <c r="A66" s="61" t="s">
        <v>427</v>
      </c>
      <c r="B66" s="62" t="n">
        <v>3</v>
      </c>
    </row>
    <row r="67" customFormat="false" ht="12.8" hidden="false" customHeight="false" outlineLevel="0" collapsed="false">
      <c r="A67" s="61" t="s">
        <v>382</v>
      </c>
      <c r="B67" s="62" t="n">
        <v>7</v>
      </c>
    </row>
    <row r="68" customFormat="false" ht="12.8" hidden="false" customHeight="false" outlineLevel="0" collapsed="false">
      <c r="A68" s="61" t="s">
        <v>339</v>
      </c>
      <c r="B68" s="62" t="n">
        <v>2</v>
      </c>
    </row>
    <row r="69" customFormat="false" ht="12.8" hidden="false" customHeight="false" outlineLevel="0" collapsed="false">
      <c r="A69" s="61" t="s">
        <v>393</v>
      </c>
      <c r="B69" s="62" t="n">
        <v>5</v>
      </c>
    </row>
    <row r="70" customFormat="false" ht="12.8" hidden="false" customHeight="false" outlineLevel="0" collapsed="false">
      <c r="A70" s="61" t="s">
        <v>374</v>
      </c>
      <c r="B70" s="62" t="n">
        <v>10</v>
      </c>
    </row>
    <row r="71" customFormat="false" ht="12.8" hidden="false" customHeight="false" outlineLevel="0" collapsed="false">
      <c r="A71" s="61" t="s">
        <v>358</v>
      </c>
      <c r="B71" s="62" t="n">
        <v>1</v>
      </c>
    </row>
    <row r="72" customFormat="false" ht="12.8" hidden="false" customHeight="false" outlineLevel="0" collapsed="false">
      <c r="A72" s="61" t="s">
        <v>331</v>
      </c>
      <c r="B72" s="62" t="n">
        <v>7</v>
      </c>
    </row>
    <row r="73" customFormat="false" ht="12.8" hidden="false" customHeight="false" outlineLevel="0" collapsed="false">
      <c r="A73" s="61" t="s">
        <v>282</v>
      </c>
      <c r="B73" s="62" t="n">
        <v>1</v>
      </c>
    </row>
    <row r="74" customFormat="false" ht="12.8" hidden="false" customHeight="false" outlineLevel="0" collapsed="false">
      <c r="A74" s="61" t="s">
        <v>429</v>
      </c>
      <c r="B74" s="62" t="n">
        <v>10</v>
      </c>
    </row>
    <row r="75" customFormat="false" ht="12.8" hidden="false" customHeight="false" outlineLevel="0" collapsed="false">
      <c r="A75" s="61" t="s">
        <v>441</v>
      </c>
      <c r="B75" s="62" t="n">
        <v>1</v>
      </c>
    </row>
    <row r="76" customFormat="false" ht="12.8" hidden="false" customHeight="false" outlineLevel="0" collapsed="false">
      <c r="A76" s="61" t="s">
        <v>436</v>
      </c>
      <c r="B76" s="62" t="n">
        <v>1</v>
      </c>
    </row>
    <row r="77" customFormat="false" ht="12.8" hidden="false" customHeight="false" outlineLevel="0" collapsed="false">
      <c r="A77" s="61" t="s">
        <v>285</v>
      </c>
      <c r="B77" s="62" t="n">
        <v>4</v>
      </c>
    </row>
    <row r="78" customFormat="false" ht="12.8" hidden="false" customHeight="false" outlineLevel="0" collapsed="false">
      <c r="A78" s="61" t="s">
        <v>360</v>
      </c>
      <c r="B78" s="62" t="n">
        <v>16</v>
      </c>
    </row>
    <row r="79" customFormat="false" ht="12.8" hidden="false" customHeight="false" outlineLevel="0" collapsed="false">
      <c r="A79" s="61" t="s">
        <v>272</v>
      </c>
      <c r="B79" s="62" t="n">
        <v>1</v>
      </c>
    </row>
    <row r="80" customFormat="false" ht="12.8" hidden="false" customHeight="false" outlineLevel="0" collapsed="false">
      <c r="A80" s="61" t="s">
        <v>423</v>
      </c>
      <c r="B80" s="62" t="n">
        <v>2</v>
      </c>
    </row>
    <row r="81" customFormat="false" ht="12.8" hidden="false" customHeight="false" outlineLevel="0" collapsed="false">
      <c r="A81" s="61" t="s">
        <v>311</v>
      </c>
      <c r="B81" s="62" t="n">
        <v>6</v>
      </c>
    </row>
    <row r="82" customFormat="false" ht="12.8" hidden="false" customHeight="false" outlineLevel="0" collapsed="false">
      <c r="A82" s="61" t="s">
        <v>380</v>
      </c>
      <c r="B82" s="62" t="n">
        <v>21</v>
      </c>
    </row>
    <row r="83" customFormat="false" ht="12.8" hidden="false" customHeight="false" outlineLevel="0" collapsed="false">
      <c r="A83" s="61" t="s">
        <v>336</v>
      </c>
      <c r="B83" s="62" t="n">
        <v>5</v>
      </c>
    </row>
    <row r="84" customFormat="false" ht="12.8" hidden="false" customHeight="false" outlineLevel="0" collapsed="false">
      <c r="A84" s="61" t="s">
        <v>348</v>
      </c>
      <c r="B84" s="62" t="n">
        <v>4</v>
      </c>
    </row>
    <row r="85" customFormat="false" ht="12.8" hidden="false" customHeight="false" outlineLevel="0" collapsed="false">
      <c r="A85" s="61" t="s">
        <v>437</v>
      </c>
      <c r="B85" s="62" t="n">
        <v>1</v>
      </c>
    </row>
    <row r="86" customFormat="false" ht="12.8" hidden="false" customHeight="false" outlineLevel="0" collapsed="false">
      <c r="A86" s="61" t="s">
        <v>274</v>
      </c>
      <c r="B86" s="62" t="n">
        <v>4</v>
      </c>
    </row>
    <row r="87" customFormat="false" ht="12.8" hidden="false" customHeight="false" outlineLevel="0" collapsed="false">
      <c r="A87" s="61" t="s">
        <v>439</v>
      </c>
      <c r="B87" s="62" t="n">
        <v>1</v>
      </c>
    </row>
    <row r="88" customFormat="false" ht="12.8" hidden="false" customHeight="false" outlineLevel="0" collapsed="false">
      <c r="A88" s="61" t="s">
        <v>438</v>
      </c>
      <c r="B88" s="62" t="n">
        <v>2</v>
      </c>
    </row>
    <row r="89" customFormat="false" ht="12.8" hidden="false" customHeight="false" outlineLevel="0" collapsed="false">
      <c r="A89" s="61" t="s">
        <v>349</v>
      </c>
      <c r="B89" s="62" t="n">
        <v>7</v>
      </c>
    </row>
    <row r="90" customFormat="false" ht="12.8" hidden="false" customHeight="false" outlineLevel="0" collapsed="false">
      <c r="A90" s="61" t="s">
        <v>309</v>
      </c>
      <c r="B90" s="62" t="n">
        <v>10</v>
      </c>
    </row>
    <row r="91" customFormat="false" ht="12.8" hidden="false" customHeight="false" outlineLevel="0" collapsed="false">
      <c r="A91" s="61" t="s">
        <v>355</v>
      </c>
      <c r="B91" s="62" t="n">
        <v>1</v>
      </c>
    </row>
    <row r="92" customFormat="false" ht="12.8" hidden="false" customHeight="false" outlineLevel="0" collapsed="false">
      <c r="A92" s="61" t="s">
        <v>412</v>
      </c>
      <c r="B92" s="62" t="n">
        <v>5</v>
      </c>
    </row>
    <row r="93" customFormat="false" ht="12.8" hidden="false" customHeight="false" outlineLevel="0" collapsed="false">
      <c r="A93" s="61" t="s">
        <v>335</v>
      </c>
      <c r="B93" s="62" t="n">
        <v>10</v>
      </c>
    </row>
    <row r="94" customFormat="false" ht="12.8" hidden="false" customHeight="false" outlineLevel="0" collapsed="false">
      <c r="A94" s="61" t="s">
        <v>409</v>
      </c>
      <c r="B94" s="62" t="n">
        <v>2</v>
      </c>
    </row>
    <row r="95" customFormat="false" ht="12.8" hidden="false" customHeight="false" outlineLevel="0" collapsed="false">
      <c r="A95" s="61" t="s">
        <v>278</v>
      </c>
      <c r="B95" s="62" t="n">
        <v>2</v>
      </c>
    </row>
    <row r="96" customFormat="false" ht="12.8" hidden="false" customHeight="false" outlineLevel="0" collapsed="false">
      <c r="A96" s="61" t="s">
        <v>363</v>
      </c>
      <c r="B96" s="62" t="n">
        <v>7</v>
      </c>
    </row>
    <row r="97" customFormat="false" ht="12.8" hidden="false" customHeight="false" outlineLevel="0" collapsed="false">
      <c r="A97" s="61" t="s">
        <v>361</v>
      </c>
      <c r="B97" s="62" t="n">
        <v>4</v>
      </c>
    </row>
    <row r="98" customFormat="false" ht="12.8" hidden="false" customHeight="false" outlineLevel="0" collapsed="false">
      <c r="A98" s="61" t="s">
        <v>434</v>
      </c>
      <c r="B98" s="62" t="n">
        <v>2</v>
      </c>
    </row>
    <row r="99" customFormat="false" ht="12.8" hidden="false" customHeight="false" outlineLevel="0" collapsed="false">
      <c r="A99" s="61" t="s">
        <v>400</v>
      </c>
      <c r="B99" s="62" t="n">
        <v>12</v>
      </c>
    </row>
    <row r="100" customFormat="false" ht="12.8" hidden="false" customHeight="false" outlineLevel="0" collapsed="false">
      <c r="A100" s="61" t="s">
        <v>332</v>
      </c>
      <c r="B100" s="62" t="n">
        <v>3</v>
      </c>
    </row>
    <row r="101" customFormat="false" ht="12.8" hidden="false" customHeight="false" outlineLevel="0" collapsed="false">
      <c r="A101" s="61" t="s">
        <v>381</v>
      </c>
      <c r="B101" s="62" t="n">
        <v>7</v>
      </c>
    </row>
    <row r="102" customFormat="false" ht="12.8" hidden="false" customHeight="false" outlineLevel="0" collapsed="false">
      <c r="A102" s="61" t="s">
        <v>362</v>
      </c>
      <c r="B102" s="62" t="n">
        <v>23</v>
      </c>
    </row>
    <row r="103" customFormat="false" ht="12.8" hidden="false" customHeight="false" outlineLevel="0" collapsed="false">
      <c r="A103" s="61" t="s">
        <v>340</v>
      </c>
      <c r="B103" s="62" t="n">
        <v>6</v>
      </c>
    </row>
    <row r="104" customFormat="false" ht="12.8" hidden="false" customHeight="false" outlineLevel="0" collapsed="false">
      <c r="A104" s="61" t="s">
        <v>377</v>
      </c>
      <c r="B104" s="62" t="n">
        <v>8</v>
      </c>
    </row>
    <row r="105" customFormat="false" ht="12.8" hidden="false" customHeight="false" outlineLevel="0" collapsed="false">
      <c r="A105" s="61" t="s">
        <v>405</v>
      </c>
      <c r="B105" s="62" t="n">
        <v>2</v>
      </c>
    </row>
    <row r="106" customFormat="false" ht="12.8" hidden="false" customHeight="false" outlineLevel="0" collapsed="false">
      <c r="A106" s="61" t="s">
        <v>387</v>
      </c>
      <c r="B106" s="62" t="n">
        <v>1</v>
      </c>
    </row>
    <row r="107" customFormat="false" ht="12.8" hidden="false" customHeight="false" outlineLevel="0" collapsed="false">
      <c r="A107" s="61" t="s">
        <v>369</v>
      </c>
      <c r="B107" s="62" t="n">
        <v>12</v>
      </c>
    </row>
    <row r="108" customFormat="false" ht="12.8" hidden="false" customHeight="false" outlineLevel="0" collapsed="false">
      <c r="A108" s="61" t="s">
        <v>347</v>
      </c>
      <c r="B108" s="62" t="n">
        <v>1</v>
      </c>
    </row>
    <row r="109" customFormat="false" ht="12.8" hidden="false" customHeight="false" outlineLevel="0" collapsed="false">
      <c r="A109" s="61" t="s">
        <v>319</v>
      </c>
      <c r="B109" s="62" t="n">
        <v>2</v>
      </c>
    </row>
    <row r="110" customFormat="false" ht="12.8" hidden="false" customHeight="false" outlineLevel="0" collapsed="false">
      <c r="A110" s="61" t="s">
        <v>406</v>
      </c>
      <c r="B110" s="62" t="n">
        <v>2</v>
      </c>
    </row>
    <row r="111" customFormat="false" ht="12.8" hidden="false" customHeight="false" outlineLevel="0" collapsed="false">
      <c r="A111" s="61" t="s">
        <v>317</v>
      </c>
      <c r="B111" s="62" t="n">
        <v>1</v>
      </c>
    </row>
    <row r="112" customFormat="false" ht="12.8" hidden="false" customHeight="false" outlineLevel="0" collapsed="false">
      <c r="A112" s="61" t="s">
        <v>279</v>
      </c>
      <c r="B112" s="62" t="n">
        <v>4</v>
      </c>
    </row>
    <row r="113" customFormat="false" ht="12.8" hidden="false" customHeight="false" outlineLevel="0" collapsed="false">
      <c r="A113" s="61" t="s">
        <v>298</v>
      </c>
      <c r="B113" s="62" t="n">
        <v>6</v>
      </c>
    </row>
    <row r="114" customFormat="false" ht="12.8" hidden="false" customHeight="false" outlineLevel="0" collapsed="false">
      <c r="A114" s="61" t="s">
        <v>341</v>
      </c>
      <c r="B114" s="62" t="n">
        <v>1</v>
      </c>
    </row>
    <row r="115" customFormat="false" ht="12.8" hidden="false" customHeight="false" outlineLevel="0" collapsed="false">
      <c r="A115" s="61" t="s">
        <v>337</v>
      </c>
      <c r="B115" s="62" t="n">
        <v>6</v>
      </c>
    </row>
    <row r="116" customFormat="false" ht="12.8" hidden="false" customHeight="false" outlineLevel="0" collapsed="false">
      <c r="A116" s="61" t="s">
        <v>421</v>
      </c>
      <c r="B116" s="62" t="n">
        <v>1</v>
      </c>
    </row>
    <row r="117" customFormat="false" ht="12.8" hidden="false" customHeight="false" outlineLevel="0" collapsed="false">
      <c r="A117" s="61" t="s">
        <v>396</v>
      </c>
      <c r="B117" s="62" t="n">
        <v>2</v>
      </c>
    </row>
    <row r="118" customFormat="false" ht="12.8" hidden="false" customHeight="false" outlineLevel="0" collapsed="false">
      <c r="A118" s="61" t="s">
        <v>415</v>
      </c>
      <c r="B118" s="62" t="n">
        <v>11</v>
      </c>
    </row>
    <row r="119" customFormat="false" ht="12.8" hidden="false" customHeight="false" outlineLevel="0" collapsed="false">
      <c r="A119" s="61" t="s">
        <v>306</v>
      </c>
      <c r="B119" s="62" t="n">
        <v>5</v>
      </c>
    </row>
    <row r="120" customFormat="false" ht="12.8" hidden="false" customHeight="false" outlineLevel="0" collapsed="false">
      <c r="A120" s="61" t="s">
        <v>428</v>
      </c>
      <c r="B120" s="62" t="n">
        <v>10</v>
      </c>
    </row>
    <row r="121" customFormat="false" ht="12.8" hidden="false" customHeight="false" outlineLevel="0" collapsed="false">
      <c r="A121" s="61" t="s">
        <v>399</v>
      </c>
      <c r="B121" s="62" t="n">
        <v>2</v>
      </c>
    </row>
    <row r="122" customFormat="false" ht="12.8" hidden="false" customHeight="false" outlineLevel="0" collapsed="false">
      <c r="A122" s="61" t="s">
        <v>353</v>
      </c>
      <c r="B122" s="62" t="n">
        <v>3</v>
      </c>
    </row>
    <row r="123" customFormat="false" ht="12.8" hidden="false" customHeight="false" outlineLevel="0" collapsed="false">
      <c r="A123" s="61" t="s">
        <v>343</v>
      </c>
      <c r="B123" s="62" t="n">
        <v>1</v>
      </c>
    </row>
    <row r="124" customFormat="false" ht="12.8" hidden="false" customHeight="false" outlineLevel="0" collapsed="false">
      <c r="A124" s="61" t="s">
        <v>297</v>
      </c>
      <c r="B124" s="62" t="n">
        <v>4</v>
      </c>
    </row>
    <row r="125" customFormat="false" ht="12.8" hidden="false" customHeight="false" outlineLevel="0" collapsed="false">
      <c r="A125" s="61" t="s">
        <v>314</v>
      </c>
      <c r="B125" s="62" t="n">
        <v>6</v>
      </c>
    </row>
    <row r="126" customFormat="false" ht="12.8" hidden="false" customHeight="false" outlineLevel="0" collapsed="false">
      <c r="A126" s="61" t="s">
        <v>424</v>
      </c>
      <c r="B126" s="62" t="n">
        <v>2</v>
      </c>
    </row>
    <row r="127" customFormat="false" ht="12.8" hidden="false" customHeight="false" outlineLevel="0" collapsed="false">
      <c r="A127" s="61" t="s">
        <v>418</v>
      </c>
      <c r="B127" s="62" t="n">
        <v>2</v>
      </c>
    </row>
    <row r="128" customFormat="false" ht="12.8" hidden="false" customHeight="false" outlineLevel="0" collapsed="false">
      <c r="A128" s="61" t="s">
        <v>345</v>
      </c>
      <c r="B128" s="62" t="n">
        <v>6</v>
      </c>
    </row>
    <row r="129" customFormat="false" ht="12.8" hidden="false" customHeight="false" outlineLevel="0" collapsed="false">
      <c r="A129" s="61" t="s">
        <v>426</v>
      </c>
      <c r="B129" s="62" t="n">
        <v>5</v>
      </c>
    </row>
    <row r="130" customFormat="false" ht="12.8" hidden="false" customHeight="false" outlineLevel="0" collapsed="false">
      <c r="A130" s="61" t="s">
        <v>366</v>
      </c>
      <c r="B130" s="62" t="n">
        <v>10</v>
      </c>
    </row>
    <row r="131" customFormat="false" ht="12.8" hidden="false" customHeight="false" outlineLevel="0" collapsed="false">
      <c r="A131" s="61" t="s">
        <v>403</v>
      </c>
      <c r="B131" s="62" t="n">
        <v>5</v>
      </c>
    </row>
    <row r="132" customFormat="false" ht="12.8" hidden="false" customHeight="false" outlineLevel="0" collapsed="false">
      <c r="A132" s="61" t="s">
        <v>408</v>
      </c>
      <c r="B132" s="62" t="n">
        <v>2</v>
      </c>
    </row>
    <row r="133" customFormat="false" ht="12.8" hidden="false" customHeight="false" outlineLevel="0" collapsed="false">
      <c r="A133" s="61" t="s">
        <v>365</v>
      </c>
      <c r="B133" s="62" t="n">
        <v>12</v>
      </c>
    </row>
    <row r="134" customFormat="false" ht="12.8" hidden="false" customHeight="false" outlineLevel="0" collapsed="false">
      <c r="A134" s="61" t="s">
        <v>390</v>
      </c>
      <c r="B134" s="62" t="n">
        <v>23</v>
      </c>
    </row>
    <row r="135" customFormat="false" ht="12.8" hidden="false" customHeight="false" outlineLevel="0" collapsed="false">
      <c r="A135" s="61" t="s">
        <v>368</v>
      </c>
      <c r="B135" s="62" t="n">
        <v>2</v>
      </c>
    </row>
    <row r="136" customFormat="false" ht="12.8" hidden="false" customHeight="false" outlineLevel="0" collapsed="false">
      <c r="A136" s="61" t="s">
        <v>394</v>
      </c>
      <c r="B136" s="62" t="n">
        <v>10</v>
      </c>
    </row>
    <row r="137" customFormat="false" ht="12.8" hidden="false" customHeight="false" outlineLevel="0" collapsed="false">
      <c r="A137" s="61" t="s">
        <v>384</v>
      </c>
      <c r="B137" s="62" t="n">
        <v>11</v>
      </c>
    </row>
    <row r="138" customFormat="false" ht="12.8" hidden="false" customHeight="false" outlineLevel="0" collapsed="false">
      <c r="A138" s="61" t="s">
        <v>273</v>
      </c>
      <c r="B138" s="62" t="n">
        <v>2</v>
      </c>
    </row>
    <row r="139" customFormat="false" ht="12.8" hidden="false" customHeight="false" outlineLevel="0" collapsed="false">
      <c r="A139" s="61" t="s">
        <v>289</v>
      </c>
      <c r="B139" s="62" t="n">
        <v>12</v>
      </c>
    </row>
    <row r="140" customFormat="false" ht="12.8" hidden="false" customHeight="false" outlineLevel="0" collapsed="false">
      <c r="A140" s="61" t="s">
        <v>302</v>
      </c>
      <c r="B140" s="62" t="n">
        <v>2</v>
      </c>
    </row>
    <row r="141" customFormat="false" ht="12.8" hidden="false" customHeight="false" outlineLevel="0" collapsed="false">
      <c r="A141" s="61" t="s">
        <v>321</v>
      </c>
      <c r="B141" s="62" t="n">
        <v>7</v>
      </c>
    </row>
    <row r="142" customFormat="false" ht="12.8" hidden="false" customHeight="false" outlineLevel="0" collapsed="false">
      <c r="A142" s="61" t="s">
        <v>375</v>
      </c>
      <c r="B142" s="62" t="n">
        <v>2</v>
      </c>
    </row>
    <row r="143" customFormat="false" ht="12.8" hidden="false" customHeight="false" outlineLevel="0" collapsed="false">
      <c r="A143" s="61" t="s">
        <v>420</v>
      </c>
      <c r="B143" s="62" t="n">
        <v>1</v>
      </c>
    </row>
    <row r="144" customFormat="false" ht="12.8" hidden="false" customHeight="false" outlineLevel="0" collapsed="false">
      <c r="A144" s="61" t="s">
        <v>395</v>
      </c>
      <c r="B144" s="62" t="n">
        <v>12</v>
      </c>
    </row>
    <row r="145" customFormat="false" ht="12.8" hidden="false" customHeight="false" outlineLevel="0" collapsed="false">
      <c r="A145" s="61" t="s">
        <v>296</v>
      </c>
      <c r="B145" s="62" t="n">
        <v>6</v>
      </c>
    </row>
    <row r="146" customFormat="false" ht="12.8" hidden="false" customHeight="false" outlineLevel="0" collapsed="false">
      <c r="A146" s="61" t="s">
        <v>284</v>
      </c>
      <c r="B146" s="62" t="n">
        <v>1</v>
      </c>
    </row>
    <row r="147" customFormat="false" ht="12.8" hidden="false" customHeight="false" outlineLevel="0" collapsed="false">
      <c r="A147" s="61" t="s">
        <v>334</v>
      </c>
      <c r="B147" s="62" t="n">
        <v>8</v>
      </c>
    </row>
    <row r="148" customFormat="false" ht="12.8" hidden="false" customHeight="false" outlineLevel="0" collapsed="false">
      <c r="A148" s="61" t="s">
        <v>315</v>
      </c>
      <c r="B148" s="62" t="n">
        <v>6</v>
      </c>
    </row>
    <row r="149" customFormat="false" ht="12.8" hidden="false" customHeight="false" outlineLevel="0" collapsed="false">
      <c r="A149" s="61" t="s">
        <v>417</v>
      </c>
      <c r="B149" s="62" t="n">
        <v>2</v>
      </c>
    </row>
    <row r="150" customFormat="false" ht="12.8" hidden="false" customHeight="false" outlineLevel="0" collapsed="false">
      <c r="A150" s="61" t="s">
        <v>290</v>
      </c>
      <c r="B150" s="62" t="n">
        <v>2</v>
      </c>
    </row>
    <row r="151" customFormat="false" ht="12.8" hidden="false" customHeight="false" outlineLevel="0" collapsed="false">
      <c r="A151" s="61" t="s">
        <v>391</v>
      </c>
      <c r="B151" s="62" t="n">
        <v>23</v>
      </c>
    </row>
    <row r="152" customFormat="false" ht="12.8" hidden="false" customHeight="false" outlineLevel="0" collapsed="false">
      <c r="A152" s="61" t="s">
        <v>407</v>
      </c>
      <c r="B152" s="62" t="n">
        <v>2</v>
      </c>
    </row>
    <row r="153" customFormat="false" ht="12.8" hidden="false" customHeight="false" outlineLevel="0" collapsed="false">
      <c r="A153" s="61" t="s">
        <v>351</v>
      </c>
      <c r="B153" s="62" t="n">
        <v>3</v>
      </c>
    </row>
    <row r="154" customFormat="false" ht="12.8" hidden="false" customHeight="false" outlineLevel="0" collapsed="false">
      <c r="A154" s="61" t="s">
        <v>327</v>
      </c>
      <c r="B154" s="62" t="n">
        <v>12</v>
      </c>
    </row>
    <row r="155" customFormat="false" ht="12.8" hidden="false" customHeight="false" outlineLevel="0" collapsed="false">
      <c r="A155" s="61" t="s">
        <v>276</v>
      </c>
      <c r="B155" s="62" t="n">
        <v>3</v>
      </c>
    </row>
    <row r="156" customFormat="false" ht="12.8" hidden="false" customHeight="false" outlineLevel="0" collapsed="false">
      <c r="A156" s="61" t="s">
        <v>443</v>
      </c>
      <c r="B156" s="62" t="n">
        <v>1</v>
      </c>
    </row>
    <row r="157" customFormat="false" ht="12.8" hidden="false" customHeight="false" outlineLevel="0" collapsed="false">
      <c r="A157" s="61" t="s">
        <v>383</v>
      </c>
      <c r="B157" s="62" t="n">
        <v>10</v>
      </c>
    </row>
    <row r="158" customFormat="false" ht="12.8" hidden="false" customHeight="false" outlineLevel="0" collapsed="false">
      <c r="A158" s="61" t="s">
        <v>338</v>
      </c>
      <c r="B158" s="62" t="n">
        <v>2</v>
      </c>
    </row>
    <row r="159" customFormat="false" ht="12.8" hidden="false" customHeight="false" outlineLevel="0" collapsed="false">
      <c r="A159" s="61" t="s">
        <v>312</v>
      </c>
      <c r="B159" s="62" t="n">
        <v>2</v>
      </c>
    </row>
    <row r="160" customFormat="false" ht="12.8" hidden="false" customHeight="false" outlineLevel="0" collapsed="false">
      <c r="A160" s="61" t="s">
        <v>323</v>
      </c>
      <c r="B160" s="62" t="n">
        <v>9</v>
      </c>
    </row>
    <row r="161" customFormat="false" ht="12.8" hidden="false" customHeight="false" outlineLevel="0" collapsed="false">
      <c r="A161" s="61" t="s">
        <v>318</v>
      </c>
      <c r="B161" s="62" t="n">
        <v>6</v>
      </c>
    </row>
    <row r="162" customFormat="false" ht="12.8" hidden="false" customHeight="false" outlineLevel="0" collapsed="false">
      <c r="A162" s="61" t="s">
        <v>430</v>
      </c>
      <c r="B162" s="62" t="n">
        <v>2</v>
      </c>
    </row>
    <row r="163" customFormat="false" ht="12.8" hidden="false" customHeight="false" outlineLevel="0" collapsed="false">
      <c r="A163" s="61" t="s">
        <v>300</v>
      </c>
      <c r="B163" s="62" t="n">
        <v>6</v>
      </c>
    </row>
    <row r="164" customFormat="false" ht="12.8" hidden="false" customHeight="false" outlineLevel="0" collapsed="false">
      <c r="A164" s="61" t="s">
        <v>330</v>
      </c>
      <c r="B164" s="62" t="n">
        <v>2</v>
      </c>
    </row>
    <row r="165" customFormat="false" ht="12.8" hidden="false" customHeight="false" outlineLevel="0" collapsed="false">
      <c r="A165" s="61" t="s">
        <v>286</v>
      </c>
      <c r="B165" s="62" t="n">
        <v>8</v>
      </c>
    </row>
    <row r="166" customFormat="false" ht="12.8" hidden="false" customHeight="false" outlineLevel="0" collapsed="false">
      <c r="A166" s="61" t="s">
        <v>398</v>
      </c>
      <c r="B166" s="62" t="n">
        <v>2</v>
      </c>
    </row>
    <row r="167" customFormat="false" ht="12.8" hidden="false" customHeight="false" outlineLevel="0" collapsed="false">
      <c r="A167" s="61" t="s">
        <v>416</v>
      </c>
      <c r="B167" s="62" t="n">
        <v>2</v>
      </c>
    </row>
    <row r="168" customFormat="false" ht="12.8" hidden="false" customHeight="false" outlineLevel="0" collapsed="false">
      <c r="A168" s="61" t="s">
        <v>410</v>
      </c>
      <c r="B168" s="62" t="n">
        <v>2</v>
      </c>
    </row>
    <row r="169" customFormat="false" ht="12.8" hidden="false" customHeight="false" outlineLevel="0" collapsed="false">
      <c r="A169" s="61" t="s">
        <v>359</v>
      </c>
      <c r="B169" s="62" t="n">
        <v>1</v>
      </c>
    </row>
    <row r="170" customFormat="false" ht="12.8" hidden="false" customHeight="false" outlineLevel="0" collapsed="false">
      <c r="A170" s="61" t="s">
        <v>433</v>
      </c>
      <c r="B170" s="62" t="n">
        <v>2</v>
      </c>
    </row>
    <row r="171" customFormat="false" ht="12.8" hidden="false" customHeight="false" outlineLevel="0" collapsed="false">
      <c r="A171" s="61" t="s">
        <v>280</v>
      </c>
      <c r="B171" s="62" t="n">
        <v>3</v>
      </c>
    </row>
    <row r="172" customFormat="false" ht="12.8" hidden="false" customHeight="false" outlineLevel="0" collapsed="false">
      <c r="A172" s="61" t="s">
        <v>370</v>
      </c>
      <c r="B172" s="62" t="n">
        <v>23</v>
      </c>
    </row>
    <row r="173" customFormat="false" ht="12.8" hidden="false" customHeight="false" outlineLevel="0" collapsed="false">
      <c r="A173" s="61" t="s">
        <v>313</v>
      </c>
      <c r="B173" s="63" t="n">
        <v>2</v>
      </c>
    </row>
    <row r="174" customFormat="false" ht="12.8" hidden="false" customHeight="false" outlineLevel="0" collapsed="false">
      <c r="A174" s="64" t="s">
        <v>617</v>
      </c>
      <c r="B174" s="58" t="n">
        <v>874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861" activeCellId="0" sqref="O86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7" style="4" width="11.53"/>
    <col collapsed="false" customWidth="true" hidden="false" outlineLevel="0" max="8" min="8" style="1" width="66.79"/>
  </cols>
  <sheetData>
    <row r="1" customFormat="false" ht="12.8" hidden="false" customHeight="false" outlineLevel="0" collapsed="false">
      <c r="A1" s="1" t="s">
        <v>6</v>
      </c>
      <c r="B1" s="1" t="n">
        <v>2</v>
      </c>
      <c r="C1" s="1" t="n">
        <v>1</v>
      </c>
      <c r="D1" s="1" t="s">
        <v>210</v>
      </c>
      <c r="E1" s="1" t="s">
        <v>206</v>
      </c>
      <c r="F1" s="1" t="n">
        <v>3770</v>
      </c>
      <c r="G1" s="4" t="n">
        <v>0</v>
      </c>
      <c r="H1" s="1" t="s">
        <v>272</v>
      </c>
    </row>
    <row r="2" customFormat="false" ht="12.8" hidden="false" customHeight="false" outlineLevel="0" collapsed="false">
      <c r="A2" s="1" t="s">
        <v>6</v>
      </c>
      <c r="B2" s="1" t="n">
        <v>2</v>
      </c>
      <c r="C2" s="1" t="n">
        <v>2</v>
      </c>
      <c r="D2" s="1" t="s">
        <v>206</v>
      </c>
      <c r="E2" s="1" t="s">
        <v>198</v>
      </c>
      <c r="F2" s="1" t="n">
        <v>3770</v>
      </c>
      <c r="G2" s="4" t="n">
        <v>0</v>
      </c>
      <c r="H2" s="1" t="s">
        <v>273</v>
      </c>
    </row>
    <row r="3" customFormat="false" ht="12.8" hidden="false" customHeight="false" outlineLevel="0" collapsed="false">
      <c r="A3" s="1" t="s">
        <v>6</v>
      </c>
      <c r="B3" s="1" t="n">
        <v>2</v>
      </c>
      <c r="C3" s="1" t="n">
        <v>3</v>
      </c>
      <c r="D3" s="1" t="s">
        <v>198</v>
      </c>
      <c r="E3" s="1" t="s">
        <v>207</v>
      </c>
      <c r="F3" s="1" t="n">
        <v>3770</v>
      </c>
      <c r="G3" s="4" t="n">
        <v>0</v>
      </c>
      <c r="H3" s="1" t="s">
        <v>274</v>
      </c>
    </row>
    <row r="4" customFormat="false" ht="12.8" hidden="false" customHeight="false" outlineLevel="0" collapsed="false">
      <c r="A4" s="1" t="s">
        <v>6</v>
      </c>
      <c r="B4" s="1" t="n">
        <v>2</v>
      </c>
      <c r="C4" s="1" t="n">
        <v>4</v>
      </c>
      <c r="D4" s="1" t="s">
        <v>207</v>
      </c>
      <c r="E4" s="1" t="s">
        <v>208</v>
      </c>
      <c r="F4" s="1" t="n">
        <v>3770</v>
      </c>
      <c r="G4" s="4" t="n">
        <v>0</v>
      </c>
      <c r="H4" s="1" t="s">
        <v>275</v>
      </c>
    </row>
    <row r="5" customFormat="false" ht="12.8" hidden="false" customHeight="false" outlineLevel="0" collapsed="false">
      <c r="A5" s="1" t="s">
        <v>6</v>
      </c>
      <c r="B5" s="1" t="n">
        <v>2</v>
      </c>
      <c r="C5" s="1" t="n">
        <v>5</v>
      </c>
      <c r="D5" s="1" t="s">
        <v>208</v>
      </c>
      <c r="E5" s="1" t="s">
        <v>206</v>
      </c>
      <c r="F5" s="1" t="n">
        <v>3770</v>
      </c>
      <c r="G5" s="4" t="n">
        <v>0</v>
      </c>
      <c r="H5" s="1" t="s">
        <v>276</v>
      </c>
    </row>
    <row r="6" customFormat="false" ht="12.8" hidden="false" customHeight="false" outlineLevel="0" collapsed="false">
      <c r="A6" s="1" t="s">
        <v>6</v>
      </c>
      <c r="B6" s="1" t="n">
        <v>2</v>
      </c>
      <c r="C6" s="1" t="n">
        <v>6</v>
      </c>
      <c r="D6" s="1" t="s">
        <v>206</v>
      </c>
      <c r="E6" s="1" t="s">
        <v>198</v>
      </c>
      <c r="F6" s="1" t="n">
        <v>3770</v>
      </c>
      <c r="G6" s="4" t="n">
        <v>0</v>
      </c>
      <c r="H6" s="1" t="s">
        <v>273</v>
      </c>
    </row>
    <row r="7" customFormat="false" ht="12.8" hidden="false" customHeight="false" outlineLevel="0" collapsed="false">
      <c r="A7" s="1" t="s">
        <v>6</v>
      </c>
      <c r="B7" s="1" t="n">
        <v>2</v>
      </c>
      <c r="C7" s="1" t="n">
        <v>7</v>
      </c>
      <c r="D7" s="1" t="s">
        <v>198</v>
      </c>
      <c r="E7" s="1" t="s">
        <v>207</v>
      </c>
      <c r="F7" s="1" t="n">
        <v>3770</v>
      </c>
      <c r="G7" s="4" t="n">
        <v>0</v>
      </c>
      <c r="H7" s="1" t="s">
        <v>274</v>
      </c>
    </row>
    <row r="8" customFormat="false" ht="12.8" hidden="false" customHeight="false" outlineLevel="0" collapsed="false">
      <c r="A8" s="1" t="s">
        <v>6</v>
      </c>
      <c r="B8" s="1" t="n">
        <v>2</v>
      </c>
      <c r="C8" s="1" t="n">
        <v>8</v>
      </c>
      <c r="D8" s="1" t="s">
        <v>207</v>
      </c>
      <c r="E8" s="1" t="s">
        <v>208</v>
      </c>
      <c r="F8" s="1" t="n">
        <v>3770</v>
      </c>
      <c r="G8" s="4" t="n">
        <v>0</v>
      </c>
      <c r="H8" s="1" t="s">
        <v>275</v>
      </c>
    </row>
    <row r="9" customFormat="false" ht="12.8" hidden="false" customHeight="false" outlineLevel="0" collapsed="false">
      <c r="A9" s="1" t="s">
        <v>6</v>
      </c>
      <c r="B9" s="1" t="n">
        <v>2</v>
      </c>
      <c r="C9" s="1" t="n">
        <v>9</v>
      </c>
      <c r="D9" s="1" t="s">
        <v>208</v>
      </c>
      <c r="E9" s="1" t="s">
        <v>206</v>
      </c>
      <c r="F9" s="1" t="n">
        <v>3770</v>
      </c>
      <c r="G9" s="4" t="n">
        <v>0</v>
      </c>
      <c r="H9" s="1" t="s">
        <v>276</v>
      </c>
    </row>
    <row r="10" customFormat="false" ht="12.8" hidden="false" customHeight="false" outlineLevel="0" collapsed="false">
      <c r="A10" s="1" t="s">
        <v>6</v>
      </c>
      <c r="B10" s="1" t="n">
        <v>2</v>
      </c>
      <c r="C10" s="1" t="n">
        <v>10</v>
      </c>
      <c r="D10" s="1" t="s">
        <v>206</v>
      </c>
      <c r="E10" s="1" t="s">
        <v>200</v>
      </c>
      <c r="F10" s="1" t="n">
        <v>3770</v>
      </c>
      <c r="G10" s="4" t="n">
        <v>0</v>
      </c>
      <c r="H10" s="1" t="s">
        <v>277</v>
      </c>
    </row>
    <row r="11" customFormat="false" ht="12.8" hidden="false" customHeight="false" outlineLevel="0" collapsed="false">
      <c r="A11" s="1" t="s">
        <v>6</v>
      </c>
      <c r="B11" s="1" t="n">
        <v>2</v>
      </c>
      <c r="C11" s="1" t="n">
        <v>11</v>
      </c>
      <c r="D11" s="1" t="s">
        <v>200</v>
      </c>
      <c r="E11" s="1" t="s">
        <v>207</v>
      </c>
      <c r="F11" s="1" t="n">
        <v>3770</v>
      </c>
      <c r="G11" s="4" t="n">
        <v>0</v>
      </c>
      <c r="H11" s="1" t="s">
        <v>278</v>
      </c>
    </row>
    <row r="12" customFormat="false" ht="12.8" hidden="false" customHeight="false" outlineLevel="0" collapsed="false">
      <c r="A12" s="1" t="s">
        <v>6</v>
      </c>
      <c r="B12" s="1" t="n">
        <v>2</v>
      </c>
      <c r="C12" s="1" t="n">
        <v>12</v>
      </c>
      <c r="D12" s="1" t="s">
        <v>207</v>
      </c>
      <c r="E12" s="1" t="s">
        <v>206</v>
      </c>
      <c r="F12" s="1" t="n">
        <v>3770</v>
      </c>
      <c r="G12" s="4" t="n">
        <v>0</v>
      </c>
      <c r="H12" s="1" t="s">
        <v>279</v>
      </c>
    </row>
    <row r="13" customFormat="false" ht="12.8" hidden="false" customHeight="false" outlineLevel="0" collapsed="false">
      <c r="A13" s="1" t="s">
        <v>6</v>
      </c>
      <c r="B13" s="1" t="n">
        <v>2</v>
      </c>
      <c r="C13" s="1" t="n">
        <v>13</v>
      </c>
      <c r="D13" s="1" t="s">
        <v>206</v>
      </c>
      <c r="E13" s="1" t="s">
        <v>208</v>
      </c>
      <c r="F13" s="1" t="n">
        <v>3770</v>
      </c>
      <c r="G13" s="4" t="n">
        <v>0</v>
      </c>
      <c r="H13" s="1" t="s">
        <v>280</v>
      </c>
    </row>
    <row r="14" customFormat="false" ht="12.8" hidden="false" customHeight="false" outlineLevel="0" collapsed="false">
      <c r="A14" s="1" t="s">
        <v>6</v>
      </c>
      <c r="B14" s="1" t="n">
        <v>2</v>
      </c>
      <c r="C14" s="1" t="n">
        <v>14</v>
      </c>
      <c r="D14" s="1" t="s">
        <v>208</v>
      </c>
      <c r="E14" s="1" t="s">
        <v>196</v>
      </c>
      <c r="F14" s="1" t="n">
        <v>3770</v>
      </c>
      <c r="G14" s="4" t="n">
        <v>0</v>
      </c>
      <c r="H14" s="1" t="s">
        <v>281</v>
      </c>
    </row>
    <row r="15" customFormat="false" ht="12.8" hidden="false" customHeight="false" outlineLevel="0" collapsed="false">
      <c r="A15" s="1" t="s">
        <v>6</v>
      </c>
      <c r="B15" s="1" t="n">
        <v>2</v>
      </c>
      <c r="C15" s="1" t="n">
        <v>15</v>
      </c>
      <c r="D15" s="1" t="s">
        <v>196</v>
      </c>
      <c r="E15" s="1" t="s">
        <v>207</v>
      </c>
      <c r="F15" s="1" t="n">
        <v>3770</v>
      </c>
      <c r="G15" s="4" t="n">
        <v>0</v>
      </c>
      <c r="H15" s="1" t="s">
        <v>282</v>
      </c>
    </row>
    <row r="16" customFormat="false" ht="12.8" hidden="false" customHeight="false" outlineLevel="0" collapsed="false">
      <c r="A16" s="1" t="s">
        <v>6</v>
      </c>
      <c r="B16" s="1" t="n">
        <v>2</v>
      </c>
      <c r="C16" s="1" t="n">
        <v>16</v>
      </c>
      <c r="D16" s="1" t="s">
        <v>207</v>
      </c>
      <c r="E16" s="1" t="s">
        <v>208</v>
      </c>
      <c r="F16" s="1" t="n">
        <v>3770</v>
      </c>
      <c r="G16" s="4" t="n">
        <v>0</v>
      </c>
      <c r="H16" s="1" t="s">
        <v>275</v>
      </c>
    </row>
    <row r="17" customFormat="false" ht="12.8" hidden="false" customHeight="false" outlineLevel="0" collapsed="false">
      <c r="A17" s="1" t="s">
        <v>6</v>
      </c>
      <c r="B17" s="1" t="n">
        <v>2</v>
      </c>
      <c r="C17" s="1" t="n">
        <v>17</v>
      </c>
      <c r="D17" s="1" t="s">
        <v>208</v>
      </c>
      <c r="E17" s="1" t="s">
        <v>206</v>
      </c>
      <c r="F17" s="1" t="n">
        <v>3770</v>
      </c>
      <c r="G17" s="4" t="n">
        <v>0</v>
      </c>
      <c r="H17" s="1" t="s">
        <v>276</v>
      </c>
    </row>
    <row r="18" customFormat="false" ht="12.8" hidden="false" customHeight="false" outlineLevel="0" collapsed="false">
      <c r="A18" s="1" t="s">
        <v>6</v>
      </c>
      <c r="B18" s="1" t="n">
        <v>2</v>
      </c>
      <c r="C18" s="1" t="n">
        <v>18</v>
      </c>
      <c r="D18" s="1" t="s">
        <v>206</v>
      </c>
      <c r="E18" s="1" t="s">
        <v>200</v>
      </c>
      <c r="F18" s="1" t="n">
        <v>3770</v>
      </c>
      <c r="G18" s="4" t="n">
        <v>0</v>
      </c>
      <c r="H18" s="1" t="s">
        <v>277</v>
      </c>
    </row>
    <row r="19" customFormat="false" ht="12.8" hidden="false" customHeight="false" outlineLevel="0" collapsed="false">
      <c r="A19" s="1" t="s">
        <v>6</v>
      </c>
      <c r="B19" s="1" t="n">
        <v>2</v>
      </c>
      <c r="C19" s="1" t="n">
        <v>19</v>
      </c>
      <c r="D19" s="1" t="s">
        <v>200</v>
      </c>
      <c r="E19" s="1" t="s">
        <v>207</v>
      </c>
      <c r="F19" s="1" t="n">
        <v>3770</v>
      </c>
      <c r="G19" s="4" t="n">
        <v>0</v>
      </c>
      <c r="H19" s="1" t="s">
        <v>278</v>
      </c>
    </row>
    <row r="20" customFormat="false" ht="12.8" hidden="false" customHeight="false" outlineLevel="0" collapsed="false">
      <c r="A20" s="1" t="s">
        <v>6</v>
      </c>
      <c r="B20" s="1" t="n">
        <v>2</v>
      </c>
      <c r="C20" s="1" t="n">
        <v>20</v>
      </c>
      <c r="D20" s="1" t="s">
        <v>207</v>
      </c>
      <c r="E20" s="1" t="s">
        <v>206</v>
      </c>
      <c r="F20" s="1" t="n">
        <v>3770</v>
      </c>
      <c r="G20" s="4" t="n">
        <v>0</v>
      </c>
      <c r="H20" s="1" t="s">
        <v>279</v>
      </c>
    </row>
    <row r="21" customFormat="false" ht="12.8" hidden="false" customHeight="false" outlineLevel="0" collapsed="false">
      <c r="A21" s="1" t="s">
        <v>6</v>
      </c>
      <c r="B21" s="1" t="n">
        <v>2</v>
      </c>
      <c r="C21" s="1" t="n">
        <v>21</v>
      </c>
      <c r="D21" s="1" t="s">
        <v>206</v>
      </c>
      <c r="E21" s="1" t="s">
        <v>208</v>
      </c>
      <c r="F21" s="1" t="n">
        <v>3770</v>
      </c>
      <c r="G21" s="4" t="n">
        <v>0</v>
      </c>
      <c r="H21" s="1" t="s">
        <v>280</v>
      </c>
    </row>
    <row r="22" customFormat="false" ht="12.8" hidden="false" customHeight="false" outlineLevel="0" collapsed="false">
      <c r="A22" s="1" t="s">
        <v>6</v>
      </c>
      <c r="B22" s="1" t="n">
        <v>2</v>
      </c>
      <c r="C22" s="1" t="n">
        <v>22</v>
      </c>
      <c r="D22" s="1" t="s">
        <v>208</v>
      </c>
      <c r="E22" s="1" t="s">
        <v>198</v>
      </c>
      <c r="F22" s="1" t="n">
        <v>3770</v>
      </c>
      <c r="G22" s="4" t="n">
        <v>0</v>
      </c>
      <c r="H22" s="1" t="s">
        <v>283</v>
      </c>
    </row>
    <row r="23" customFormat="false" ht="12.8" hidden="false" customHeight="false" outlineLevel="0" collapsed="false">
      <c r="A23" s="1" t="s">
        <v>6</v>
      </c>
      <c r="B23" s="1" t="n">
        <v>2</v>
      </c>
      <c r="C23" s="1" t="n">
        <v>23</v>
      </c>
      <c r="D23" s="1" t="s">
        <v>198</v>
      </c>
      <c r="E23" s="1" t="s">
        <v>207</v>
      </c>
      <c r="F23" s="1" t="n">
        <v>3770</v>
      </c>
      <c r="G23" s="4" t="n">
        <v>0</v>
      </c>
      <c r="H23" s="1" t="s">
        <v>274</v>
      </c>
    </row>
    <row r="24" customFormat="false" ht="12.8" hidden="false" customHeight="false" outlineLevel="0" collapsed="false">
      <c r="A24" s="1" t="s">
        <v>6</v>
      </c>
      <c r="B24" s="1" t="n">
        <v>2</v>
      </c>
      <c r="C24" s="1" t="n">
        <v>24</v>
      </c>
      <c r="D24" s="1" t="s">
        <v>207</v>
      </c>
      <c r="E24" s="1" t="s">
        <v>206</v>
      </c>
      <c r="F24" s="1" t="n">
        <v>3770</v>
      </c>
      <c r="G24" s="4" t="n">
        <v>0</v>
      </c>
      <c r="H24" s="1" t="s">
        <v>279</v>
      </c>
    </row>
    <row r="25" customFormat="false" ht="12.8" hidden="false" customHeight="false" outlineLevel="0" collapsed="false">
      <c r="A25" s="1" t="s">
        <v>6</v>
      </c>
      <c r="B25" s="1" t="n">
        <v>2</v>
      </c>
      <c r="C25" s="1" t="n">
        <v>25</v>
      </c>
      <c r="D25" s="1" t="s">
        <v>206</v>
      </c>
      <c r="E25" s="1" t="s">
        <v>208</v>
      </c>
      <c r="F25" s="1" t="n">
        <v>3770</v>
      </c>
      <c r="G25" s="4" t="n">
        <v>0</v>
      </c>
      <c r="H25" s="1" t="s">
        <v>280</v>
      </c>
    </row>
    <row r="26" customFormat="false" ht="12.8" hidden="false" customHeight="false" outlineLevel="0" collapsed="false">
      <c r="A26" s="1" t="s">
        <v>6</v>
      </c>
      <c r="B26" s="1" t="n">
        <v>2</v>
      </c>
      <c r="C26" s="1" t="n">
        <v>26</v>
      </c>
      <c r="D26" s="1" t="s">
        <v>208</v>
      </c>
      <c r="E26" s="1" t="s">
        <v>198</v>
      </c>
      <c r="F26" s="1" t="n">
        <v>3770</v>
      </c>
      <c r="G26" s="4" t="n">
        <v>0</v>
      </c>
      <c r="H26" s="1" t="s">
        <v>283</v>
      </c>
    </row>
    <row r="27" customFormat="false" ht="12.8" hidden="false" customHeight="false" outlineLevel="0" collapsed="false">
      <c r="A27" s="1" t="s">
        <v>6</v>
      </c>
      <c r="B27" s="1" t="n">
        <v>2</v>
      </c>
      <c r="C27" s="1" t="n">
        <v>27</v>
      </c>
      <c r="D27" s="1" t="s">
        <v>198</v>
      </c>
      <c r="E27" s="1" t="s">
        <v>207</v>
      </c>
      <c r="F27" s="1" t="n">
        <v>3770</v>
      </c>
      <c r="G27" s="4" t="n">
        <v>0</v>
      </c>
      <c r="H27" s="1" t="s">
        <v>274</v>
      </c>
    </row>
    <row r="28" customFormat="false" ht="12.8" hidden="false" customHeight="false" outlineLevel="0" collapsed="false">
      <c r="A28" s="1" t="s">
        <v>6</v>
      </c>
      <c r="B28" s="1" t="n">
        <v>2</v>
      </c>
      <c r="C28" s="1" t="n">
        <v>28</v>
      </c>
      <c r="D28" s="1" t="s">
        <v>207</v>
      </c>
      <c r="E28" s="1" t="s">
        <v>206</v>
      </c>
      <c r="F28" s="1" t="n">
        <v>3770</v>
      </c>
      <c r="G28" s="4" t="n">
        <v>0</v>
      </c>
      <c r="H28" s="1" t="s">
        <v>279</v>
      </c>
    </row>
    <row r="29" customFormat="false" ht="12.8" hidden="false" customHeight="false" outlineLevel="0" collapsed="false">
      <c r="A29" s="1" t="s">
        <v>6</v>
      </c>
      <c r="B29" s="1" t="n">
        <v>2</v>
      </c>
      <c r="C29" s="1" t="n">
        <v>29</v>
      </c>
      <c r="D29" s="1" t="s">
        <v>206</v>
      </c>
      <c r="E29" s="1" t="s">
        <v>210</v>
      </c>
      <c r="F29" s="1" t="n">
        <v>3770</v>
      </c>
      <c r="G29" s="4" t="n">
        <v>0</v>
      </c>
      <c r="H29" s="1" t="s">
        <v>284</v>
      </c>
    </row>
    <row r="30" customFormat="false" ht="12.8" hidden="false" customHeight="false" outlineLevel="0" collapsed="false">
      <c r="A30" s="1" t="s">
        <v>6</v>
      </c>
      <c r="B30" s="1" t="n">
        <v>3</v>
      </c>
      <c r="C30" s="1" t="n">
        <v>1</v>
      </c>
      <c r="D30" s="1" t="s">
        <v>210</v>
      </c>
      <c r="E30" s="1" t="s">
        <v>206</v>
      </c>
      <c r="F30" s="1" t="n">
        <v>3350</v>
      </c>
      <c r="G30" s="4" t="n">
        <v>0</v>
      </c>
      <c r="H30" s="1" t="s">
        <v>285</v>
      </c>
    </row>
    <row r="31" customFormat="false" ht="12.8" hidden="false" customHeight="false" outlineLevel="0" collapsed="false">
      <c r="A31" s="1" t="s">
        <v>6</v>
      </c>
      <c r="B31" s="1" t="n">
        <v>3</v>
      </c>
      <c r="C31" s="1" t="n">
        <v>2</v>
      </c>
      <c r="D31" s="1" t="s">
        <v>206</v>
      </c>
      <c r="E31" s="1" t="s">
        <v>207</v>
      </c>
      <c r="F31" s="1" t="n">
        <v>3350</v>
      </c>
      <c r="G31" s="4" t="n">
        <v>0</v>
      </c>
      <c r="H31" s="1" t="s">
        <v>286</v>
      </c>
    </row>
    <row r="32" customFormat="false" ht="12.8" hidden="false" customHeight="false" outlineLevel="0" collapsed="false">
      <c r="A32" s="1" t="s">
        <v>6</v>
      </c>
      <c r="B32" s="1" t="n">
        <v>3</v>
      </c>
      <c r="C32" s="1" t="n">
        <v>3</v>
      </c>
      <c r="D32" s="1" t="s">
        <v>207</v>
      </c>
      <c r="E32" s="1" t="s">
        <v>198</v>
      </c>
      <c r="F32" s="1" t="n">
        <v>3350</v>
      </c>
      <c r="G32" s="4" t="n">
        <v>0</v>
      </c>
      <c r="H32" s="1" t="s">
        <v>287</v>
      </c>
    </row>
    <row r="33" customFormat="false" ht="12.8" hidden="false" customHeight="false" outlineLevel="0" collapsed="false">
      <c r="A33" s="1" t="s">
        <v>6</v>
      </c>
      <c r="B33" s="1" t="n">
        <v>3</v>
      </c>
      <c r="C33" s="1" t="n">
        <v>4</v>
      </c>
      <c r="D33" s="1" t="s">
        <v>198</v>
      </c>
      <c r="E33" s="1" t="s">
        <v>208</v>
      </c>
      <c r="F33" s="1" t="n">
        <v>3350</v>
      </c>
      <c r="G33" s="4" t="n">
        <v>0</v>
      </c>
      <c r="H33" s="1" t="s">
        <v>288</v>
      </c>
    </row>
    <row r="34" customFormat="false" ht="12.8" hidden="false" customHeight="false" outlineLevel="0" collapsed="false">
      <c r="A34" s="1" t="s">
        <v>6</v>
      </c>
      <c r="B34" s="1" t="n">
        <v>3</v>
      </c>
      <c r="C34" s="1" t="n">
        <v>5</v>
      </c>
      <c r="D34" s="1" t="s">
        <v>208</v>
      </c>
      <c r="E34" s="1" t="s">
        <v>206</v>
      </c>
      <c r="F34" s="1" t="n">
        <v>3350</v>
      </c>
      <c r="G34" s="4" t="n">
        <v>0</v>
      </c>
      <c r="H34" s="1" t="s">
        <v>289</v>
      </c>
    </row>
    <row r="35" customFormat="false" ht="12.8" hidden="false" customHeight="false" outlineLevel="0" collapsed="false">
      <c r="A35" s="1" t="s">
        <v>6</v>
      </c>
      <c r="B35" s="1" t="n">
        <v>3</v>
      </c>
      <c r="C35" s="1" t="n">
        <v>6</v>
      </c>
      <c r="D35" s="1" t="s">
        <v>206</v>
      </c>
      <c r="E35" s="1" t="s">
        <v>207</v>
      </c>
      <c r="F35" s="1" t="n">
        <v>3350</v>
      </c>
      <c r="G35" s="4" t="n">
        <v>0</v>
      </c>
      <c r="H35" s="1" t="s">
        <v>286</v>
      </c>
    </row>
    <row r="36" customFormat="false" ht="12.8" hidden="false" customHeight="false" outlineLevel="0" collapsed="false">
      <c r="A36" s="1" t="s">
        <v>6</v>
      </c>
      <c r="B36" s="1" t="n">
        <v>3</v>
      </c>
      <c r="C36" s="1" t="n">
        <v>7</v>
      </c>
      <c r="D36" s="1" t="s">
        <v>207</v>
      </c>
      <c r="E36" s="1" t="s">
        <v>198</v>
      </c>
      <c r="F36" s="1" t="n">
        <v>3350</v>
      </c>
      <c r="G36" s="4" t="n">
        <v>0</v>
      </c>
      <c r="H36" s="1" t="s">
        <v>287</v>
      </c>
    </row>
    <row r="37" customFormat="false" ht="12.8" hidden="false" customHeight="false" outlineLevel="0" collapsed="false">
      <c r="A37" s="1" t="s">
        <v>6</v>
      </c>
      <c r="B37" s="1" t="n">
        <v>3</v>
      </c>
      <c r="C37" s="1" t="n">
        <v>8</v>
      </c>
      <c r="D37" s="1" t="s">
        <v>198</v>
      </c>
      <c r="E37" s="1" t="s">
        <v>208</v>
      </c>
      <c r="F37" s="1" t="n">
        <v>3350</v>
      </c>
      <c r="G37" s="4" t="n">
        <v>0</v>
      </c>
      <c r="H37" s="1" t="s">
        <v>288</v>
      </c>
    </row>
    <row r="38" customFormat="false" ht="12.8" hidden="false" customHeight="false" outlineLevel="0" collapsed="false">
      <c r="A38" s="1" t="s">
        <v>6</v>
      </c>
      <c r="B38" s="1" t="n">
        <v>3</v>
      </c>
      <c r="C38" s="1" t="n">
        <v>9</v>
      </c>
      <c r="D38" s="1" t="s">
        <v>208</v>
      </c>
      <c r="E38" s="1" t="s">
        <v>206</v>
      </c>
      <c r="F38" s="1" t="n">
        <v>3350</v>
      </c>
      <c r="G38" s="4" t="n">
        <v>0</v>
      </c>
      <c r="H38" s="1" t="s">
        <v>289</v>
      </c>
    </row>
    <row r="39" customFormat="false" ht="12.8" hidden="false" customHeight="false" outlineLevel="0" collapsed="false">
      <c r="A39" s="1" t="s">
        <v>6</v>
      </c>
      <c r="B39" s="1" t="n">
        <v>3</v>
      </c>
      <c r="C39" s="1" t="n">
        <v>10</v>
      </c>
      <c r="D39" s="1" t="s">
        <v>206</v>
      </c>
      <c r="E39" s="1" t="s">
        <v>207</v>
      </c>
      <c r="F39" s="1" t="n">
        <v>3350</v>
      </c>
      <c r="G39" s="4" t="n">
        <v>0</v>
      </c>
      <c r="H39" s="1" t="s">
        <v>286</v>
      </c>
    </row>
    <row r="40" customFormat="false" ht="12.8" hidden="false" customHeight="false" outlineLevel="0" collapsed="false">
      <c r="A40" s="1" t="s">
        <v>6</v>
      </c>
      <c r="B40" s="1" t="n">
        <v>3</v>
      </c>
      <c r="C40" s="1" t="n">
        <v>11</v>
      </c>
      <c r="D40" s="1" t="s">
        <v>207</v>
      </c>
      <c r="E40" s="1" t="s">
        <v>200</v>
      </c>
      <c r="F40" s="1" t="n">
        <v>3350</v>
      </c>
      <c r="G40" s="4" t="n">
        <v>0</v>
      </c>
      <c r="H40" s="1" t="s">
        <v>290</v>
      </c>
    </row>
    <row r="41" customFormat="false" ht="12.8" hidden="false" customHeight="false" outlineLevel="0" collapsed="false">
      <c r="A41" s="1" t="s">
        <v>6</v>
      </c>
      <c r="B41" s="1" t="n">
        <v>3</v>
      </c>
      <c r="C41" s="1" t="n">
        <v>12</v>
      </c>
      <c r="D41" s="1" t="s">
        <v>200</v>
      </c>
      <c r="E41" s="1" t="s">
        <v>206</v>
      </c>
      <c r="F41" s="1" t="n">
        <v>3350</v>
      </c>
      <c r="G41" s="4" t="n">
        <v>0</v>
      </c>
      <c r="H41" s="1" t="s">
        <v>291</v>
      </c>
    </row>
    <row r="42" customFormat="false" ht="12.8" hidden="false" customHeight="false" outlineLevel="0" collapsed="false">
      <c r="A42" s="1" t="s">
        <v>6</v>
      </c>
      <c r="B42" s="1" t="n">
        <v>3</v>
      </c>
      <c r="C42" s="1" t="n">
        <v>13</v>
      </c>
      <c r="D42" s="1" t="s">
        <v>206</v>
      </c>
      <c r="E42" s="1" t="s">
        <v>208</v>
      </c>
      <c r="F42" s="1" t="n">
        <v>3350</v>
      </c>
      <c r="G42" s="4" t="n">
        <v>0</v>
      </c>
      <c r="H42" s="1" t="s">
        <v>292</v>
      </c>
    </row>
    <row r="43" customFormat="false" ht="12.8" hidden="false" customHeight="false" outlineLevel="0" collapsed="false">
      <c r="A43" s="1" t="s">
        <v>6</v>
      </c>
      <c r="B43" s="1" t="n">
        <v>3</v>
      </c>
      <c r="C43" s="1" t="n">
        <v>14</v>
      </c>
      <c r="D43" s="1" t="s">
        <v>208</v>
      </c>
      <c r="E43" s="1" t="s">
        <v>207</v>
      </c>
      <c r="F43" s="1" t="n">
        <v>3350</v>
      </c>
      <c r="G43" s="4" t="n">
        <v>0</v>
      </c>
      <c r="H43" s="1" t="s">
        <v>293</v>
      </c>
    </row>
    <row r="44" customFormat="false" ht="12.8" hidden="false" customHeight="false" outlineLevel="0" collapsed="false">
      <c r="A44" s="1" t="s">
        <v>6</v>
      </c>
      <c r="B44" s="1" t="n">
        <v>3</v>
      </c>
      <c r="C44" s="1" t="n">
        <v>15</v>
      </c>
      <c r="D44" s="1" t="s">
        <v>207</v>
      </c>
      <c r="E44" s="1" t="s">
        <v>196</v>
      </c>
      <c r="F44" s="1" t="n">
        <v>3350</v>
      </c>
      <c r="G44" s="4" t="n">
        <v>0</v>
      </c>
      <c r="H44" s="1" t="s">
        <v>294</v>
      </c>
    </row>
    <row r="45" customFormat="false" ht="12.8" hidden="false" customHeight="false" outlineLevel="0" collapsed="false">
      <c r="A45" s="1" t="s">
        <v>6</v>
      </c>
      <c r="B45" s="1" t="n">
        <v>3</v>
      </c>
      <c r="C45" s="1" t="n">
        <v>16</v>
      </c>
      <c r="D45" s="1" t="s">
        <v>196</v>
      </c>
      <c r="E45" s="1" t="s">
        <v>208</v>
      </c>
      <c r="F45" s="1" t="n">
        <v>3350</v>
      </c>
      <c r="G45" s="4" t="n">
        <v>0</v>
      </c>
      <c r="H45" s="1" t="s">
        <v>295</v>
      </c>
    </row>
    <row r="46" customFormat="false" ht="12.8" hidden="false" customHeight="false" outlineLevel="0" collapsed="false">
      <c r="A46" s="1" t="s">
        <v>6</v>
      </c>
      <c r="B46" s="1" t="n">
        <v>3</v>
      </c>
      <c r="C46" s="1" t="n">
        <v>17</v>
      </c>
      <c r="D46" s="1" t="s">
        <v>208</v>
      </c>
      <c r="E46" s="1" t="s">
        <v>206</v>
      </c>
      <c r="F46" s="1" t="n">
        <v>3350</v>
      </c>
      <c r="G46" s="4" t="n">
        <v>0</v>
      </c>
      <c r="H46" s="1" t="s">
        <v>289</v>
      </c>
    </row>
    <row r="47" customFormat="false" ht="12.8" hidden="false" customHeight="false" outlineLevel="0" collapsed="false">
      <c r="A47" s="1" t="s">
        <v>6</v>
      </c>
      <c r="B47" s="1" t="n">
        <v>3</v>
      </c>
      <c r="C47" s="1" t="n">
        <v>18</v>
      </c>
      <c r="D47" s="1" t="s">
        <v>206</v>
      </c>
      <c r="E47" s="1" t="s">
        <v>207</v>
      </c>
      <c r="F47" s="1" t="n">
        <v>3350</v>
      </c>
      <c r="G47" s="4" t="n">
        <v>0</v>
      </c>
      <c r="H47" s="1" t="s">
        <v>286</v>
      </c>
    </row>
    <row r="48" customFormat="false" ht="12.8" hidden="false" customHeight="false" outlineLevel="0" collapsed="false">
      <c r="A48" s="1" t="s">
        <v>6</v>
      </c>
      <c r="B48" s="1" t="n">
        <v>3</v>
      </c>
      <c r="C48" s="1" t="n">
        <v>19</v>
      </c>
      <c r="D48" s="1" t="s">
        <v>207</v>
      </c>
      <c r="E48" s="1" t="s">
        <v>200</v>
      </c>
      <c r="F48" s="1" t="n">
        <v>3350</v>
      </c>
      <c r="G48" s="4" t="n">
        <v>0</v>
      </c>
      <c r="H48" s="1" t="s">
        <v>290</v>
      </c>
    </row>
    <row r="49" customFormat="false" ht="12.8" hidden="false" customHeight="false" outlineLevel="0" collapsed="false">
      <c r="A49" s="1" t="s">
        <v>6</v>
      </c>
      <c r="B49" s="1" t="n">
        <v>3</v>
      </c>
      <c r="C49" s="1" t="n">
        <v>20</v>
      </c>
      <c r="D49" s="1" t="s">
        <v>200</v>
      </c>
      <c r="E49" s="1" t="s">
        <v>206</v>
      </c>
      <c r="F49" s="1" t="n">
        <v>3350</v>
      </c>
      <c r="G49" s="4" t="n">
        <v>0</v>
      </c>
      <c r="H49" s="1" t="s">
        <v>291</v>
      </c>
    </row>
    <row r="50" customFormat="false" ht="12.8" hidden="false" customHeight="false" outlineLevel="0" collapsed="false">
      <c r="A50" s="1" t="s">
        <v>6</v>
      </c>
      <c r="B50" s="1" t="n">
        <v>3</v>
      </c>
      <c r="C50" s="1" t="n">
        <v>21</v>
      </c>
      <c r="D50" s="1" t="s">
        <v>206</v>
      </c>
      <c r="E50" s="1" t="s">
        <v>208</v>
      </c>
      <c r="F50" s="1" t="n">
        <v>3350</v>
      </c>
      <c r="G50" s="4" t="n">
        <v>0</v>
      </c>
      <c r="H50" s="1" t="s">
        <v>292</v>
      </c>
    </row>
    <row r="51" customFormat="false" ht="12.8" hidden="false" customHeight="false" outlineLevel="0" collapsed="false">
      <c r="A51" s="1" t="s">
        <v>6</v>
      </c>
      <c r="B51" s="1" t="n">
        <v>3</v>
      </c>
      <c r="C51" s="1" t="n">
        <v>22</v>
      </c>
      <c r="D51" s="1" t="s">
        <v>208</v>
      </c>
      <c r="E51" s="1" t="s">
        <v>207</v>
      </c>
      <c r="F51" s="1" t="n">
        <v>3350</v>
      </c>
      <c r="G51" s="4" t="n">
        <v>0</v>
      </c>
      <c r="H51" s="1" t="s">
        <v>293</v>
      </c>
    </row>
    <row r="52" customFormat="false" ht="12.8" hidden="false" customHeight="false" outlineLevel="0" collapsed="false">
      <c r="A52" s="1" t="s">
        <v>6</v>
      </c>
      <c r="B52" s="1" t="n">
        <v>3</v>
      </c>
      <c r="C52" s="1" t="n">
        <v>23</v>
      </c>
      <c r="D52" s="1" t="s">
        <v>207</v>
      </c>
      <c r="E52" s="1" t="s">
        <v>198</v>
      </c>
      <c r="F52" s="1" t="n">
        <v>3350</v>
      </c>
      <c r="G52" s="4" t="n">
        <v>0</v>
      </c>
      <c r="H52" s="1" t="s">
        <v>287</v>
      </c>
    </row>
    <row r="53" customFormat="false" ht="12.8" hidden="false" customHeight="false" outlineLevel="0" collapsed="false">
      <c r="A53" s="1" t="s">
        <v>6</v>
      </c>
      <c r="B53" s="1" t="n">
        <v>3</v>
      </c>
      <c r="C53" s="1" t="n">
        <v>24</v>
      </c>
      <c r="D53" s="1" t="s">
        <v>198</v>
      </c>
      <c r="E53" s="1" t="s">
        <v>206</v>
      </c>
      <c r="F53" s="1" t="n">
        <v>3350</v>
      </c>
      <c r="G53" s="4" t="n">
        <v>0</v>
      </c>
      <c r="H53" s="1" t="s">
        <v>296</v>
      </c>
    </row>
    <row r="54" customFormat="false" ht="12.8" hidden="false" customHeight="false" outlineLevel="0" collapsed="false">
      <c r="A54" s="1" t="s">
        <v>6</v>
      </c>
      <c r="B54" s="1" t="n">
        <v>3</v>
      </c>
      <c r="C54" s="1" t="n">
        <v>25</v>
      </c>
      <c r="D54" s="1" t="s">
        <v>206</v>
      </c>
      <c r="E54" s="1" t="s">
        <v>208</v>
      </c>
      <c r="F54" s="1" t="n">
        <v>3350</v>
      </c>
      <c r="G54" s="4" t="n">
        <v>0</v>
      </c>
      <c r="H54" s="1" t="s">
        <v>292</v>
      </c>
    </row>
    <row r="55" customFormat="false" ht="12.8" hidden="false" customHeight="false" outlineLevel="0" collapsed="false">
      <c r="A55" s="1" t="s">
        <v>6</v>
      </c>
      <c r="B55" s="1" t="n">
        <v>3</v>
      </c>
      <c r="C55" s="1" t="n">
        <v>26</v>
      </c>
      <c r="D55" s="1" t="s">
        <v>208</v>
      </c>
      <c r="E55" s="1" t="s">
        <v>207</v>
      </c>
      <c r="F55" s="1" t="n">
        <v>3350</v>
      </c>
      <c r="G55" s="4" t="n">
        <v>0</v>
      </c>
      <c r="H55" s="1" t="s">
        <v>293</v>
      </c>
    </row>
    <row r="56" customFormat="false" ht="12.8" hidden="false" customHeight="false" outlineLevel="0" collapsed="false">
      <c r="A56" s="1" t="s">
        <v>6</v>
      </c>
      <c r="B56" s="1" t="n">
        <v>3</v>
      </c>
      <c r="C56" s="1" t="n">
        <v>27</v>
      </c>
      <c r="D56" s="1" t="s">
        <v>207</v>
      </c>
      <c r="E56" s="1" t="s">
        <v>198</v>
      </c>
      <c r="F56" s="1" t="n">
        <v>3350</v>
      </c>
      <c r="G56" s="4" t="n">
        <v>0</v>
      </c>
      <c r="H56" s="1" t="s">
        <v>287</v>
      </c>
    </row>
    <row r="57" customFormat="false" ht="12.8" hidden="false" customHeight="false" outlineLevel="0" collapsed="false">
      <c r="A57" s="1" t="s">
        <v>6</v>
      </c>
      <c r="B57" s="1" t="n">
        <v>3</v>
      </c>
      <c r="C57" s="1" t="n">
        <v>28</v>
      </c>
      <c r="D57" s="1" t="s">
        <v>198</v>
      </c>
      <c r="E57" s="1" t="s">
        <v>206</v>
      </c>
      <c r="F57" s="1" t="n">
        <v>3350</v>
      </c>
      <c r="G57" s="4" t="n">
        <v>0</v>
      </c>
      <c r="H57" s="1" t="s">
        <v>296</v>
      </c>
    </row>
    <row r="58" customFormat="false" ht="12.8" hidden="false" customHeight="false" outlineLevel="0" collapsed="false">
      <c r="A58" s="1" t="s">
        <v>6</v>
      </c>
      <c r="B58" s="1" t="n">
        <v>3</v>
      </c>
      <c r="C58" s="1" t="n">
        <v>29</v>
      </c>
      <c r="D58" s="1" t="s">
        <v>206</v>
      </c>
      <c r="E58" s="1" t="s">
        <v>210</v>
      </c>
      <c r="F58" s="1" t="n">
        <v>3350</v>
      </c>
      <c r="G58" s="4" t="n">
        <v>0</v>
      </c>
      <c r="H58" s="1" t="s">
        <v>297</v>
      </c>
    </row>
    <row r="59" customFormat="false" ht="12.8" hidden="false" customHeight="false" outlineLevel="0" collapsed="false">
      <c r="A59" s="1" t="s">
        <v>6</v>
      </c>
      <c r="B59" s="1" t="n">
        <v>4</v>
      </c>
      <c r="C59" s="1" t="n">
        <v>1</v>
      </c>
      <c r="D59" s="1" t="s">
        <v>210</v>
      </c>
      <c r="E59" s="1" t="s">
        <v>206</v>
      </c>
      <c r="F59" s="1" t="n">
        <v>3350</v>
      </c>
      <c r="G59" s="4" t="n">
        <v>0</v>
      </c>
      <c r="H59" s="1" t="s">
        <v>285</v>
      </c>
    </row>
    <row r="60" customFormat="false" ht="12.8" hidden="false" customHeight="false" outlineLevel="0" collapsed="false">
      <c r="A60" s="1" t="s">
        <v>6</v>
      </c>
      <c r="B60" s="1" t="n">
        <v>4</v>
      </c>
      <c r="C60" s="1" t="n">
        <v>2</v>
      </c>
      <c r="D60" s="1" t="s">
        <v>206</v>
      </c>
      <c r="E60" s="1" t="s">
        <v>198</v>
      </c>
      <c r="F60" s="1" t="n">
        <v>3350</v>
      </c>
      <c r="G60" s="4" t="n">
        <v>0</v>
      </c>
      <c r="H60" s="1" t="s">
        <v>298</v>
      </c>
    </row>
    <row r="61" customFormat="false" ht="12.8" hidden="false" customHeight="false" outlineLevel="0" collapsed="false">
      <c r="A61" s="1" t="s">
        <v>6</v>
      </c>
      <c r="B61" s="1" t="n">
        <v>4</v>
      </c>
      <c r="C61" s="1" t="n">
        <v>3</v>
      </c>
      <c r="D61" s="1" t="s">
        <v>198</v>
      </c>
      <c r="E61" s="1" t="s">
        <v>207</v>
      </c>
      <c r="F61" s="1" t="n">
        <v>3350</v>
      </c>
      <c r="G61" s="4" t="n">
        <v>0</v>
      </c>
      <c r="H61" s="1" t="s">
        <v>299</v>
      </c>
    </row>
    <row r="62" customFormat="false" ht="12.8" hidden="false" customHeight="false" outlineLevel="0" collapsed="false">
      <c r="A62" s="1" t="s">
        <v>6</v>
      </c>
      <c r="B62" s="1" t="n">
        <v>4</v>
      </c>
      <c r="C62" s="1" t="n">
        <v>4</v>
      </c>
      <c r="D62" s="1" t="s">
        <v>207</v>
      </c>
      <c r="E62" s="1" t="s">
        <v>208</v>
      </c>
      <c r="F62" s="1" t="n">
        <v>3350</v>
      </c>
      <c r="G62" s="4" t="n">
        <v>0</v>
      </c>
      <c r="H62" s="1" t="s">
        <v>300</v>
      </c>
    </row>
    <row r="63" customFormat="false" ht="12.8" hidden="false" customHeight="false" outlineLevel="0" collapsed="false">
      <c r="A63" s="1" t="s">
        <v>6</v>
      </c>
      <c r="B63" s="1" t="n">
        <v>4</v>
      </c>
      <c r="C63" s="1" t="n">
        <v>5</v>
      </c>
      <c r="D63" s="1" t="s">
        <v>208</v>
      </c>
      <c r="E63" s="1" t="s">
        <v>206</v>
      </c>
      <c r="F63" s="1" t="n">
        <v>3350</v>
      </c>
      <c r="G63" s="4" t="n">
        <v>0</v>
      </c>
      <c r="H63" s="1" t="s">
        <v>289</v>
      </c>
    </row>
    <row r="64" customFormat="false" ht="12.8" hidden="false" customHeight="false" outlineLevel="0" collapsed="false">
      <c r="A64" s="1" t="s">
        <v>6</v>
      </c>
      <c r="B64" s="1" t="n">
        <v>4</v>
      </c>
      <c r="C64" s="1" t="n">
        <v>6</v>
      </c>
      <c r="D64" s="1" t="s">
        <v>206</v>
      </c>
      <c r="E64" s="1" t="s">
        <v>198</v>
      </c>
      <c r="F64" s="1" t="n">
        <v>3350</v>
      </c>
      <c r="G64" s="4" t="n">
        <v>0</v>
      </c>
      <c r="H64" s="1" t="s">
        <v>298</v>
      </c>
    </row>
    <row r="65" customFormat="false" ht="12.8" hidden="false" customHeight="false" outlineLevel="0" collapsed="false">
      <c r="A65" s="1" t="s">
        <v>6</v>
      </c>
      <c r="B65" s="1" t="n">
        <v>4</v>
      </c>
      <c r="C65" s="1" t="n">
        <v>7</v>
      </c>
      <c r="D65" s="1" t="s">
        <v>198</v>
      </c>
      <c r="E65" s="1" t="s">
        <v>207</v>
      </c>
      <c r="F65" s="1" t="n">
        <v>3350</v>
      </c>
      <c r="G65" s="4" t="n">
        <v>0</v>
      </c>
      <c r="H65" s="1" t="s">
        <v>299</v>
      </c>
    </row>
    <row r="66" customFormat="false" ht="12.8" hidden="false" customHeight="false" outlineLevel="0" collapsed="false">
      <c r="A66" s="1" t="s">
        <v>6</v>
      </c>
      <c r="B66" s="1" t="n">
        <v>4</v>
      </c>
      <c r="C66" s="1" t="n">
        <v>8</v>
      </c>
      <c r="D66" s="1" t="s">
        <v>207</v>
      </c>
      <c r="E66" s="1" t="s">
        <v>208</v>
      </c>
      <c r="F66" s="1" t="n">
        <v>3350</v>
      </c>
      <c r="G66" s="4" t="n">
        <v>0</v>
      </c>
      <c r="H66" s="1" t="s">
        <v>300</v>
      </c>
    </row>
    <row r="67" customFormat="false" ht="12.8" hidden="false" customHeight="false" outlineLevel="0" collapsed="false">
      <c r="A67" s="1" t="s">
        <v>6</v>
      </c>
      <c r="B67" s="1" t="n">
        <v>4</v>
      </c>
      <c r="C67" s="1" t="n">
        <v>9</v>
      </c>
      <c r="D67" s="1" t="s">
        <v>208</v>
      </c>
      <c r="E67" s="1" t="s">
        <v>206</v>
      </c>
      <c r="F67" s="1" t="n">
        <v>3350</v>
      </c>
      <c r="G67" s="4" t="n">
        <v>0</v>
      </c>
      <c r="H67" s="1" t="s">
        <v>289</v>
      </c>
    </row>
    <row r="68" customFormat="false" ht="12.8" hidden="false" customHeight="false" outlineLevel="0" collapsed="false">
      <c r="A68" s="1" t="s">
        <v>6</v>
      </c>
      <c r="B68" s="1" t="n">
        <v>4</v>
      </c>
      <c r="C68" s="1" t="n">
        <v>10</v>
      </c>
      <c r="D68" s="1" t="s">
        <v>206</v>
      </c>
      <c r="E68" s="1" t="s">
        <v>200</v>
      </c>
      <c r="F68" s="1" t="n">
        <v>3350</v>
      </c>
      <c r="G68" s="4" t="n">
        <v>0</v>
      </c>
      <c r="H68" s="1" t="s">
        <v>301</v>
      </c>
    </row>
    <row r="69" customFormat="false" ht="12.8" hidden="false" customHeight="false" outlineLevel="0" collapsed="false">
      <c r="A69" s="1" t="s">
        <v>6</v>
      </c>
      <c r="B69" s="1" t="n">
        <v>4</v>
      </c>
      <c r="C69" s="1" t="n">
        <v>11</v>
      </c>
      <c r="D69" s="1" t="s">
        <v>200</v>
      </c>
      <c r="E69" s="1" t="s">
        <v>207</v>
      </c>
      <c r="F69" s="1" t="n">
        <v>3350</v>
      </c>
      <c r="G69" s="4" t="n">
        <v>0</v>
      </c>
      <c r="H69" s="1" t="s">
        <v>302</v>
      </c>
    </row>
    <row r="70" customFormat="false" ht="12.8" hidden="false" customHeight="false" outlineLevel="0" collapsed="false">
      <c r="A70" s="1" t="s">
        <v>6</v>
      </c>
      <c r="B70" s="1" t="n">
        <v>4</v>
      </c>
      <c r="C70" s="1" t="n">
        <v>12</v>
      </c>
      <c r="D70" s="1" t="s">
        <v>207</v>
      </c>
      <c r="E70" s="1" t="s">
        <v>206</v>
      </c>
      <c r="F70" s="1" t="n">
        <v>3350</v>
      </c>
      <c r="G70" s="4" t="n">
        <v>0</v>
      </c>
      <c r="H70" s="1" t="s">
        <v>303</v>
      </c>
    </row>
    <row r="71" customFormat="false" ht="12.8" hidden="false" customHeight="false" outlineLevel="0" collapsed="false">
      <c r="A71" s="1" t="s">
        <v>6</v>
      </c>
      <c r="B71" s="1" t="n">
        <v>4</v>
      </c>
      <c r="C71" s="1" t="n">
        <v>13</v>
      </c>
      <c r="D71" s="1" t="s">
        <v>206</v>
      </c>
      <c r="E71" s="1" t="s">
        <v>208</v>
      </c>
      <c r="F71" s="1" t="n">
        <v>3350</v>
      </c>
      <c r="G71" s="4" t="n">
        <v>0</v>
      </c>
      <c r="H71" s="1" t="s">
        <v>292</v>
      </c>
    </row>
    <row r="72" customFormat="false" ht="12.8" hidden="false" customHeight="false" outlineLevel="0" collapsed="false">
      <c r="A72" s="1" t="s">
        <v>6</v>
      </c>
      <c r="B72" s="1" t="n">
        <v>4</v>
      </c>
      <c r="C72" s="1" t="n">
        <v>14</v>
      </c>
      <c r="D72" s="1" t="s">
        <v>208</v>
      </c>
      <c r="E72" s="1" t="s">
        <v>196</v>
      </c>
      <c r="F72" s="1" t="n">
        <v>3350</v>
      </c>
      <c r="G72" s="4" t="n">
        <v>0</v>
      </c>
      <c r="H72" s="1" t="s">
        <v>304</v>
      </c>
    </row>
    <row r="73" customFormat="false" ht="12.8" hidden="false" customHeight="false" outlineLevel="0" collapsed="false">
      <c r="A73" s="1" t="s">
        <v>6</v>
      </c>
      <c r="B73" s="1" t="n">
        <v>4</v>
      </c>
      <c r="C73" s="1" t="n">
        <v>15</v>
      </c>
      <c r="D73" s="1" t="s">
        <v>196</v>
      </c>
      <c r="E73" s="1" t="s">
        <v>207</v>
      </c>
      <c r="F73" s="1" t="n">
        <v>3350</v>
      </c>
      <c r="G73" s="4" t="n">
        <v>0</v>
      </c>
      <c r="H73" s="1" t="s">
        <v>305</v>
      </c>
    </row>
    <row r="74" customFormat="false" ht="12.8" hidden="false" customHeight="false" outlineLevel="0" collapsed="false">
      <c r="A74" s="1" t="s">
        <v>6</v>
      </c>
      <c r="B74" s="1" t="n">
        <v>4</v>
      </c>
      <c r="C74" s="1" t="n">
        <v>16</v>
      </c>
      <c r="D74" s="1" t="s">
        <v>207</v>
      </c>
      <c r="E74" s="1" t="s">
        <v>208</v>
      </c>
      <c r="F74" s="1" t="n">
        <v>3350</v>
      </c>
      <c r="G74" s="4" t="n">
        <v>0</v>
      </c>
      <c r="H74" s="1" t="s">
        <v>300</v>
      </c>
    </row>
    <row r="75" customFormat="false" ht="12.8" hidden="false" customHeight="false" outlineLevel="0" collapsed="false">
      <c r="A75" s="1" t="s">
        <v>6</v>
      </c>
      <c r="B75" s="1" t="n">
        <v>4</v>
      </c>
      <c r="C75" s="1" t="n">
        <v>17</v>
      </c>
      <c r="D75" s="1" t="s">
        <v>208</v>
      </c>
      <c r="E75" s="1" t="s">
        <v>206</v>
      </c>
      <c r="F75" s="1" t="n">
        <v>3350</v>
      </c>
      <c r="G75" s="4" t="n">
        <v>0</v>
      </c>
      <c r="H75" s="1" t="s">
        <v>289</v>
      </c>
    </row>
    <row r="76" customFormat="false" ht="12.8" hidden="false" customHeight="false" outlineLevel="0" collapsed="false">
      <c r="A76" s="1" t="s">
        <v>6</v>
      </c>
      <c r="B76" s="1" t="n">
        <v>4</v>
      </c>
      <c r="C76" s="1" t="n">
        <v>18</v>
      </c>
      <c r="D76" s="1" t="s">
        <v>206</v>
      </c>
      <c r="E76" s="1" t="s">
        <v>200</v>
      </c>
      <c r="F76" s="1" t="n">
        <v>3350</v>
      </c>
      <c r="G76" s="4" t="n">
        <v>0</v>
      </c>
      <c r="H76" s="1" t="s">
        <v>301</v>
      </c>
    </row>
    <row r="77" customFormat="false" ht="12.8" hidden="false" customHeight="false" outlineLevel="0" collapsed="false">
      <c r="A77" s="1" t="s">
        <v>6</v>
      </c>
      <c r="B77" s="1" t="n">
        <v>4</v>
      </c>
      <c r="C77" s="1" t="n">
        <v>19</v>
      </c>
      <c r="D77" s="1" t="s">
        <v>200</v>
      </c>
      <c r="E77" s="1" t="s">
        <v>207</v>
      </c>
      <c r="F77" s="1" t="n">
        <v>3350</v>
      </c>
      <c r="G77" s="4" t="n">
        <v>0</v>
      </c>
      <c r="H77" s="1" t="s">
        <v>302</v>
      </c>
    </row>
    <row r="78" customFormat="false" ht="12.8" hidden="false" customHeight="false" outlineLevel="0" collapsed="false">
      <c r="A78" s="1" t="s">
        <v>6</v>
      </c>
      <c r="B78" s="1" t="n">
        <v>4</v>
      </c>
      <c r="C78" s="1" t="n">
        <v>20</v>
      </c>
      <c r="D78" s="1" t="s">
        <v>207</v>
      </c>
      <c r="E78" s="1" t="s">
        <v>206</v>
      </c>
      <c r="F78" s="1" t="n">
        <v>3350</v>
      </c>
      <c r="G78" s="4" t="n">
        <v>0</v>
      </c>
      <c r="H78" s="1" t="s">
        <v>303</v>
      </c>
    </row>
    <row r="79" customFormat="false" ht="12.8" hidden="false" customHeight="false" outlineLevel="0" collapsed="false">
      <c r="A79" s="1" t="s">
        <v>6</v>
      </c>
      <c r="B79" s="1" t="n">
        <v>4</v>
      </c>
      <c r="C79" s="1" t="n">
        <v>21</v>
      </c>
      <c r="D79" s="1" t="s">
        <v>206</v>
      </c>
      <c r="E79" s="1" t="s">
        <v>208</v>
      </c>
      <c r="F79" s="1" t="n">
        <v>3350</v>
      </c>
      <c r="G79" s="4" t="n">
        <v>0</v>
      </c>
      <c r="H79" s="1" t="s">
        <v>292</v>
      </c>
    </row>
    <row r="80" customFormat="false" ht="12.8" hidden="false" customHeight="false" outlineLevel="0" collapsed="false">
      <c r="A80" s="1" t="s">
        <v>6</v>
      </c>
      <c r="B80" s="1" t="n">
        <v>4</v>
      </c>
      <c r="C80" s="1" t="n">
        <v>22</v>
      </c>
      <c r="D80" s="1" t="s">
        <v>208</v>
      </c>
      <c r="E80" s="1" t="s">
        <v>198</v>
      </c>
      <c r="F80" s="1" t="n">
        <v>3350</v>
      </c>
      <c r="G80" s="4" t="n">
        <v>0</v>
      </c>
      <c r="H80" s="1" t="s">
        <v>306</v>
      </c>
    </row>
    <row r="81" customFormat="false" ht="12.8" hidden="false" customHeight="false" outlineLevel="0" collapsed="false">
      <c r="A81" s="1" t="s">
        <v>6</v>
      </c>
      <c r="B81" s="1" t="n">
        <v>4</v>
      </c>
      <c r="C81" s="1" t="n">
        <v>23</v>
      </c>
      <c r="D81" s="1" t="s">
        <v>198</v>
      </c>
      <c r="E81" s="1" t="s">
        <v>207</v>
      </c>
      <c r="F81" s="1" t="n">
        <v>3350</v>
      </c>
      <c r="G81" s="4" t="n">
        <v>0</v>
      </c>
      <c r="H81" s="1" t="s">
        <v>299</v>
      </c>
    </row>
    <row r="82" customFormat="false" ht="12.8" hidden="false" customHeight="false" outlineLevel="0" collapsed="false">
      <c r="A82" s="1" t="s">
        <v>6</v>
      </c>
      <c r="B82" s="1" t="n">
        <v>4</v>
      </c>
      <c r="C82" s="1" t="n">
        <v>24</v>
      </c>
      <c r="D82" s="1" t="s">
        <v>207</v>
      </c>
      <c r="E82" s="1" t="s">
        <v>206</v>
      </c>
      <c r="F82" s="1" t="n">
        <v>3350</v>
      </c>
      <c r="G82" s="4" t="n">
        <v>0</v>
      </c>
      <c r="H82" s="1" t="s">
        <v>303</v>
      </c>
    </row>
    <row r="83" customFormat="false" ht="12.8" hidden="false" customHeight="false" outlineLevel="0" collapsed="false">
      <c r="A83" s="1" t="s">
        <v>6</v>
      </c>
      <c r="B83" s="1" t="n">
        <v>4</v>
      </c>
      <c r="C83" s="1" t="n">
        <v>25</v>
      </c>
      <c r="D83" s="1" t="s">
        <v>206</v>
      </c>
      <c r="E83" s="1" t="s">
        <v>208</v>
      </c>
      <c r="F83" s="1" t="n">
        <v>3350</v>
      </c>
      <c r="G83" s="4" t="n">
        <v>0</v>
      </c>
      <c r="H83" s="1" t="s">
        <v>292</v>
      </c>
    </row>
    <row r="84" customFormat="false" ht="12.8" hidden="false" customHeight="false" outlineLevel="0" collapsed="false">
      <c r="A84" s="1" t="s">
        <v>6</v>
      </c>
      <c r="B84" s="1" t="n">
        <v>4</v>
      </c>
      <c r="C84" s="1" t="n">
        <v>26</v>
      </c>
      <c r="D84" s="1" t="s">
        <v>208</v>
      </c>
      <c r="E84" s="1" t="s">
        <v>198</v>
      </c>
      <c r="F84" s="1" t="n">
        <v>3350</v>
      </c>
      <c r="G84" s="4" t="n">
        <v>0</v>
      </c>
      <c r="H84" s="1" t="s">
        <v>306</v>
      </c>
    </row>
    <row r="85" customFormat="false" ht="12.8" hidden="false" customHeight="false" outlineLevel="0" collapsed="false">
      <c r="A85" s="1" t="s">
        <v>6</v>
      </c>
      <c r="B85" s="1" t="n">
        <v>4</v>
      </c>
      <c r="C85" s="1" t="n">
        <v>27</v>
      </c>
      <c r="D85" s="1" t="s">
        <v>198</v>
      </c>
      <c r="E85" s="1" t="s">
        <v>207</v>
      </c>
      <c r="F85" s="1" t="n">
        <v>3350</v>
      </c>
      <c r="G85" s="4" t="n">
        <v>0</v>
      </c>
      <c r="H85" s="1" t="s">
        <v>299</v>
      </c>
    </row>
    <row r="86" customFormat="false" ht="12.8" hidden="false" customHeight="false" outlineLevel="0" collapsed="false">
      <c r="A86" s="1" t="s">
        <v>6</v>
      </c>
      <c r="B86" s="1" t="n">
        <v>4</v>
      </c>
      <c r="C86" s="1" t="n">
        <v>28</v>
      </c>
      <c r="D86" s="1" t="s">
        <v>207</v>
      </c>
      <c r="E86" s="1" t="s">
        <v>206</v>
      </c>
      <c r="F86" s="1" t="n">
        <v>3350</v>
      </c>
      <c r="G86" s="4" t="n">
        <v>0</v>
      </c>
      <c r="H86" s="1" t="s">
        <v>303</v>
      </c>
    </row>
    <row r="87" customFormat="false" ht="12.8" hidden="false" customHeight="false" outlineLevel="0" collapsed="false">
      <c r="A87" s="1" t="s">
        <v>6</v>
      </c>
      <c r="B87" s="1" t="n">
        <v>4</v>
      </c>
      <c r="C87" s="1" t="n">
        <v>29</v>
      </c>
      <c r="D87" s="1" t="s">
        <v>206</v>
      </c>
      <c r="E87" s="1" t="s">
        <v>210</v>
      </c>
      <c r="F87" s="1" t="n">
        <v>3350</v>
      </c>
      <c r="G87" s="4" t="n">
        <v>0</v>
      </c>
      <c r="H87" s="1" t="s">
        <v>297</v>
      </c>
    </row>
    <row r="88" customFormat="false" ht="12.8" hidden="false" customHeight="false" outlineLevel="0" collapsed="false">
      <c r="A88" s="1" t="s">
        <v>6</v>
      </c>
      <c r="B88" s="1" t="n">
        <v>19</v>
      </c>
      <c r="C88" s="1" t="n">
        <v>1</v>
      </c>
      <c r="D88" s="1" t="s">
        <v>210</v>
      </c>
      <c r="E88" s="1" t="s">
        <v>206</v>
      </c>
      <c r="F88" s="1" t="n">
        <v>3510</v>
      </c>
      <c r="G88" s="4" t="n">
        <v>0</v>
      </c>
      <c r="H88" s="1" t="s">
        <v>307</v>
      </c>
    </row>
    <row r="89" customFormat="false" ht="12.8" hidden="false" customHeight="false" outlineLevel="0" collapsed="false">
      <c r="A89" s="1" t="s">
        <v>6</v>
      </c>
      <c r="B89" s="1" t="n">
        <v>19</v>
      </c>
      <c r="C89" s="1" t="n">
        <v>2</v>
      </c>
      <c r="D89" s="1" t="s">
        <v>206</v>
      </c>
      <c r="E89" s="1" t="s">
        <v>207</v>
      </c>
      <c r="F89" s="1" t="n">
        <v>3510</v>
      </c>
      <c r="G89" s="4" t="n">
        <v>0</v>
      </c>
      <c r="H89" s="1" t="s">
        <v>308</v>
      </c>
    </row>
    <row r="90" customFormat="false" ht="12.8" hidden="false" customHeight="false" outlineLevel="0" collapsed="false">
      <c r="A90" s="1" t="s">
        <v>6</v>
      </c>
      <c r="B90" s="1" t="n">
        <v>19</v>
      </c>
      <c r="C90" s="1" t="n">
        <v>3</v>
      </c>
      <c r="D90" s="1" t="s">
        <v>207</v>
      </c>
      <c r="E90" s="1" t="s">
        <v>198</v>
      </c>
      <c r="F90" s="1" t="n">
        <v>3510</v>
      </c>
      <c r="G90" s="4" t="n">
        <v>0</v>
      </c>
      <c r="H90" s="1" t="s">
        <v>309</v>
      </c>
    </row>
    <row r="91" customFormat="false" ht="12.8" hidden="false" customHeight="false" outlineLevel="0" collapsed="false">
      <c r="A91" s="1" t="s">
        <v>6</v>
      </c>
      <c r="B91" s="1" t="n">
        <v>19</v>
      </c>
      <c r="C91" s="1" t="n">
        <v>4</v>
      </c>
      <c r="D91" s="1" t="s">
        <v>198</v>
      </c>
      <c r="E91" s="1" t="s">
        <v>208</v>
      </c>
      <c r="F91" s="1" t="n">
        <v>3510</v>
      </c>
      <c r="G91" s="4" t="n">
        <v>0</v>
      </c>
      <c r="H91" s="1" t="s">
        <v>310</v>
      </c>
    </row>
    <row r="92" customFormat="false" ht="12.8" hidden="false" customHeight="false" outlineLevel="0" collapsed="false">
      <c r="A92" s="1" t="s">
        <v>6</v>
      </c>
      <c r="B92" s="1" t="n">
        <v>19</v>
      </c>
      <c r="C92" s="1" t="n">
        <v>5</v>
      </c>
      <c r="D92" s="1" t="s">
        <v>208</v>
      </c>
      <c r="E92" s="1" t="s">
        <v>206</v>
      </c>
      <c r="F92" s="1" t="n">
        <v>3510</v>
      </c>
      <c r="G92" s="4" t="n">
        <v>0</v>
      </c>
      <c r="H92" s="1" t="s">
        <v>311</v>
      </c>
    </row>
    <row r="93" customFormat="false" ht="12.8" hidden="false" customHeight="false" outlineLevel="0" collapsed="false">
      <c r="A93" s="1" t="s">
        <v>6</v>
      </c>
      <c r="B93" s="1" t="n">
        <v>19</v>
      </c>
      <c r="C93" s="1" t="n">
        <v>6</v>
      </c>
      <c r="D93" s="1" t="s">
        <v>206</v>
      </c>
      <c r="E93" s="1" t="s">
        <v>207</v>
      </c>
      <c r="F93" s="1" t="n">
        <v>3510</v>
      </c>
      <c r="G93" s="4" t="n">
        <v>0</v>
      </c>
      <c r="H93" s="1" t="s">
        <v>308</v>
      </c>
    </row>
    <row r="94" customFormat="false" ht="12.8" hidden="false" customHeight="false" outlineLevel="0" collapsed="false">
      <c r="A94" s="1" t="s">
        <v>6</v>
      </c>
      <c r="B94" s="1" t="n">
        <v>19</v>
      </c>
      <c r="C94" s="1" t="n">
        <v>7</v>
      </c>
      <c r="D94" s="1" t="s">
        <v>207</v>
      </c>
      <c r="E94" s="1" t="s">
        <v>198</v>
      </c>
      <c r="F94" s="1" t="n">
        <v>3510</v>
      </c>
      <c r="G94" s="4" t="n">
        <v>0</v>
      </c>
      <c r="H94" s="1" t="s">
        <v>309</v>
      </c>
    </row>
    <row r="95" customFormat="false" ht="12.8" hidden="false" customHeight="false" outlineLevel="0" collapsed="false">
      <c r="A95" s="1" t="s">
        <v>6</v>
      </c>
      <c r="B95" s="1" t="n">
        <v>19</v>
      </c>
      <c r="C95" s="1" t="n">
        <v>8</v>
      </c>
      <c r="D95" s="1" t="s">
        <v>198</v>
      </c>
      <c r="E95" s="1" t="s">
        <v>208</v>
      </c>
      <c r="F95" s="1" t="n">
        <v>3510</v>
      </c>
      <c r="G95" s="4" t="n">
        <v>0</v>
      </c>
      <c r="H95" s="1" t="s">
        <v>310</v>
      </c>
    </row>
    <row r="96" customFormat="false" ht="12.8" hidden="false" customHeight="false" outlineLevel="0" collapsed="false">
      <c r="A96" s="1" t="s">
        <v>6</v>
      </c>
      <c r="B96" s="1" t="n">
        <v>19</v>
      </c>
      <c r="C96" s="1" t="n">
        <v>9</v>
      </c>
      <c r="D96" s="1" t="s">
        <v>208</v>
      </c>
      <c r="E96" s="1" t="s">
        <v>206</v>
      </c>
      <c r="F96" s="1" t="n">
        <v>3510</v>
      </c>
      <c r="G96" s="4" t="n">
        <v>0</v>
      </c>
      <c r="H96" s="1" t="s">
        <v>311</v>
      </c>
    </row>
    <row r="97" customFormat="false" ht="12.8" hidden="false" customHeight="false" outlineLevel="0" collapsed="false">
      <c r="A97" s="1" t="s">
        <v>6</v>
      </c>
      <c r="B97" s="1" t="n">
        <v>19</v>
      </c>
      <c r="C97" s="1" t="n">
        <v>10</v>
      </c>
      <c r="D97" s="1" t="s">
        <v>206</v>
      </c>
      <c r="E97" s="1" t="s">
        <v>207</v>
      </c>
      <c r="F97" s="1" t="n">
        <v>3510</v>
      </c>
      <c r="G97" s="4" t="n">
        <v>0</v>
      </c>
      <c r="H97" s="1" t="s">
        <v>308</v>
      </c>
    </row>
    <row r="98" customFormat="false" ht="12.8" hidden="false" customHeight="false" outlineLevel="0" collapsed="false">
      <c r="A98" s="1" t="s">
        <v>6</v>
      </c>
      <c r="B98" s="1" t="n">
        <v>19</v>
      </c>
      <c r="C98" s="1" t="n">
        <v>11</v>
      </c>
      <c r="D98" s="1" t="s">
        <v>207</v>
      </c>
      <c r="E98" s="1" t="s">
        <v>200</v>
      </c>
      <c r="F98" s="1" t="n">
        <v>3510</v>
      </c>
      <c r="G98" s="4" t="n">
        <v>0</v>
      </c>
      <c r="H98" s="1" t="s">
        <v>312</v>
      </c>
    </row>
    <row r="99" customFormat="false" ht="12.8" hidden="false" customHeight="false" outlineLevel="0" collapsed="false">
      <c r="A99" s="1" t="s">
        <v>6</v>
      </c>
      <c r="B99" s="1" t="n">
        <v>19</v>
      </c>
      <c r="C99" s="1" t="n">
        <v>12</v>
      </c>
      <c r="D99" s="1" t="s">
        <v>200</v>
      </c>
      <c r="E99" s="1" t="s">
        <v>206</v>
      </c>
      <c r="F99" s="1" t="n">
        <v>3510</v>
      </c>
      <c r="G99" s="4" t="n">
        <v>0</v>
      </c>
      <c r="H99" s="1" t="s">
        <v>313</v>
      </c>
    </row>
    <row r="100" customFormat="false" ht="12.8" hidden="false" customHeight="false" outlineLevel="0" collapsed="false">
      <c r="A100" s="1" t="s">
        <v>6</v>
      </c>
      <c r="B100" s="1" t="n">
        <v>19</v>
      </c>
      <c r="C100" s="1" t="n">
        <v>13</v>
      </c>
      <c r="D100" s="1" t="s">
        <v>206</v>
      </c>
      <c r="E100" s="1" t="s">
        <v>208</v>
      </c>
      <c r="F100" s="1" t="n">
        <v>3510</v>
      </c>
      <c r="G100" s="4" t="n">
        <v>0</v>
      </c>
      <c r="H100" s="1" t="s">
        <v>314</v>
      </c>
    </row>
    <row r="101" customFormat="false" ht="12.8" hidden="false" customHeight="false" outlineLevel="0" collapsed="false">
      <c r="A101" s="1" t="s">
        <v>6</v>
      </c>
      <c r="B101" s="1" t="n">
        <v>19</v>
      </c>
      <c r="C101" s="1" t="n">
        <v>14</v>
      </c>
      <c r="D101" s="1" t="s">
        <v>208</v>
      </c>
      <c r="E101" s="1" t="s">
        <v>207</v>
      </c>
      <c r="F101" s="1" t="n">
        <v>3510</v>
      </c>
      <c r="G101" s="4" t="n">
        <v>0</v>
      </c>
      <c r="H101" s="1" t="s">
        <v>315</v>
      </c>
    </row>
    <row r="102" customFormat="false" ht="12.8" hidden="false" customHeight="false" outlineLevel="0" collapsed="false">
      <c r="A102" s="1" t="s">
        <v>6</v>
      </c>
      <c r="B102" s="1" t="n">
        <v>19</v>
      </c>
      <c r="C102" s="1" t="n">
        <v>15</v>
      </c>
      <c r="D102" s="1" t="s">
        <v>207</v>
      </c>
      <c r="E102" s="1" t="s">
        <v>196</v>
      </c>
      <c r="F102" s="1" t="n">
        <v>3510</v>
      </c>
      <c r="G102" s="4" t="n">
        <v>0</v>
      </c>
      <c r="H102" s="1" t="s">
        <v>316</v>
      </c>
    </row>
    <row r="103" customFormat="false" ht="12.8" hidden="false" customHeight="false" outlineLevel="0" collapsed="false">
      <c r="A103" s="1" t="s">
        <v>6</v>
      </c>
      <c r="B103" s="1" t="n">
        <v>19</v>
      </c>
      <c r="C103" s="1" t="n">
        <v>16</v>
      </c>
      <c r="D103" s="1" t="s">
        <v>196</v>
      </c>
      <c r="E103" s="1" t="s">
        <v>208</v>
      </c>
      <c r="F103" s="1" t="n">
        <v>3510</v>
      </c>
      <c r="G103" s="4" t="n">
        <v>0</v>
      </c>
      <c r="H103" s="1" t="s">
        <v>317</v>
      </c>
    </row>
    <row r="104" customFormat="false" ht="12.8" hidden="false" customHeight="false" outlineLevel="0" collapsed="false">
      <c r="A104" s="1" t="s">
        <v>6</v>
      </c>
      <c r="B104" s="1" t="n">
        <v>19</v>
      </c>
      <c r="C104" s="1" t="n">
        <v>17</v>
      </c>
      <c r="D104" s="1" t="s">
        <v>208</v>
      </c>
      <c r="E104" s="1" t="s">
        <v>206</v>
      </c>
      <c r="F104" s="1" t="n">
        <v>3510</v>
      </c>
      <c r="G104" s="4" t="n">
        <v>0</v>
      </c>
      <c r="H104" s="1" t="s">
        <v>311</v>
      </c>
    </row>
    <row r="105" customFormat="false" ht="12.8" hidden="false" customHeight="false" outlineLevel="0" collapsed="false">
      <c r="A105" s="1" t="s">
        <v>6</v>
      </c>
      <c r="B105" s="1" t="n">
        <v>19</v>
      </c>
      <c r="C105" s="1" t="n">
        <v>18</v>
      </c>
      <c r="D105" s="1" t="s">
        <v>206</v>
      </c>
      <c r="E105" s="1" t="s">
        <v>207</v>
      </c>
      <c r="F105" s="1" t="n">
        <v>3510</v>
      </c>
      <c r="G105" s="4" t="n">
        <v>0</v>
      </c>
      <c r="H105" s="1" t="s">
        <v>308</v>
      </c>
    </row>
    <row r="106" customFormat="false" ht="12.8" hidden="false" customHeight="false" outlineLevel="0" collapsed="false">
      <c r="A106" s="1" t="s">
        <v>6</v>
      </c>
      <c r="B106" s="1" t="n">
        <v>19</v>
      </c>
      <c r="C106" s="1" t="n">
        <v>19</v>
      </c>
      <c r="D106" s="1" t="s">
        <v>207</v>
      </c>
      <c r="E106" s="1" t="s">
        <v>200</v>
      </c>
      <c r="F106" s="1" t="n">
        <v>3510</v>
      </c>
      <c r="G106" s="4" t="n">
        <v>0</v>
      </c>
      <c r="H106" s="1" t="s">
        <v>312</v>
      </c>
    </row>
    <row r="107" customFormat="false" ht="12.8" hidden="false" customHeight="false" outlineLevel="0" collapsed="false">
      <c r="A107" s="1" t="s">
        <v>6</v>
      </c>
      <c r="B107" s="1" t="n">
        <v>19</v>
      </c>
      <c r="C107" s="1" t="n">
        <v>20</v>
      </c>
      <c r="D107" s="1" t="s">
        <v>200</v>
      </c>
      <c r="E107" s="1" t="s">
        <v>206</v>
      </c>
      <c r="F107" s="1" t="n">
        <v>3510</v>
      </c>
      <c r="G107" s="4" t="n">
        <v>0</v>
      </c>
      <c r="H107" s="1" t="s">
        <v>313</v>
      </c>
    </row>
    <row r="108" customFormat="false" ht="12.8" hidden="false" customHeight="false" outlineLevel="0" collapsed="false">
      <c r="A108" s="1" t="s">
        <v>6</v>
      </c>
      <c r="B108" s="1" t="n">
        <v>19</v>
      </c>
      <c r="C108" s="1" t="n">
        <v>21</v>
      </c>
      <c r="D108" s="1" t="s">
        <v>206</v>
      </c>
      <c r="E108" s="1" t="s">
        <v>208</v>
      </c>
      <c r="F108" s="1" t="n">
        <v>3510</v>
      </c>
      <c r="G108" s="4" t="n">
        <v>0</v>
      </c>
      <c r="H108" s="1" t="s">
        <v>314</v>
      </c>
    </row>
    <row r="109" customFormat="false" ht="12.8" hidden="false" customHeight="false" outlineLevel="0" collapsed="false">
      <c r="A109" s="1" t="s">
        <v>6</v>
      </c>
      <c r="B109" s="1" t="n">
        <v>19</v>
      </c>
      <c r="C109" s="1" t="n">
        <v>22</v>
      </c>
      <c r="D109" s="1" t="s">
        <v>208</v>
      </c>
      <c r="E109" s="1" t="s">
        <v>207</v>
      </c>
      <c r="F109" s="1" t="n">
        <v>3510</v>
      </c>
      <c r="G109" s="4" t="n">
        <v>0</v>
      </c>
      <c r="H109" s="1" t="s">
        <v>315</v>
      </c>
    </row>
    <row r="110" customFormat="false" ht="12.8" hidden="false" customHeight="false" outlineLevel="0" collapsed="false">
      <c r="A110" s="1" t="s">
        <v>6</v>
      </c>
      <c r="B110" s="1" t="n">
        <v>19</v>
      </c>
      <c r="C110" s="1" t="n">
        <v>23</v>
      </c>
      <c r="D110" s="1" t="s">
        <v>207</v>
      </c>
      <c r="E110" s="1" t="s">
        <v>198</v>
      </c>
      <c r="F110" s="1" t="n">
        <v>3510</v>
      </c>
      <c r="G110" s="4" t="n">
        <v>0</v>
      </c>
      <c r="H110" s="1" t="s">
        <v>309</v>
      </c>
    </row>
    <row r="111" customFormat="false" ht="12.8" hidden="false" customHeight="false" outlineLevel="0" collapsed="false">
      <c r="A111" s="1" t="s">
        <v>6</v>
      </c>
      <c r="B111" s="1" t="n">
        <v>19</v>
      </c>
      <c r="C111" s="1" t="n">
        <v>24</v>
      </c>
      <c r="D111" s="1" t="s">
        <v>198</v>
      </c>
      <c r="E111" s="1" t="s">
        <v>206</v>
      </c>
      <c r="F111" s="1" t="n">
        <v>3510</v>
      </c>
      <c r="G111" s="4" t="n">
        <v>0</v>
      </c>
      <c r="H111" s="1" t="s">
        <v>318</v>
      </c>
    </row>
    <row r="112" customFormat="false" ht="12.8" hidden="false" customHeight="false" outlineLevel="0" collapsed="false">
      <c r="A112" s="1" t="s">
        <v>6</v>
      </c>
      <c r="B112" s="1" t="n">
        <v>19</v>
      </c>
      <c r="C112" s="1" t="n">
        <v>25</v>
      </c>
      <c r="D112" s="1" t="s">
        <v>206</v>
      </c>
      <c r="E112" s="1" t="s">
        <v>208</v>
      </c>
      <c r="F112" s="1" t="n">
        <v>3510</v>
      </c>
      <c r="G112" s="4" t="n">
        <v>0</v>
      </c>
      <c r="H112" s="1" t="s">
        <v>314</v>
      </c>
    </row>
    <row r="113" customFormat="false" ht="12.8" hidden="false" customHeight="false" outlineLevel="0" collapsed="false">
      <c r="A113" s="1" t="s">
        <v>6</v>
      </c>
      <c r="B113" s="1" t="n">
        <v>19</v>
      </c>
      <c r="C113" s="1" t="n">
        <v>26</v>
      </c>
      <c r="D113" s="1" t="s">
        <v>208</v>
      </c>
      <c r="E113" s="1" t="s">
        <v>207</v>
      </c>
      <c r="F113" s="1" t="n">
        <v>3510</v>
      </c>
      <c r="G113" s="4" t="n">
        <v>0</v>
      </c>
      <c r="H113" s="1" t="s">
        <v>315</v>
      </c>
    </row>
    <row r="114" customFormat="false" ht="12.8" hidden="false" customHeight="false" outlineLevel="0" collapsed="false">
      <c r="A114" s="1" t="s">
        <v>6</v>
      </c>
      <c r="B114" s="1" t="n">
        <v>19</v>
      </c>
      <c r="C114" s="1" t="n">
        <v>27</v>
      </c>
      <c r="D114" s="1" t="s">
        <v>207</v>
      </c>
      <c r="E114" s="1" t="s">
        <v>198</v>
      </c>
      <c r="F114" s="1" t="n">
        <v>3510</v>
      </c>
      <c r="G114" s="4" t="n">
        <v>0</v>
      </c>
      <c r="H114" s="1" t="s">
        <v>309</v>
      </c>
    </row>
    <row r="115" customFormat="false" ht="12.8" hidden="false" customHeight="false" outlineLevel="0" collapsed="false">
      <c r="A115" s="1" t="s">
        <v>6</v>
      </c>
      <c r="B115" s="1" t="n">
        <v>19</v>
      </c>
      <c r="C115" s="1" t="n">
        <v>28</v>
      </c>
      <c r="D115" s="1" t="s">
        <v>198</v>
      </c>
      <c r="E115" s="1" t="s">
        <v>206</v>
      </c>
      <c r="F115" s="1" t="n">
        <v>3510</v>
      </c>
      <c r="G115" s="4" t="n">
        <v>0</v>
      </c>
      <c r="H115" s="1" t="s">
        <v>318</v>
      </c>
    </row>
    <row r="116" customFormat="false" ht="12.8" hidden="false" customHeight="false" outlineLevel="0" collapsed="false">
      <c r="A116" s="1" t="s">
        <v>6</v>
      </c>
      <c r="B116" s="1" t="n">
        <v>19</v>
      </c>
      <c r="C116" s="1" t="n">
        <v>29</v>
      </c>
      <c r="D116" s="1" t="s">
        <v>206</v>
      </c>
      <c r="E116" s="1" t="s">
        <v>210</v>
      </c>
      <c r="F116" s="1" t="n">
        <v>3510</v>
      </c>
      <c r="G116" s="4" t="n">
        <v>0</v>
      </c>
      <c r="H116" s="1" t="s">
        <v>319</v>
      </c>
    </row>
    <row r="117" customFormat="false" ht="12.8" hidden="false" customHeight="false" outlineLevel="0" collapsed="false">
      <c r="A117" s="1" t="s">
        <v>6</v>
      </c>
      <c r="B117" s="1" t="n">
        <v>20</v>
      </c>
      <c r="C117" s="1" t="n">
        <v>1</v>
      </c>
      <c r="D117" s="1" t="s">
        <v>210</v>
      </c>
      <c r="E117" s="1" t="s">
        <v>206</v>
      </c>
      <c r="F117" s="1" t="n">
        <v>3350</v>
      </c>
      <c r="G117" s="4" t="n">
        <v>1</v>
      </c>
      <c r="H117" s="1" t="s">
        <v>320</v>
      </c>
    </row>
    <row r="118" customFormat="false" ht="12.8" hidden="false" customHeight="false" outlineLevel="0" collapsed="false">
      <c r="A118" s="1" t="s">
        <v>6</v>
      </c>
      <c r="B118" s="1" t="n">
        <v>20</v>
      </c>
      <c r="C118" s="1" t="n">
        <v>2</v>
      </c>
      <c r="D118" s="1" t="s">
        <v>206</v>
      </c>
      <c r="E118" s="1" t="s">
        <v>198</v>
      </c>
      <c r="F118" s="1" t="n">
        <v>3350</v>
      </c>
      <c r="G118" s="4" t="n">
        <v>1</v>
      </c>
      <c r="H118" s="1" t="s">
        <v>321</v>
      </c>
    </row>
    <row r="119" customFormat="false" ht="12.8" hidden="false" customHeight="false" outlineLevel="0" collapsed="false">
      <c r="A119" s="1" t="s">
        <v>6</v>
      </c>
      <c r="B119" s="1" t="n">
        <v>20</v>
      </c>
      <c r="C119" s="1" t="n">
        <v>3</v>
      </c>
      <c r="D119" s="1" t="s">
        <v>198</v>
      </c>
      <c r="E119" s="1" t="s">
        <v>207</v>
      </c>
      <c r="F119" s="1" t="n">
        <v>3350</v>
      </c>
      <c r="G119" s="4" t="n">
        <v>1</v>
      </c>
      <c r="H119" s="1" t="s">
        <v>322</v>
      </c>
    </row>
    <row r="120" customFormat="false" ht="12.8" hidden="false" customHeight="false" outlineLevel="0" collapsed="false">
      <c r="A120" s="1" t="s">
        <v>6</v>
      </c>
      <c r="B120" s="1" t="n">
        <v>20</v>
      </c>
      <c r="C120" s="1" t="n">
        <v>4</v>
      </c>
      <c r="D120" s="1" t="s">
        <v>207</v>
      </c>
      <c r="E120" s="1" t="s">
        <v>208</v>
      </c>
      <c r="F120" s="1" t="n">
        <v>3350</v>
      </c>
      <c r="G120" s="4" t="n">
        <v>1</v>
      </c>
      <c r="H120" s="1" t="s">
        <v>323</v>
      </c>
    </row>
    <row r="121" customFormat="false" ht="12.8" hidden="false" customHeight="false" outlineLevel="0" collapsed="false">
      <c r="A121" s="1" t="s">
        <v>6</v>
      </c>
      <c r="B121" s="1" t="n">
        <v>20</v>
      </c>
      <c r="C121" s="1" t="n">
        <v>5</v>
      </c>
      <c r="D121" s="1" t="s">
        <v>208</v>
      </c>
      <c r="E121" s="1" t="s">
        <v>206</v>
      </c>
      <c r="F121" s="1" t="n">
        <v>3350</v>
      </c>
      <c r="G121" s="4" t="n">
        <v>1</v>
      </c>
      <c r="H121" s="1" t="s">
        <v>324</v>
      </c>
    </row>
    <row r="122" customFormat="false" ht="12.8" hidden="false" customHeight="false" outlineLevel="0" collapsed="false">
      <c r="A122" s="1" t="s">
        <v>6</v>
      </c>
      <c r="B122" s="1" t="n">
        <v>20</v>
      </c>
      <c r="C122" s="1" t="n">
        <v>6</v>
      </c>
      <c r="D122" s="1" t="s">
        <v>206</v>
      </c>
      <c r="E122" s="1" t="s">
        <v>198</v>
      </c>
      <c r="F122" s="1" t="n">
        <v>3350</v>
      </c>
      <c r="G122" s="4" t="n">
        <v>1</v>
      </c>
      <c r="H122" s="1" t="s">
        <v>321</v>
      </c>
    </row>
    <row r="123" customFormat="false" ht="12.8" hidden="false" customHeight="false" outlineLevel="0" collapsed="false">
      <c r="A123" s="1" t="s">
        <v>6</v>
      </c>
      <c r="B123" s="1" t="n">
        <v>20</v>
      </c>
      <c r="C123" s="1" t="n">
        <v>7</v>
      </c>
      <c r="D123" s="1" t="s">
        <v>198</v>
      </c>
      <c r="E123" s="1" t="s">
        <v>207</v>
      </c>
      <c r="F123" s="1" t="n">
        <v>3350</v>
      </c>
      <c r="G123" s="4" t="n">
        <v>1</v>
      </c>
      <c r="H123" s="1" t="s">
        <v>322</v>
      </c>
    </row>
    <row r="124" customFormat="false" ht="12.8" hidden="false" customHeight="false" outlineLevel="0" collapsed="false">
      <c r="A124" s="1" t="s">
        <v>6</v>
      </c>
      <c r="B124" s="1" t="n">
        <v>20</v>
      </c>
      <c r="C124" s="1" t="n">
        <v>8</v>
      </c>
      <c r="D124" s="1" t="s">
        <v>207</v>
      </c>
      <c r="E124" s="1" t="s">
        <v>208</v>
      </c>
      <c r="F124" s="1" t="n">
        <v>3350</v>
      </c>
      <c r="G124" s="4" t="n">
        <v>1</v>
      </c>
      <c r="H124" s="1" t="s">
        <v>323</v>
      </c>
    </row>
    <row r="125" customFormat="false" ht="12.8" hidden="false" customHeight="false" outlineLevel="0" collapsed="false">
      <c r="A125" s="1" t="s">
        <v>6</v>
      </c>
      <c r="B125" s="1" t="n">
        <v>20</v>
      </c>
      <c r="C125" s="1" t="n">
        <v>9</v>
      </c>
      <c r="D125" s="1" t="s">
        <v>208</v>
      </c>
      <c r="E125" s="1" t="s">
        <v>206</v>
      </c>
      <c r="F125" s="1" t="n">
        <v>3350</v>
      </c>
      <c r="G125" s="4" t="n">
        <v>1</v>
      </c>
      <c r="H125" s="1" t="s">
        <v>324</v>
      </c>
    </row>
    <row r="126" customFormat="false" ht="12.8" hidden="false" customHeight="false" outlineLevel="0" collapsed="false">
      <c r="A126" s="1" t="s">
        <v>6</v>
      </c>
      <c r="B126" s="1" t="n">
        <v>20</v>
      </c>
      <c r="C126" s="1" t="n">
        <v>10</v>
      </c>
      <c r="D126" s="1" t="s">
        <v>206</v>
      </c>
      <c r="E126" s="1" t="s">
        <v>200</v>
      </c>
      <c r="F126" s="1" t="n">
        <v>3350</v>
      </c>
      <c r="G126" s="4" t="n">
        <v>1</v>
      </c>
      <c r="H126" s="1" t="s">
        <v>325</v>
      </c>
    </row>
    <row r="127" customFormat="false" ht="12.8" hidden="false" customHeight="false" outlineLevel="0" collapsed="false">
      <c r="A127" s="1" t="s">
        <v>6</v>
      </c>
      <c r="B127" s="1" t="n">
        <v>20</v>
      </c>
      <c r="C127" s="1" t="n">
        <v>11</v>
      </c>
      <c r="D127" s="1" t="s">
        <v>200</v>
      </c>
      <c r="E127" s="1" t="s">
        <v>207</v>
      </c>
      <c r="F127" s="1" t="n">
        <v>3350</v>
      </c>
      <c r="G127" s="4" t="n">
        <v>1</v>
      </c>
      <c r="H127" s="1" t="s">
        <v>326</v>
      </c>
    </row>
    <row r="128" customFormat="false" ht="12.8" hidden="false" customHeight="false" outlineLevel="0" collapsed="false">
      <c r="A128" s="1" t="s">
        <v>6</v>
      </c>
      <c r="B128" s="1" t="n">
        <v>20</v>
      </c>
      <c r="C128" s="1" t="n">
        <v>12</v>
      </c>
      <c r="D128" s="1" t="s">
        <v>207</v>
      </c>
      <c r="E128" s="1" t="s">
        <v>206</v>
      </c>
      <c r="F128" s="1" t="n">
        <v>3350</v>
      </c>
      <c r="G128" s="4" t="n">
        <v>1</v>
      </c>
      <c r="H128" s="1" t="s">
        <v>327</v>
      </c>
    </row>
    <row r="129" customFormat="false" ht="12.8" hidden="false" customHeight="false" outlineLevel="0" collapsed="false">
      <c r="A129" s="1" t="s">
        <v>6</v>
      </c>
      <c r="B129" s="1" t="n">
        <v>20</v>
      </c>
      <c r="C129" s="1" t="n">
        <v>13</v>
      </c>
      <c r="D129" s="1" t="s">
        <v>206</v>
      </c>
      <c r="E129" s="1" t="s">
        <v>208</v>
      </c>
      <c r="F129" s="1" t="n">
        <v>3350</v>
      </c>
      <c r="G129" s="4" t="n">
        <v>1</v>
      </c>
      <c r="H129" s="1" t="s">
        <v>328</v>
      </c>
    </row>
    <row r="130" customFormat="false" ht="12.8" hidden="false" customHeight="false" outlineLevel="0" collapsed="false">
      <c r="A130" s="1" t="s">
        <v>6</v>
      </c>
      <c r="B130" s="1" t="n">
        <v>20</v>
      </c>
      <c r="C130" s="1" t="n">
        <v>14</v>
      </c>
      <c r="D130" s="1" t="s">
        <v>208</v>
      </c>
      <c r="E130" s="1" t="s">
        <v>196</v>
      </c>
      <c r="F130" s="1" t="n">
        <v>3350</v>
      </c>
      <c r="G130" s="4" t="n">
        <v>1</v>
      </c>
      <c r="H130" s="1" t="s">
        <v>329</v>
      </c>
    </row>
    <row r="131" customFormat="false" ht="12.8" hidden="false" customHeight="false" outlineLevel="0" collapsed="false">
      <c r="A131" s="1" t="s">
        <v>6</v>
      </c>
      <c r="B131" s="1" t="n">
        <v>20</v>
      </c>
      <c r="C131" s="1" t="n">
        <v>15</v>
      </c>
      <c r="D131" s="1" t="s">
        <v>196</v>
      </c>
      <c r="E131" s="1" t="s">
        <v>207</v>
      </c>
      <c r="F131" s="1" t="n">
        <v>3350</v>
      </c>
      <c r="G131" s="4" t="n">
        <v>1</v>
      </c>
      <c r="H131" s="1" t="s">
        <v>330</v>
      </c>
    </row>
    <row r="132" customFormat="false" ht="12.8" hidden="false" customHeight="false" outlineLevel="0" collapsed="false">
      <c r="A132" s="1" t="s">
        <v>6</v>
      </c>
      <c r="B132" s="1" t="n">
        <v>20</v>
      </c>
      <c r="C132" s="1" t="n">
        <v>16</v>
      </c>
      <c r="D132" s="1" t="s">
        <v>207</v>
      </c>
      <c r="E132" s="1" t="s">
        <v>208</v>
      </c>
      <c r="F132" s="1" t="n">
        <v>3350</v>
      </c>
      <c r="G132" s="4" t="n">
        <v>1</v>
      </c>
      <c r="H132" s="1" t="s">
        <v>323</v>
      </c>
    </row>
    <row r="133" customFormat="false" ht="12.8" hidden="false" customHeight="false" outlineLevel="0" collapsed="false">
      <c r="A133" s="1" t="s">
        <v>6</v>
      </c>
      <c r="B133" s="1" t="n">
        <v>20</v>
      </c>
      <c r="C133" s="1" t="n">
        <v>17</v>
      </c>
      <c r="D133" s="1" t="s">
        <v>208</v>
      </c>
      <c r="E133" s="1" t="s">
        <v>206</v>
      </c>
      <c r="F133" s="1" t="n">
        <v>3350</v>
      </c>
      <c r="G133" s="4" t="n">
        <v>1</v>
      </c>
      <c r="H133" s="1" t="s">
        <v>324</v>
      </c>
    </row>
    <row r="134" customFormat="false" ht="12.8" hidden="false" customHeight="false" outlineLevel="0" collapsed="false">
      <c r="A134" s="1" t="s">
        <v>6</v>
      </c>
      <c r="B134" s="1" t="n">
        <v>20</v>
      </c>
      <c r="C134" s="1" t="n">
        <v>18</v>
      </c>
      <c r="D134" s="1" t="s">
        <v>206</v>
      </c>
      <c r="E134" s="1" t="s">
        <v>200</v>
      </c>
      <c r="F134" s="1" t="n">
        <v>3350</v>
      </c>
      <c r="G134" s="4" t="n">
        <v>1</v>
      </c>
      <c r="H134" s="1" t="s">
        <v>325</v>
      </c>
    </row>
    <row r="135" customFormat="false" ht="12.8" hidden="false" customHeight="false" outlineLevel="0" collapsed="false">
      <c r="A135" s="1" t="s">
        <v>6</v>
      </c>
      <c r="B135" s="1" t="n">
        <v>20</v>
      </c>
      <c r="C135" s="1" t="n">
        <v>19</v>
      </c>
      <c r="D135" s="1" t="s">
        <v>200</v>
      </c>
      <c r="E135" s="1" t="s">
        <v>207</v>
      </c>
      <c r="F135" s="1" t="n">
        <v>3350</v>
      </c>
      <c r="G135" s="4" t="n">
        <v>1</v>
      </c>
      <c r="H135" s="1" t="s">
        <v>326</v>
      </c>
    </row>
    <row r="136" customFormat="false" ht="12.8" hidden="false" customHeight="false" outlineLevel="0" collapsed="false">
      <c r="A136" s="1" t="s">
        <v>6</v>
      </c>
      <c r="B136" s="1" t="n">
        <v>20</v>
      </c>
      <c r="C136" s="1" t="n">
        <v>20</v>
      </c>
      <c r="D136" s="1" t="s">
        <v>207</v>
      </c>
      <c r="E136" s="1" t="s">
        <v>206</v>
      </c>
      <c r="F136" s="1" t="n">
        <v>3350</v>
      </c>
      <c r="G136" s="4" t="n">
        <v>1</v>
      </c>
      <c r="H136" s="1" t="s">
        <v>327</v>
      </c>
    </row>
    <row r="137" customFormat="false" ht="12.8" hidden="false" customHeight="false" outlineLevel="0" collapsed="false">
      <c r="A137" s="1" t="s">
        <v>6</v>
      </c>
      <c r="B137" s="1" t="n">
        <v>20</v>
      </c>
      <c r="C137" s="1" t="n">
        <v>21</v>
      </c>
      <c r="D137" s="1" t="s">
        <v>206</v>
      </c>
      <c r="E137" s="1" t="s">
        <v>208</v>
      </c>
      <c r="F137" s="1" t="n">
        <v>3350</v>
      </c>
      <c r="G137" s="4" t="n">
        <v>1</v>
      </c>
      <c r="H137" s="1" t="s">
        <v>328</v>
      </c>
    </row>
    <row r="138" customFormat="false" ht="12.8" hidden="false" customHeight="false" outlineLevel="0" collapsed="false">
      <c r="A138" s="1" t="s">
        <v>6</v>
      </c>
      <c r="B138" s="1" t="n">
        <v>20</v>
      </c>
      <c r="C138" s="1" t="n">
        <v>22</v>
      </c>
      <c r="D138" s="1" t="s">
        <v>208</v>
      </c>
      <c r="E138" s="1" t="s">
        <v>198</v>
      </c>
      <c r="F138" s="1" t="n">
        <v>3350</v>
      </c>
      <c r="G138" s="4" t="n">
        <v>1</v>
      </c>
      <c r="H138" s="1" t="s">
        <v>331</v>
      </c>
    </row>
    <row r="139" customFormat="false" ht="12.8" hidden="false" customHeight="false" outlineLevel="0" collapsed="false">
      <c r="A139" s="1" t="s">
        <v>6</v>
      </c>
      <c r="B139" s="1" t="n">
        <v>20</v>
      </c>
      <c r="C139" s="1" t="n">
        <v>23</v>
      </c>
      <c r="D139" s="1" t="s">
        <v>198</v>
      </c>
      <c r="E139" s="1" t="s">
        <v>207</v>
      </c>
      <c r="F139" s="1" t="n">
        <v>3350</v>
      </c>
      <c r="G139" s="4" t="n">
        <v>1</v>
      </c>
      <c r="H139" s="1" t="s">
        <v>322</v>
      </c>
    </row>
    <row r="140" customFormat="false" ht="12.8" hidden="false" customHeight="false" outlineLevel="0" collapsed="false">
      <c r="A140" s="1" t="s">
        <v>6</v>
      </c>
      <c r="B140" s="1" t="n">
        <v>20</v>
      </c>
      <c r="C140" s="1" t="n">
        <v>24</v>
      </c>
      <c r="D140" s="1" t="s">
        <v>207</v>
      </c>
      <c r="E140" s="1" t="s">
        <v>206</v>
      </c>
      <c r="F140" s="1" t="n">
        <v>3350</v>
      </c>
      <c r="G140" s="4" t="n">
        <v>1</v>
      </c>
      <c r="H140" s="1" t="s">
        <v>327</v>
      </c>
    </row>
    <row r="141" customFormat="false" ht="12.8" hidden="false" customHeight="false" outlineLevel="0" collapsed="false">
      <c r="A141" s="1" t="s">
        <v>6</v>
      </c>
      <c r="B141" s="1" t="n">
        <v>20</v>
      </c>
      <c r="C141" s="1" t="n">
        <v>25</v>
      </c>
      <c r="D141" s="1" t="s">
        <v>206</v>
      </c>
      <c r="E141" s="1" t="s">
        <v>208</v>
      </c>
      <c r="F141" s="1" t="n">
        <v>3350</v>
      </c>
      <c r="G141" s="4" t="n">
        <v>1</v>
      </c>
      <c r="H141" s="1" t="s">
        <v>328</v>
      </c>
    </row>
    <row r="142" customFormat="false" ht="12.8" hidden="false" customHeight="false" outlineLevel="0" collapsed="false">
      <c r="A142" s="1" t="s">
        <v>6</v>
      </c>
      <c r="B142" s="1" t="n">
        <v>20</v>
      </c>
      <c r="C142" s="1" t="n">
        <v>26</v>
      </c>
      <c r="D142" s="1" t="s">
        <v>208</v>
      </c>
      <c r="E142" s="1" t="s">
        <v>198</v>
      </c>
      <c r="F142" s="1" t="n">
        <v>3350</v>
      </c>
      <c r="G142" s="4" t="n">
        <v>1</v>
      </c>
      <c r="H142" s="1" t="s">
        <v>331</v>
      </c>
    </row>
    <row r="143" customFormat="false" ht="12.8" hidden="false" customHeight="false" outlineLevel="0" collapsed="false">
      <c r="A143" s="1" t="s">
        <v>6</v>
      </c>
      <c r="B143" s="1" t="n">
        <v>20</v>
      </c>
      <c r="C143" s="1" t="n">
        <v>27</v>
      </c>
      <c r="D143" s="1" t="s">
        <v>198</v>
      </c>
      <c r="E143" s="1" t="s">
        <v>207</v>
      </c>
      <c r="F143" s="1" t="n">
        <v>3350</v>
      </c>
      <c r="G143" s="4" t="n">
        <v>1</v>
      </c>
      <c r="H143" s="1" t="s">
        <v>322</v>
      </c>
    </row>
    <row r="144" customFormat="false" ht="12.8" hidden="false" customHeight="false" outlineLevel="0" collapsed="false">
      <c r="A144" s="1" t="s">
        <v>6</v>
      </c>
      <c r="B144" s="1" t="n">
        <v>20</v>
      </c>
      <c r="C144" s="1" t="n">
        <v>28</v>
      </c>
      <c r="D144" s="1" t="s">
        <v>207</v>
      </c>
      <c r="E144" s="1" t="s">
        <v>206</v>
      </c>
      <c r="F144" s="1" t="n">
        <v>3350</v>
      </c>
      <c r="G144" s="4" t="n">
        <v>1</v>
      </c>
      <c r="H144" s="1" t="s">
        <v>327</v>
      </c>
    </row>
    <row r="145" customFormat="false" ht="12.8" hidden="false" customHeight="false" outlineLevel="0" collapsed="false">
      <c r="A145" s="1" t="s">
        <v>6</v>
      </c>
      <c r="B145" s="1" t="n">
        <v>20</v>
      </c>
      <c r="C145" s="1" t="n">
        <v>29</v>
      </c>
      <c r="D145" s="1" t="s">
        <v>206</v>
      </c>
      <c r="E145" s="1" t="s">
        <v>210</v>
      </c>
      <c r="F145" s="1" t="n">
        <v>3350</v>
      </c>
      <c r="G145" s="4" t="n">
        <v>1</v>
      </c>
      <c r="H145" s="1" t="s">
        <v>332</v>
      </c>
    </row>
    <row r="146" customFormat="false" ht="12.8" hidden="false" customHeight="false" outlineLevel="0" collapsed="false">
      <c r="A146" s="1" t="s">
        <v>6</v>
      </c>
      <c r="B146" s="1" t="n">
        <v>40</v>
      </c>
      <c r="C146" s="1" t="n">
        <v>1</v>
      </c>
      <c r="D146" s="1" t="s">
        <v>210</v>
      </c>
      <c r="E146" s="1" t="s">
        <v>206</v>
      </c>
      <c r="F146" s="1" t="n">
        <v>3350</v>
      </c>
      <c r="G146" s="4" t="n">
        <v>1</v>
      </c>
      <c r="H146" s="1" t="s">
        <v>320</v>
      </c>
    </row>
    <row r="147" customFormat="false" ht="12.8" hidden="false" customHeight="false" outlineLevel="0" collapsed="false">
      <c r="A147" s="1" t="s">
        <v>6</v>
      </c>
      <c r="B147" s="1" t="n">
        <v>40</v>
      </c>
      <c r="C147" s="1" t="n">
        <v>2</v>
      </c>
      <c r="D147" s="1" t="s">
        <v>206</v>
      </c>
      <c r="E147" s="1" t="s">
        <v>198</v>
      </c>
      <c r="F147" s="1" t="n">
        <v>3350</v>
      </c>
      <c r="G147" s="4" t="n">
        <v>1</v>
      </c>
      <c r="H147" s="1" t="s">
        <v>321</v>
      </c>
    </row>
    <row r="148" customFormat="false" ht="12.8" hidden="false" customHeight="false" outlineLevel="0" collapsed="false">
      <c r="A148" s="1" t="s">
        <v>6</v>
      </c>
      <c r="B148" s="1" t="n">
        <v>40</v>
      </c>
      <c r="C148" s="1" t="n">
        <v>3</v>
      </c>
      <c r="D148" s="1" t="s">
        <v>198</v>
      </c>
      <c r="E148" s="1" t="s">
        <v>207</v>
      </c>
      <c r="F148" s="1" t="n">
        <v>3350</v>
      </c>
      <c r="G148" s="4" t="n">
        <v>1</v>
      </c>
      <c r="H148" s="1" t="s">
        <v>322</v>
      </c>
    </row>
    <row r="149" customFormat="false" ht="12.8" hidden="false" customHeight="false" outlineLevel="0" collapsed="false">
      <c r="A149" s="1" t="s">
        <v>6</v>
      </c>
      <c r="B149" s="1" t="n">
        <v>40</v>
      </c>
      <c r="C149" s="1" t="n">
        <v>4</v>
      </c>
      <c r="D149" s="1" t="s">
        <v>207</v>
      </c>
      <c r="E149" s="1" t="s">
        <v>208</v>
      </c>
      <c r="F149" s="1" t="n">
        <v>3350</v>
      </c>
      <c r="G149" s="4" t="n">
        <v>1</v>
      </c>
      <c r="H149" s="1" t="s">
        <v>323</v>
      </c>
    </row>
    <row r="150" customFormat="false" ht="12.8" hidden="false" customHeight="false" outlineLevel="0" collapsed="false">
      <c r="A150" s="1" t="s">
        <v>6</v>
      </c>
      <c r="B150" s="1" t="n">
        <v>40</v>
      </c>
      <c r="C150" s="1" t="n">
        <v>5</v>
      </c>
      <c r="D150" s="1" t="s">
        <v>208</v>
      </c>
      <c r="E150" s="1" t="s">
        <v>206</v>
      </c>
      <c r="F150" s="1" t="n">
        <v>3350</v>
      </c>
      <c r="G150" s="4" t="n">
        <v>1</v>
      </c>
      <c r="H150" s="1" t="s">
        <v>324</v>
      </c>
    </row>
    <row r="151" customFormat="false" ht="12.8" hidden="false" customHeight="false" outlineLevel="0" collapsed="false">
      <c r="A151" s="1" t="s">
        <v>6</v>
      </c>
      <c r="B151" s="1" t="n">
        <v>40</v>
      </c>
      <c r="C151" s="1" t="n">
        <v>6</v>
      </c>
      <c r="D151" s="1" t="s">
        <v>206</v>
      </c>
      <c r="E151" s="1" t="s">
        <v>198</v>
      </c>
      <c r="F151" s="1" t="n">
        <v>3350</v>
      </c>
      <c r="G151" s="4" t="n">
        <v>1</v>
      </c>
      <c r="H151" s="1" t="s">
        <v>321</v>
      </c>
    </row>
    <row r="152" customFormat="false" ht="12.8" hidden="false" customHeight="false" outlineLevel="0" collapsed="false">
      <c r="A152" s="1" t="s">
        <v>6</v>
      </c>
      <c r="B152" s="1" t="n">
        <v>40</v>
      </c>
      <c r="C152" s="1" t="n">
        <v>7</v>
      </c>
      <c r="D152" s="1" t="s">
        <v>198</v>
      </c>
      <c r="E152" s="1" t="s">
        <v>207</v>
      </c>
      <c r="F152" s="1" t="n">
        <v>3350</v>
      </c>
      <c r="G152" s="4" t="n">
        <v>1</v>
      </c>
      <c r="H152" s="1" t="s">
        <v>322</v>
      </c>
    </row>
    <row r="153" customFormat="false" ht="12.8" hidden="false" customHeight="false" outlineLevel="0" collapsed="false">
      <c r="A153" s="1" t="s">
        <v>6</v>
      </c>
      <c r="B153" s="1" t="n">
        <v>40</v>
      </c>
      <c r="C153" s="1" t="n">
        <v>8</v>
      </c>
      <c r="D153" s="1" t="s">
        <v>207</v>
      </c>
      <c r="E153" s="1" t="s">
        <v>208</v>
      </c>
      <c r="F153" s="1" t="n">
        <v>3350</v>
      </c>
      <c r="G153" s="4" t="n">
        <v>1</v>
      </c>
      <c r="H153" s="1" t="s">
        <v>323</v>
      </c>
    </row>
    <row r="154" customFormat="false" ht="12.8" hidden="false" customHeight="false" outlineLevel="0" collapsed="false">
      <c r="A154" s="1" t="s">
        <v>6</v>
      </c>
      <c r="B154" s="1" t="n">
        <v>40</v>
      </c>
      <c r="C154" s="1" t="n">
        <v>9</v>
      </c>
      <c r="D154" s="1" t="s">
        <v>208</v>
      </c>
      <c r="E154" s="1" t="s">
        <v>206</v>
      </c>
      <c r="F154" s="1" t="n">
        <v>3350</v>
      </c>
      <c r="G154" s="4" t="n">
        <v>1</v>
      </c>
      <c r="H154" s="1" t="s">
        <v>324</v>
      </c>
    </row>
    <row r="155" customFormat="false" ht="12.8" hidden="false" customHeight="false" outlineLevel="0" collapsed="false">
      <c r="A155" s="1" t="s">
        <v>6</v>
      </c>
      <c r="B155" s="1" t="n">
        <v>40</v>
      </c>
      <c r="C155" s="1" t="n">
        <v>10</v>
      </c>
      <c r="D155" s="1" t="s">
        <v>206</v>
      </c>
      <c r="E155" s="1" t="s">
        <v>200</v>
      </c>
      <c r="F155" s="1" t="n">
        <v>3350</v>
      </c>
      <c r="G155" s="4" t="n">
        <v>1</v>
      </c>
      <c r="H155" s="1" t="s">
        <v>325</v>
      </c>
    </row>
    <row r="156" customFormat="false" ht="12.8" hidden="false" customHeight="false" outlineLevel="0" collapsed="false">
      <c r="A156" s="1" t="s">
        <v>6</v>
      </c>
      <c r="B156" s="1" t="n">
        <v>40</v>
      </c>
      <c r="C156" s="1" t="n">
        <v>11</v>
      </c>
      <c r="D156" s="1" t="s">
        <v>200</v>
      </c>
      <c r="E156" s="1" t="s">
        <v>207</v>
      </c>
      <c r="F156" s="1" t="n">
        <v>3350</v>
      </c>
      <c r="G156" s="4" t="n">
        <v>1</v>
      </c>
      <c r="H156" s="1" t="s">
        <v>326</v>
      </c>
    </row>
    <row r="157" customFormat="false" ht="12.8" hidden="false" customHeight="false" outlineLevel="0" collapsed="false">
      <c r="A157" s="1" t="s">
        <v>6</v>
      </c>
      <c r="B157" s="1" t="n">
        <v>40</v>
      </c>
      <c r="C157" s="1" t="n">
        <v>12</v>
      </c>
      <c r="D157" s="1" t="s">
        <v>207</v>
      </c>
      <c r="E157" s="1" t="s">
        <v>206</v>
      </c>
      <c r="F157" s="1" t="n">
        <v>3350</v>
      </c>
      <c r="G157" s="4" t="n">
        <v>1</v>
      </c>
      <c r="H157" s="1" t="s">
        <v>327</v>
      </c>
    </row>
    <row r="158" customFormat="false" ht="12.8" hidden="false" customHeight="false" outlineLevel="0" collapsed="false">
      <c r="A158" s="1" t="s">
        <v>6</v>
      </c>
      <c r="B158" s="1" t="n">
        <v>40</v>
      </c>
      <c r="C158" s="1" t="n">
        <v>13</v>
      </c>
      <c r="D158" s="1" t="s">
        <v>206</v>
      </c>
      <c r="E158" s="1" t="s">
        <v>208</v>
      </c>
      <c r="F158" s="1" t="n">
        <v>3350</v>
      </c>
      <c r="G158" s="4" t="n">
        <v>1</v>
      </c>
      <c r="H158" s="1" t="s">
        <v>328</v>
      </c>
    </row>
    <row r="159" customFormat="false" ht="12.8" hidden="false" customHeight="false" outlineLevel="0" collapsed="false">
      <c r="A159" s="1" t="s">
        <v>6</v>
      </c>
      <c r="B159" s="1" t="n">
        <v>40</v>
      </c>
      <c r="C159" s="1" t="n">
        <v>14</v>
      </c>
      <c r="D159" s="1" t="s">
        <v>208</v>
      </c>
      <c r="E159" s="1" t="s">
        <v>196</v>
      </c>
      <c r="F159" s="1" t="n">
        <v>3350</v>
      </c>
      <c r="G159" s="4" t="n">
        <v>1</v>
      </c>
      <c r="H159" s="1" t="s">
        <v>329</v>
      </c>
    </row>
    <row r="160" customFormat="false" ht="12.8" hidden="false" customHeight="false" outlineLevel="0" collapsed="false">
      <c r="A160" s="1" t="s">
        <v>6</v>
      </c>
      <c r="B160" s="1" t="n">
        <v>40</v>
      </c>
      <c r="C160" s="1" t="n">
        <v>15</v>
      </c>
      <c r="D160" s="1" t="s">
        <v>196</v>
      </c>
      <c r="E160" s="1" t="s">
        <v>207</v>
      </c>
      <c r="F160" s="1" t="n">
        <v>3350</v>
      </c>
      <c r="G160" s="4" t="n">
        <v>1</v>
      </c>
      <c r="H160" s="1" t="s">
        <v>330</v>
      </c>
    </row>
    <row r="161" customFormat="false" ht="12.8" hidden="false" customHeight="false" outlineLevel="0" collapsed="false">
      <c r="A161" s="1" t="s">
        <v>6</v>
      </c>
      <c r="B161" s="1" t="n">
        <v>40</v>
      </c>
      <c r="C161" s="1" t="n">
        <v>16</v>
      </c>
      <c r="D161" s="1" t="s">
        <v>207</v>
      </c>
      <c r="E161" s="1" t="s">
        <v>208</v>
      </c>
      <c r="F161" s="1" t="n">
        <v>3350</v>
      </c>
      <c r="G161" s="4" t="n">
        <v>1</v>
      </c>
      <c r="H161" s="1" t="s">
        <v>323</v>
      </c>
    </row>
    <row r="162" customFormat="false" ht="12.8" hidden="false" customHeight="false" outlineLevel="0" collapsed="false">
      <c r="A162" s="1" t="s">
        <v>6</v>
      </c>
      <c r="B162" s="1" t="n">
        <v>40</v>
      </c>
      <c r="C162" s="1" t="n">
        <v>17</v>
      </c>
      <c r="D162" s="1" t="s">
        <v>208</v>
      </c>
      <c r="E162" s="1" t="s">
        <v>206</v>
      </c>
      <c r="F162" s="1" t="n">
        <v>3350</v>
      </c>
      <c r="G162" s="4" t="n">
        <v>1</v>
      </c>
      <c r="H162" s="1" t="s">
        <v>324</v>
      </c>
    </row>
    <row r="163" customFormat="false" ht="12.8" hidden="false" customHeight="false" outlineLevel="0" collapsed="false">
      <c r="A163" s="1" t="s">
        <v>6</v>
      </c>
      <c r="B163" s="1" t="n">
        <v>40</v>
      </c>
      <c r="C163" s="1" t="n">
        <v>18</v>
      </c>
      <c r="D163" s="1" t="s">
        <v>206</v>
      </c>
      <c r="E163" s="1" t="s">
        <v>200</v>
      </c>
      <c r="F163" s="1" t="n">
        <v>3350</v>
      </c>
      <c r="G163" s="4" t="n">
        <v>1</v>
      </c>
      <c r="H163" s="1" t="s">
        <v>325</v>
      </c>
    </row>
    <row r="164" customFormat="false" ht="12.8" hidden="false" customHeight="false" outlineLevel="0" collapsed="false">
      <c r="A164" s="1" t="s">
        <v>6</v>
      </c>
      <c r="B164" s="1" t="n">
        <v>40</v>
      </c>
      <c r="C164" s="1" t="n">
        <v>19</v>
      </c>
      <c r="D164" s="1" t="s">
        <v>200</v>
      </c>
      <c r="E164" s="1" t="s">
        <v>207</v>
      </c>
      <c r="F164" s="1" t="n">
        <v>3350</v>
      </c>
      <c r="G164" s="4" t="n">
        <v>1</v>
      </c>
      <c r="H164" s="1" t="s">
        <v>326</v>
      </c>
    </row>
    <row r="165" customFormat="false" ht="12.8" hidden="false" customHeight="false" outlineLevel="0" collapsed="false">
      <c r="A165" s="1" t="s">
        <v>6</v>
      </c>
      <c r="B165" s="1" t="n">
        <v>40</v>
      </c>
      <c r="C165" s="1" t="n">
        <v>20</v>
      </c>
      <c r="D165" s="1" t="s">
        <v>207</v>
      </c>
      <c r="E165" s="1" t="s">
        <v>206</v>
      </c>
      <c r="F165" s="1" t="n">
        <v>3350</v>
      </c>
      <c r="G165" s="4" t="n">
        <v>1</v>
      </c>
      <c r="H165" s="1" t="s">
        <v>327</v>
      </c>
    </row>
    <row r="166" customFormat="false" ht="12.8" hidden="false" customHeight="false" outlineLevel="0" collapsed="false">
      <c r="A166" s="1" t="s">
        <v>6</v>
      </c>
      <c r="B166" s="1" t="n">
        <v>40</v>
      </c>
      <c r="C166" s="1" t="n">
        <v>21</v>
      </c>
      <c r="D166" s="1" t="s">
        <v>206</v>
      </c>
      <c r="E166" s="1" t="s">
        <v>208</v>
      </c>
      <c r="F166" s="1" t="n">
        <v>3350</v>
      </c>
      <c r="G166" s="4" t="n">
        <v>1</v>
      </c>
      <c r="H166" s="1" t="s">
        <v>328</v>
      </c>
    </row>
    <row r="167" customFormat="false" ht="12.8" hidden="false" customHeight="false" outlineLevel="0" collapsed="false">
      <c r="A167" s="1" t="s">
        <v>6</v>
      </c>
      <c r="B167" s="1" t="n">
        <v>40</v>
      </c>
      <c r="C167" s="1" t="n">
        <v>22</v>
      </c>
      <c r="D167" s="1" t="s">
        <v>208</v>
      </c>
      <c r="E167" s="1" t="s">
        <v>198</v>
      </c>
      <c r="F167" s="1" t="n">
        <v>3350</v>
      </c>
      <c r="G167" s="4" t="n">
        <v>1</v>
      </c>
      <c r="H167" s="1" t="s">
        <v>331</v>
      </c>
    </row>
    <row r="168" customFormat="false" ht="12.8" hidden="false" customHeight="false" outlineLevel="0" collapsed="false">
      <c r="A168" s="1" t="s">
        <v>6</v>
      </c>
      <c r="B168" s="1" t="n">
        <v>40</v>
      </c>
      <c r="C168" s="1" t="n">
        <v>23</v>
      </c>
      <c r="D168" s="1" t="s">
        <v>198</v>
      </c>
      <c r="E168" s="1" t="s">
        <v>207</v>
      </c>
      <c r="F168" s="1" t="n">
        <v>3350</v>
      </c>
      <c r="G168" s="4" t="n">
        <v>1</v>
      </c>
      <c r="H168" s="1" t="s">
        <v>322</v>
      </c>
    </row>
    <row r="169" customFormat="false" ht="12.8" hidden="false" customHeight="false" outlineLevel="0" collapsed="false">
      <c r="A169" s="1" t="s">
        <v>6</v>
      </c>
      <c r="B169" s="1" t="n">
        <v>40</v>
      </c>
      <c r="C169" s="1" t="n">
        <v>24</v>
      </c>
      <c r="D169" s="1" t="s">
        <v>207</v>
      </c>
      <c r="E169" s="1" t="s">
        <v>206</v>
      </c>
      <c r="F169" s="1" t="n">
        <v>3350</v>
      </c>
      <c r="G169" s="4" t="n">
        <v>1</v>
      </c>
      <c r="H169" s="1" t="s">
        <v>327</v>
      </c>
    </row>
    <row r="170" customFormat="false" ht="12.8" hidden="false" customHeight="false" outlineLevel="0" collapsed="false">
      <c r="A170" s="1" t="s">
        <v>6</v>
      </c>
      <c r="B170" s="1" t="n">
        <v>40</v>
      </c>
      <c r="C170" s="1" t="n">
        <v>25</v>
      </c>
      <c r="D170" s="1" t="s">
        <v>206</v>
      </c>
      <c r="E170" s="1" t="s">
        <v>208</v>
      </c>
      <c r="F170" s="1" t="n">
        <v>3350</v>
      </c>
      <c r="G170" s="4" t="n">
        <v>1</v>
      </c>
      <c r="H170" s="1" t="s">
        <v>328</v>
      </c>
    </row>
    <row r="171" customFormat="false" ht="12.8" hidden="false" customHeight="false" outlineLevel="0" collapsed="false">
      <c r="A171" s="1" t="s">
        <v>6</v>
      </c>
      <c r="B171" s="1" t="n">
        <v>40</v>
      </c>
      <c r="C171" s="1" t="n">
        <v>26</v>
      </c>
      <c r="D171" s="1" t="s">
        <v>208</v>
      </c>
      <c r="E171" s="1" t="s">
        <v>198</v>
      </c>
      <c r="F171" s="1" t="n">
        <v>3350</v>
      </c>
      <c r="G171" s="4" t="n">
        <v>1</v>
      </c>
      <c r="H171" s="1" t="s">
        <v>331</v>
      </c>
    </row>
    <row r="172" customFormat="false" ht="12.8" hidden="false" customHeight="false" outlineLevel="0" collapsed="false">
      <c r="A172" s="1" t="s">
        <v>6</v>
      </c>
      <c r="B172" s="1" t="n">
        <v>40</v>
      </c>
      <c r="C172" s="1" t="n">
        <v>27</v>
      </c>
      <c r="D172" s="1" t="s">
        <v>198</v>
      </c>
      <c r="E172" s="1" t="s">
        <v>207</v>
      </c>
      <c r="F172" s="1" t="n">
        <v>3350</v>
      </c>
      <c r="G172" s="4" t="n">
        <v>1</v>
      </c>
      <c r="H172" s="1" t="s">
        <v>322</v>
      </c>
    </row>
    <row r="173" customFormat="false" ht="12.8" hidden="false" customHeight="false" outlineLevel="0" collapsed="false">
      <c r="A173" s="1" t="s">
        <v>6</v>
      </c>
      <c r="B173" s="1" t="n">
        <v>40</v>
      </c>
      <c r="C173" s="1" t="n">
        <v>28</v>
      </c>
      <c r="D173" s="1" t="s">
        <v>207</v>
      </c>
      <c r="E173" s="1" t="s">
        <v>206</v>
      </c>
      <c r="F173" s="1" t="n">
        <v>3350</v>
      </c>
      <c r="G173" s="4" t="n">
        <v>1</v>
      </c>
      <c r="H173" s="1" t="s">
        <v>327</v>
      </c>
    </row>
    <row r="174" customFormat="false" ht="12.8" hidden="false" customHeight="false" outlineLevel="0" collapsed="false">
      <c r="A174" s="1" t="s">
        <v>6</v>
      </c>
      <c r="B174" s="1" t="n">
        <v>40</v>
      </c>
      <c r="C174" s="1" t="n">
        <v>29</v>
      </c>
      <c r="D174" s="1" t="s">
        <v>206</v>
      </c>
      <c r="E174" s="1" t="s">
        <v>210</v>
      </c>
      <c r="F174" s="1" t="n">
        <v>3350</v>
      </c>
      <c r="G174" s="4" t="n">
        <v>1</v>
      </c>
      <c r="H174" s="1" t="s">
        <v>332</v>
      </c>
    </row>
    <row r="175" customFormat="false" ht="12.8" hidden="false" customHeight="false" outlineLevel="0" collapsed="false">
      <c r="A175" s="1" t="s">
        <v>6</v>
      </c>
      <c r="B175" s="1" t="n">
        <v>57</v>
      </c>
      <c r="C175" s="1" t="n">
        <v>1</v>
      </c>
      <c r="D175" s="1" t="s">
        <v>210</v>
      </c>
      <c r="E175" s="1" t="s">
        <v>204</v>
      </c>
      <c r="F175" s="1" t="n">
        <v>5360</v>
      </c>
      <c r="G175" s="4" t="n">
        <v>0</v>
      </c>
      <c r="H175" s="1" t="s">
        <v>333</v>
      </c>
    </row>
    <row r="176" customFormat="false" ht="12.8" hidden="false" customHeight="false" outlineLevel="0" collapsed="false">
      <c r="A176" s="1" t="s">
        <v>6</v>
      </c>
      <c r="B176" s="1" t="n">
        <v>57</v>
      </c>
      <c r="C176" s="1" t="n">
        <v>2</v>
      </c>
      <c r="D176" s="1" t="s">
        <v>204</v>
      </c>
      <c r="E176" s="1" t="s">
        <v>207</v>
      </c>
      <c r="F176" s="1" t="n">
        <v>5360</v>
      </c>
      <c r="G176" s="4" t="n">
        <v>0</v>
      </c>
      <c r="H176" s="1" t="s">
        <v>334</v>
      </c>
    </row>
    <row r="177" customFormat="false" ht="12.8" hidden="false" customHeight="false" outlineLevel="0" collapsed="false">
      <c r="A177" s="1" t="s">
        <v>6</v>
      </c>
      <c r="B177" s="1" t="n">
        <v>57</v>
      </c>
      <c r="C177" s="1" t="n">
        <v>3</v>
      </c>
      <c r="D177" s="1" t="s">
        <v>207</v>
      </c>
      <c r="E177" s="1" t="s">
        <v>198</v>
      </c>
      <c r="F177" s="1" t="n">
        <v>5360</v>
      </c>
      <c r="G177" s="4" t="n">
        <v>0</v>
      </c>
      <c r="H177" s="1" t="s">
        <v>335</v>
      </c>
    </row>
    <row r="178" customFormat="false" ht="12.8" hidden="false" customHeight="false" outlineLevel="0" collapsed="false">
      <c r="A178" s="1" t="s">
        <v>6</v>
      </c>
      <c r="B178" s="1" t="n">
        <v>57</v>
      </c>
      <c r="C178" s="1" t="n">
        <v>4</v>
      </c>
      <c r="D178" s="1" t="s">
        <v>198</v>
      </c>
      <c r="E178" s="1" t="s">
        <v>208</v>
      </c>
      <c r="F178" s="1" t="n">
        <v>5360</v>
      </c>
      <c r="G178" s="4" t="n">
        <v>0</v>
      </c>
      <c r="H178" s="1" t="s">
        <v>336</v>
      </c>
    </row>
    <row r="179" customFormat="false" ht="12.8" hidden="false" customHeight="false" outlineLevel="0" collapsed="false">
      <c r="A179" s="1" t="s">
        <v>6</v>
      </c>
      <c r="B179" s="1" t="n">
        <v>57</v>
      </c>
      <c r="C179" s="1" t="n">
        <v>5</v>
      </c>
      <c r="D179" s="1" t="s">
        <v>208</v>
      </c>
      <c r="E179" s="1" t="s">
        <v>204</v>
      </c>
      <c r="F179" s="1" t="n">
        <v>5360</v>
      </c>
      <c r="G179" s="4" t="n">
        <v>0</v>
      </c>
      <c r="H179" s="1" t="s">
        <v>337</v>
      </c>
    </row>
    <row r="180" customFormat="false" ht="12.8" hidden="false" customHeight="false" outlineLevel="0" collapsed="false">
      <c r="A180" s="1" t="s">
        <v>6</v>
      </c>
      <c r="B180" s="1" t="n">
        <v>57</v>
      </c>
      <c r="C180" s="1" t="n">
        <v>6</v>
      </c>
      <c r="D180" s="1" t="s">
        <v>204</v>
      </c>
      <c r="E180" s="1" t="s">
        <v>207</v>
      </c>
      <c r="F180" s="1" t="n">
        <v>5360</v>
      </c>
      <c r="G180" s="4" t="n">
        <v>0</v>
      </c>
      <c r="H180" s="1" t="s">
        <v>334</v>
      </c>
    </row>
    <row r="181" customFormat="false" ht="12.8" hidden="false" customHeight="false" outlineLevel="0" collapsed="false">
      <c r="A181" s="1" t="s">
        <v>6</v>
      </c>
      <c r="B181" s="1" t="n">
        <v>57</v>
      </c>
      <c r="C181" s="1" t="n">
        <v>7</v>
      </c>
      <c r="D181" s="1" t="s">
        <v>207</v>
      </c>
      <c r="E181" s="1" t="s">
        <v>198</v>
      </c>
      <c r="F181" s="1" t="n">
        <v>5360</v>
      </c>
      <c r="G181" s="4" t="n">
        <v>0</v>
      </c>
      <c r="H181" s="1" t="s">
        <v>335</v>
      </c>
    </row>
    <row r="182" customFormat="false" ht="12.8" hidden="false" customHeight="false" outlineLevel="0" collapsed="false">
      <c r="A182" s="1" t="s">
        <v>6</v>
      </c>
      <c r="B182" s="1" t="n">
        <v>57</v>
      </c>
      <c r="C182" s="1" t="n">
        <v>8</v>
      </c>
      <c r="D182" s="1" t="s">
        <v>198</v>
      </c>
      <c r="E182" s="1" t="s">
        <v>208</v>
      </c>
      <c r="F182" s="1" t="n">
        <v>5360</v>
      </c>
      <c r="G182" s="4" t="n">
        <v>0</v>
      </c>
      <c r="H182" s="1" t="s">
        <v>336</v>
      </c>
    </row>
    <row r="183" customFormat="false" ht="12.8" hidden="false" customHeight="false" outlineLevel="0" collapsed="false">
      <c r="A183" s="1" t="s">
        <v>6</v>
      </c>
      <c r="B183" s="1" t="n">
        <v>57</v>
      </c>
      <c r="C183" s="1" t="n">
        <v>9</v>
      </c>
      <c r="D183" s="1" t="s">
        <v>208</v>
      </c>
      <c r="E183" s="1" t="s">
        <v>204</v>
      </c>
      <c r="F183" s="1" t="n">
        <v>5360</v>
      </c>
      <c r="G183" s="4" t="n">
        <v>0</v>
      </c>
      <c r="H183" s="1" t="s">
        <v>337</v>
      </c>
    </row>
    <row r="184" customFormat="false" ht="12.8" hidden="false" customHeight="false" outlineLevel="0" collapsed="false">
      <c r="A184" s="1" t="s">
        <v>6</v>
      </c>
      <c r="B184" s="1" t="n">
        <v>57</v>
      </c>
      <c r="C184" s="1" t="n">
        <v>10</v>
      </c>
      <c r="D184" s="1" t="s">
        <v>204</v>
      </c>
      <c r="E184" s="1" t="s">
        <v>207</v>
      </c>
      <c r="F184" s="1" t="n">
        <v>5360</v>
      </c>
      <c r="G184" s="4" t="n">
        <v>0</v>
      </c>
      <c r="H184" s="1" t="s">
        <v>334</v>
      </c>
    </row>
    <row r="185" customFormat="false" ht="12.8" hidden="false" customHeight="false" outlineLevel="0" collapsed="false">
      <c r="A185" s="1" t="s">
        <v>6</v>
      </c>
      <c r="B185" s="1" t="n">
        <v>57</v>
      </c>
      <c r="C185" s="1" t="n">
        <v>11</v>
      </c>
      <c r="D185" s="1" t="s">
        <v>207</v>
      </c>
      <c r="E185" s="1" t="s">
        <v>200</v>
      </c>
      <c r="F185" s="1" t="n">
        <v>5360</v>
      </c>
      <c r="G185" s="4" t="n">
        <v>0</v>
      </c>
      <c r="H185" s="1" t="s">
        <v>338</v>
      </c>
    </row>
    <row r="186" customFormat="false" ht="12.8" hidden="false" customHeight="false" outlineLevel="0" collapsed="false">
      <c r="A186" s="1" t="s">
        <v>6</v>
      </c>
      <c r="B186" s="1" t="n">
        <v>57</v>
      </c>
      <c r="C186" s="1" t="n">
        <v>12</v>
      </c>
      <c r="D186" s="1" t="s">
        <v>200</v>
      </c>
      <c r="E186" s="1" t="s">
        <v>204</v>
      </c>
      <c r="F186" s="1" t="n">
        <v>5360</v>
      </c>
      <c r="G186" s="4" t="n">
        <v>0</v>
      </c>
      <c r="H186" s="1" t="s">
        <v>339</v>
      </c>
    </row>
    <row r="187" customFormat="false" ht="12.8" hidden="false" customHeight="false" outlineLevel="0" collapsed="false">
      <c r="A187" s="1" t="s">
        <v>6</v>
      </c>
      <c r="B187" s="1" t="n">
        <v>57</v>
      </c>
      <c r="C187" s="1" t="n">
        <v>13</v>
      </c>
      <c r="D187" s="1" t="s">
        <v>204</v>
      </c>
      <c r="E187" s="1" t="s">
        <v>208</v>
      </c>
      <c r="F187" s="1" t="n">
        <v>5360</v>
      </c>
      <c r="G187" s="4" t="n">
        <v>0</v>
      </c>
      <c r="H187" s="1" t="s">
        <v>340</v>
      </c>
    </row>
    <row r="188" customFormat="false" ht="12.8" hidden="false" customHeight="false" outlineLevel="0" collapsed="false">
      <c r="A188" s="1" t="s">
        <v>6</v>
      </c>
      <c r="B188" s="1" t="n">
        <v>57</v>
      </c>
      <c r="C188" s="1" t="n">
        <v>14</v>
      </c>
      <c r="D188" s="1" t="s">
        <v>208</v>
      </c>
      <c r="E188" s="1" t="s">
        <v>207</v>
      </c>
      <c r="F188" s="1" t="n">
        <v>5360</v>
      </c>
      <c r="G188" s="4" t="n">
        <v>0</v>
      </c>
      <c r="H188" s="1" t="s">
        <v>341</v>
      </c>
    </row>
    <row r="189" customFormat="false" ht="12.8" hidden="false" customHeight="false" outlineLevel="0" collapsed="false">
      <c r="A189" s="1" t="s">
        <v>6</v>
      </c>
      <c r="B189" s="1" t="n">
        <v>57</v>
      </c>
      <c r="C189" s="1" t="n">
        <v>15</v>
      </c>
      <c r="D189" s="1" t="s">
        <v>207</v>
      </c>
      <c r="E189" s="1" t="s">
        <v>196</v>
      </c>
      <c r="F189" s="1" t="n">
        <v>5360</v>
      </c>
      <c r="G189" s="4" t="n">
        <v>0</v>
      </c>
      <c r="H189" s="1" t="s">
        <v>342</v>
      </c>
    </row>
    <row r="190" customFormat="false" ht="12.8" hidden="false" customHeight="false" outlineLevel="0" collapsed="false">
      <c r="A190" s="1" t="s">
        <v>6</v>
      </c>
      <c r="B190" s="1" t="n">
        <v>57</v>
      </c>
      <c r="C190" s="1" t="n">
        <v>16</v>
      </c>
      <c r="D190" s="1" t="s">
        <v>196</v>
      </c>
      <c r="E190" s="1" t="s">
        <v>208</v>
      </c>
      <c r="F190" s="1" t="n">
        <v>5360</v>
      </c>
      <c r="G190" s="4" t="n">
        <v>0</v>
      </c>
      <c r="H190" s="1" t="s">
        <v>343</v>
      </c>
    </row>
    <row r="191" customFormat="false" ht="12.8" hidden="false" customHeight="false" outlineLevel="0" collapsed="false">
      <c r="A191" s="1" t="s">
        <v>6</v>
      </c>
      <c r="B191" s="1" t="n">
        <v>57</v>
      </c>
      <c r="C191" s="1" t="n">
        <v>17</v>
      </c>
      <c r="D191" s="1" t="s">
        <v>208</v>
      </c>
      <c r="E191" s="1" t="s">
        <v>204</v>
      </c>
      <c r="F191" s="1" t="n">
        <v>5360</v>
      </c>
      <c r="G191" s="4" t="n">
        <v>0</v>
      </c>
      <c r="H191" s="1" t="s">
        <v>337</v>
      </c>
    </row>
    <row r="192" customFormat="false" ht="12.8" hidden="false" customHeight="false" outlineLevel="0" collapsed="false">
      <c r="A192" s="1" t="s">
        <v>6</v>
      </c>
      <c r="B192" s="1" t="n">
        <v>57</v>
      </c>
      <c r="C192" s="1" t="n">
        <v>18</v>
      </c>
      <c r="D192" s="1" t="s">
        <v>204</v>
      </c>
      <c r="E192" s="1" t="s">
        <v>207</v>
      </c>
      <c r="F192" s="1" t="n">
        <v>5360</v>
      </c>
      <c r="G192" s="4" t="n">
        <v>0</v>
      </c>
      <c r="H192" s="1" t="s">
        <v>334</v>
      </c>
    </row>
    <row r="193" customFormat="false" ht="12.8" hidden="false" customHeight="false" outlineLevel="0" collapsed="false">
      <c r="A193" s="1" t="s">
        <v>6</v>
      </c>
      <c r="B193" s="1" t="n">
        <v>57</v>
      </c>
      <c r="C193" s="1" t="n">
        <v>19</v>
      </c>
      <c r="D193" s="1" t="s">
        <v>207</v>
      </c>
      <c r="E193" s="1" t="s">
        <v>200</v>
      </c>
      <c r="F193" s="1" t="n">
        <v>5360</v>
      </c>
      <c r="G193" s="4" t="n">
        <v>0</v>
      </c>
      <c r="H193" s="1" t="s">
        <v>338</v>
      </c>
    </row>
    <row r="194" customFormat="false" ht="12.8" hidden="false" customHeight="false" outlineLevel="0" collapsed="false">
      <c r="A194" s="1" t="s">
        <v>6</v>
      </c>
      <c r="B194" s="1" t="n">
        <v>57</v>
      </c>
      <c r="C194" s="1" t="n">
        <v>20</v>
      </c>
      <c r="D194" s="1" t="s">
        <v>200</v>
      </c>
      <c r="E194" s="1" t="s">
        <v>204</v>
      </c>
      <c r="F194" s="1" t="n">
        <v>5360</v>
      </c>
      <c r="G194" s="4" t="n">
        <v>0</v>
      </c>
      <c r="H194" s="1" t="s">
        <v>339</v>
      </c>
    </row>
    <row r="195" customFormat="false" ht="12.8" hidden="false" customHeight="false" outlineLevel="0" collapsed="false">
      <c r="A195" s="1" t="s">
        <v>6</v>
      </c>
      <c r="B195" s="1" t="n">
        <v>57</v>
      </c>
      <c r="C195" s="1" t="n">
        <v>21</v>
      </c>
      <c r="D195" s="1" t="s">
        <v>204</v>
      </c>
      <c r="E195" s="1" t="s">
        <v>208</v>
      </c>
      <c r="F195" s="1" t="n">
        <v>5360</v>
      </c>
      <c r="G195" s="4" t="n">
        <v>0</v>
      </c>
      <c r="H195" s="1" t="s">
        <v>340</v>
      </c>
    </row>
    <row r="196" customFormat="false" ht="12.8" hidden="false" customHeight="false" outlineLevel="0" collapsed="false">
      <c r="A196" s="1" t="s">
        <v>6</v>
      </c>
      <c r="B196" s="1" t="n">
        <v>57</v>
      </c>
      <c r="C196" s="1" t="n">
        <v>22</v>
      </c>
      <c r="D196" s="1" t="s">
        <v>208</v>
      </c>
      <c r="E196" s="1" t="s">
        <v>207</v>
      </c>
      <c r="F196" s="1" t="n">
        <v>5360</v>
      </c>
      <c r="G196" s="4" t="n">
        <v>1</v>
      </c>
      <c r="H196" s="1" t="s">
        <v>344</v>
      </c>
    </row>
    <row r="197" customFormat="false" ht="12.8" hidden="false" customHeight="false" outlineLevel="0" collapsed="false">
      <c r="A197" s="1" t="s">
        <v>6</v>
      </c>
      <c r="B197" s="1" t="n">
        <v>57</v>
      </c>
      <c r="C197" s="1" t="n">
        <v>23</v>
      </c>
      <c r="D197" s="1" t="s">
        <v>207</v>
      </c>
      <c r="E197" s="1" t="s">
        <v>198</v>
      </c>
      <c r="F197" s="1" t="n">
        <v>5360</v>
      </c>
      <c r="G197" s="4" t="n">
        <v>0</v>
      </c>
      <c r="H197" s="1" t="s">
        <v>335</v>
      </c>
    </row>
    <row r="198" customFormat="false" ht="12.8" hidden="false" customHeight="false" outlineLevel="0" collapsed="false">
      <c r="A198" s="1" t="s">
        <v>6</v>
      </c>
      <c r="B198" s="1" t="n">
        <v>57</v>
      </c>
      <c r="C198" s="1" t="n">
        <v>24</v>
      </c>
      <c r="D198" s="1" t="s">
        <v>198</v>
      </c>
      <c r="E198" s="1" t="s">
        <v>204</v>
      </c>
      <c r="F198" s="1" t="n">
        <v>5360</v>
      </c>
      <c r="G198" s="4" t="n">
        <v>0</v>
      </c>
      <c r="H198" s="1" t="s">
        <v>345</v>
      </c>
    </row>
    <row r="199" customFormat="false" ht="12.8" hidden="false" customHeight="false" outlineLevel="0" collapsed="false">
      <c r="A199" s="1" t="s">
        <v>6</v>
      </c>
      <c r="B199" s="1" t="n">
        <v>57</v>
      </c>
      <c r="C199" s="1" t="n">
        <v>25</v>
      </c>
      <c r="D199" s="1" t="s">
        <v>204</v>
      </c>
      <c r="E199" s="1" t="s">
        <v>208</v>
      </c>
      <c r="F199" s="1" t="n">
        <v>5360</v>
      </c>
      <c r="G199" s="4" t="n">
        <v>0</v>
      </c>
      <c r="H199" s="1" t="s">
        <v>340</v>
      </c>
    </row>
    <row r="200" customFormat="false" ht="12.8" hidden="false" customHeight="false" outlineLevel="0" collapsed="false">
      <c r="A200" s="1" t="s">
        <v>6</v>
      </c>
      <c r="B200" s="1" t="n">
        <v>57</v>
      </c>
      <c r="C200" s="1" t="n">
        <v>26</v>
      </c>
      <c r="D200" s="1" t="s">
        <v>208</v>
      </c>
      <c r="E200" s="1" t="s">
        <v>207</v>
      </c>
      <c r="F200" s="1" t="n">
        <v>5360</v>
      </c>
      <c r="G200" s="4" t="n">
        <v>1</v>
      </c>
      <c r="H200" s="1" t="s">
        <v>344</v>
      </c>
    </row>
    <row r="201" customFormat="false" ht="12.8" hidden="false" customHeight="false" outlineLevel="0" collapsed="false">
      <c r="A201" s="1" t="s">
        <v>6</v>
      </c>
      <c r="B201" s="1" t="n">
        <v>57</v>
      </c>
      <c r="C201" s="1" t="n">
        <v>27</v>
      </c>
      <c r="D201" s="1" t="s">
        <v>207</v>
      </c>
      <c r="E201" s="1" t="s">
        <v>198</v>
      </c>
      <c r="F201" s="1" t="n">
        <v>5360</v>
      </c>
      <c r="G201" s="4" t="n">
        <v>0</v>
      </c>
      <c r="H201" s="1" t="s">
        <v>335</v>
      </c>
    </row>
    <row r="202" customFormat="false" ht="12.8" hidden="false" customHeight="false" outlineLevel="0" collapsed="false">
      <c r="A202" s="1" t="s">
        <v>6</v>
      </c>
      <c r="B202" s="1" t="n">
        <v>57</v>
      </c>
      <c r="C202" s="1" t="n">
        <v>28</v>
      </c>
      <c r="D202" s="1" t="s">
        <v>198</v>
      </c>
      <c r="E202" s="1" t="s">
        <v>204</v>
      </c>
      <c r="F202" s="1" t="n">
        <v>5360</v>
      </c>
      <c r="G202" s="4" t="n">
        <v>0</v>
      </c>
      <c r="H202" s="1" t="s">
        <v>345</v>
      </c>
    </row>
    <row r="203" customFormat="false" ht="12.8" hidden="false" customHeight="false" outlineLevel="0" collapsed="false">
      <c r="A203" s="1" t="s">
        <v>6</v>
      </c>
      <c r="B203" s="1" t="n">
        <v>57</v>
      </c>
      <c r="C203" s="1" t="n">
        <v>29</v>
      </c>
      <c r="D203" s="1" t="s">
        <v>204</v>
      </c>
      <c r="E203" s="1" t="s">
        <v>210</v>
      </c>
      <c r="F203" s="1" t="n">
        <v>5360</v>
      </c>
      <c r="G203" s="4" t="n">
        <v>0</v>
      </c>
      <c r="H203" s="1" t="s">
        <v>346</v>
      </c>
    </row>
    <row r="204" customFormat="false" ht="12.8" hidden="false" customHeight="false" outlineLevel="0" collapsed="false">
      <c r="A204" s="1" t="s">
        <v>7</v>
      </c>
      <c r="B204" s="1" t="n">
        <v>2</v>
      </c>
      <c r="C204" s="1" t="n">
        <v>1</v>
      </c>
      <c r="D204" s="1" t="s">
        <v>210</v>
      </c>
      <c r="E204" s="1" t="s">
        <v>206</v>
      </c>
      <c r="F204" s="1" t="n">
        <v>3930</v>
      </c>
      <c r="G204" s="4" t="n">
        <v>0</v>
      </c>
      <c r="H204" s="1" t="s">
        <v>347</v>
      </c>
    </row>
    <row r="205" customFormat="false" ht="12.8" hidden="false" customHeight="false" outlineLevel="0" collapsed="false">
      <c r="A205" s="1" t="s">
        <v>7</v>
      </c>
      <c r="B205" s="1" t="n">
        <v>2</v>
      </c>
      <c r="C205" s="1" t="n">
        <v>2</v>
      </c>
      <c r="D205" s="1" t="s">
        <v>206</v>
      </c>
      <c r="E205" s="1" t="s">
        <v>198</v>
      </c>
      <c r="F205" s="1" t="n">
        <v>3930</v>
      </c>
      <c r="G205" s="4" t="n">
        <v>0</v>
      </c>
      <c r="H205" s="1" t="s">
        <v>348</v>
      </c>
    </row>
    <row r="206" customFormat="false" ht="12.8" hidden="false" customHeight="false" outlineLevel="0" collapsed="false">
      <c r="A206" s="1" t="s">
        <v>7</v>
      </c>
      <c r="B206" s="1" t="n">
        <v>2</v>
      </c>
      <c r="C206" s="1" t="n">
        <v>3</v>
      </c>
      <c r="D206" s="1" t="s">
        <v>198</v>
      </c>
      <c r="E206" s="1" t="s">
        <v>207</v>
      </c>
      <c r="F206" s="1" t="n">
        <v>3930</v>
      </c>
      <c r="G206" s="4" t="n">
        <v>0</v>
      </c>
      <c r="H206" s="1" t="s">
        <v>349</v>
      </c>
    </row>
    <row r="207" customFormat="false" ht="12.8" hidden="false" customHeight="false" outlineLevel="0" collapsed="false">
      <c r="A207" s="1" t="s">
        <v>7</v>
      </c>
      <c r="B207" s="1" t="n">
        <v>2</v>
      </c>
      <c r="C207" s="1" t="n">
        <v>4</v>
      </c>
      <c r="D207" s="1" t="s">
        <v>207</v>
      </c>
      <c r="E207" s="1" t="s">
        <v>208</v>
      </c>
      <c r="F207" s="1" t="n">
        <v>3930</v>
      </c>
      <c r="G207" s="4" t="n">
        <v>0</v>
      </c>
      <c r="H207" s="1" t="s">
        <v>350</v>
      </c>
    </row>
    <row r="208" customFormat="false" ht="12.8" hidden="false" customHeight="false" outlineLevel="0" collapsed="false">
      <c r="A208" s="1" t="s">
        <v>7</v>
      </c>
      <c r="B208" s="1" t="n">
        <v>2</v>
      </c>
      <c r="C208" s="1" t="n">
        <v>5</v>
      </c>
      <c r="D208" s="1" t="s">
        <v>208</v>
      </c>
      <c r="E208" s="1" t="s">
        <v>206</v>
      </c>
      <c r="F208" s="1" t="n">
        <v>3930</v>
      </c>
      <c r="G208" s="4" t="n">
        <v>0</v>
      </c>
      <c r="H208" s="1" t="s">
        <v>351</v>
      </c>
    </row>
    <row r="209" customFormat="false" ht="12.8" hidden="false" customHeight="false" outlineLevel="0" collapsed="false">
      <c r="A209" s="1" t="s">
        <v>7</v>
      </c>
      <c r="B209" s="1" t="n">
        <v>2</v>
      </c>
      <c r="C209" s="1" t="n">
        <v>6</v>
      </c>
      <c r="D209" s="1" t="s">
        <v>206</v>
      </c>
      <c r="E209" s="1" t="s">
        <v>198</v>
      </c>
      <c r="F209" s="1" t="n">
        <v>3930</v>
      </c>
      <c r="G209" s="4" t="n">
        <v>0</v>
      </c>
      <c r="H209" s="1" t="s">
        <v>348</v>
      </c>
    </row>
    <row r="210" customFormat="false" ht="12.8" hidden="false" customHeight="false" outlineLevel="0" collapsed="false">
      <c r="A210" s="1" t="s">
        <v>7</v>
      </c>
      <c r="B210" s="1" t="n">
        <v>2</v>
      </c>
      <c r="C210" s="1" t="n">
        <v>7</v>
      </c>
      <c r="D210" s="1" t="s">
        <v>198</v>
      </c>
      <c r="E210" s="1" t="s">
        <v>207</v>
      </c>
      <c r="F210" s="1" t="n">
        <v>3930</v>
      </c>
      <c r="G210" s="4" t="n">
        <v>0</v>
      </c>
      <c r="H210" s="1" t="s">
        <v>349</v>
      </c>
    </row>
    <row r="211" customFormat="false" ht="12.8" hidden="false" customHeight="false" outlineLevel="0" collapsed="false">
      <c r="A211" s="1" t="s">
        <v>7</v>
      </c>
      <c r="B211" s="1" t="n">
        <v>2</v>
      </c>
      <c r="C211" s="1" t="n">
        <v>8</v>
      </c>
      <c r="D211" s="1" t="s">
        <v>207</v>
      </c>
      <c r="E211" s="1" t="s">
        <v>208</v>
      </c>
      <c r="F211" s="1" t="n">
        <v>3930</v>
      </c>
      <c r="G211" s="4" t="n">
        <v>0</v>
      </c>
      <c r="H211" s="1" t="s">
        <v>350</v>
      </c>
    </row>
    <row r="212" customFormat="false" ht="12.8" hidden="false" customHeight="false" outlineLevel="0" collapsed="false">
      <c r="A212" s="1" t="s">
        <v>7</v>
      </c>
      <c r="B212" s="1" t="n">
        <v>2</v>
      </c>
      <c r="C212" s="1" t="n">
        <v>9</v>
      </c>
      <c r="D212" s="1" t="s">
        <v>208</v>
      </c>
      <c r="E212" s="1" t="s">
        <v>206</v>
      </c>
      <c r="F212" s="1" t="n">
        <v>3930</v>
      </c>
      <c r="G212" s="4" t="n">
        <v>0</v>
      </c>
      <c r="H212" s="1" t="s">
        <v>351</v>
      </c>
    </row>
    <row r="213" customFormat="false" ht="12.8" hidden="false" customHeight="false" outlineLevel="0" collapsed="false">
      <c r="A213" s="1" t="s">
        <v>7</v>
      </c>
      <c r="B213" s="1" t="n">
        <v>2</v>
      </c>
      <c r="C213" s="1" t="n">
        <v>10</v>
      </c>
      <c r="D213" s="1" t="s">
        <v>206</v>
      </c>
      <c r="E213" s="1" t="s">
        <v>198</v>
      </c>
      <c r="F213" s="1" t="n">
        <v>3930</v>
      </c>
      <c r="G213" s="4" t="n">
        <v>0</v>
      </c>
      <c r="H213" s="1" t="s">
        <v>348</v>
      </c>
    </row>
    <row r="214" customFormat="false" ht="12.8" hidden="false" customHeight="false" outlineLevel="0" collapsed="false">
      <c r="A214" s="1" t="s">
        <v>7</v>
      </c>
      <c r="B214" s="1" t="n">
        <v>2</v>
      </c>
      <c r="C214" s="1" t="n">
        <v>11</v>
      </c>
      <c r="D214" s="1" t="s">
        <v>198</v>
      </c>
      <c r="E214" s="1" t="s">
        <v>207</v>
      </c>
      <c r="F214" s="1" t="n">
        <v>3930</v>
      </c>
      <c r="G214" s="4" t="n">
        <v>0</v>
      </c>
      <c r="H214" s="1" t="s">
        <v>349</v>
      </c>
    </row>
    <row r="215" customFormat="false" ht="12.8" hidden="false" customHeight="false" outlineLevel="0" collapsed="false">
      <c r="A215" s="1" t="s">
        <v>7</v>
      </c>
      <c r="B215" s="1" t="n">
        <v>2</v>
      </c>
      <c r="C215" s="1" t="n">
        <v>12</v>
      </c>
      <c r="D215" s="1" t="s">
        <v>207</v>
      </c>
      <c r="E215" s="1" t="s">
        <v>208</v>
      </c>
      <c r="F215" s="1" t="n">
        <v>3930</v>
      </c>
      <c r="G215" s="4" t="n">
        <v>0</v>
      </c>
      <c r="H215" s="1" t="s">
        <v>350</v>
      </c>
    </row>
    <row r="216" customFormat="false" ht="12.8" hidden="false" customHeight="false" outlineLevel="0" collapsed="false">
      <c r="A216" s="1" t="s">
        <v>7</v>
      </c>
      <c r="B216" s="1" t="n">
        <v>2</v>
      </c>
      <c r="C216" s="1" t="n">
        <v>13</v>
      </c>
      <c r="D216" s="1" t="s">
        <v>208</v>
      </c>
      <c r="E216" s="1" t="s">
        <v>206</v>
      </c>
      <c r="F216" s="1" t="n">
        <v>3930</v>
      </c>
      <c r="G216" s="4" t="n">
        <v>0</v>
      </c>
      <c r="H216" s="1" t="s">
        <v>351</v>
      </c>
    </row>
    <row r="217" customFormat="false" ht="12.8" hidden="false" customHeight="false" outlineLevel="0" collapsed="false">
      <c r="A217" s="1" t="s">
        <v>7</v>
      </c>
      <c r="B217" s="1" t="n">
        <v>2</v>
      </c>
      <c r="C217" s="1" t="n">
        <v>14</v>
      </c>
      <c r="D217" s="1" t="s">
        <v>206</v>
      </c>
      <c r="E217" s="1" t="s">
        <v>198</v>
      </c>
      <c r="F217" s="1" t="n">
        <v>3930</v>
      </c>
      <c r="G217" s="4" t="n">
        <v>0</v>
      </c>
      <c r="H217" s="1" t="s">
        <v>348</v>
      </c>
    </row>
    <row r="218" customFormat="false" ht="12.8" hidden="false" customHeight="false" outlineLevel="0" collapsed="false">
      <c r="A218" s="1" t="s">
        <v>7</v>
      </c>
      <c r="B218" s="1" t="n">
        <v>2</v>
      </c>
      <c r="C218" s="1" t="n">
        <v>15</v>
      </c>
      <c r="D218" s="1" t="s">
        <v>198</v>
      </c>
      <c r="E218" s="1" t="s">
        <v>207</v>
      </c>
      <c r="F218" s="1" t="n">
        <v>3930</v>
      </c>
      <c r="G218" s="4" t="n">
        <v>0</v>
      </c>
      <c r="H218" s="1" t="s">
        <v>349</v>
      </c>
    </row>
    <row r="219" customFormat="false" ht="12.8" hidden="false" customHeight="false" outlineLevel="0" collapsed="false">
      <c r="A219" s="1" t="s">
        <v>7</v>
      </c>
      <c r="B219" s="1" t="n">
        <v>2</v>
      </c>
      <c r="C219" s="1" t="n">
        <v>16</v>
      </c>
      <c r="D219" s="1" t="s">
        <v>207</v>
      </c>
      <c r="E219" s="1" t="s">
        <v>206</v>
      </c>
      <c r="F219" s="1" t="n">
        <v>3930</v>
      </c>
      <c r="G219" s="4" t="n">
        <v>0</v>
      </c>
      <c r="H219" s="1" t="s">
        <v>352</v>
      </c>
    </row>
    <row r="220" customFormat="false" ht="12.8" hidden="false" customHeight="false" outlineLevel="0" collapsed="false">
      <c r="A220" s="1" t="s">
        <v>7</v>
      </c>
      <c r="B220" s="1" t="n">
        <v>2</v>
      </c>
      <c r="C220" s="1" t="n">
        <v>17</v>
      </c>
      <c r="D220" s="1" t="s">
        <v>206</v>
      </c>
      <c r="E220" s="1" t="s">
        <v>208</v>
      </c>
      <c r="F220" s="1" t="n">
        <v>3930</v>
      </c>
      <c r="G220" s="4" t="n">
        <v>0</v>
      </c>
      <c r="H220" s="1" t="s">
        <v>353</v>
      </c>
    </row>
    <row r="221" customFormat="false" ht="12.8" hidden="false" customHeight="false" outlineLevel="0" collapsed="false">
      <c r="A221" s="1" t="s">
        <v>7</v>
      </c>
      <c r="B221" s="1" t="n">
        <v>2</v>
      </c>
      <c r="C221" s="1" t="n">
        <v>18</v>
      </c>
      <c r="D221" s="1" t="s">
        <v>208</v>
      </c>
      <c r="E221" s="1" t="s">
        <v>198</v>
      </c>
      <c r="F221" s="1" t="n">
        <v>3930</v>
      </c>
      <c r="G221" s="4" t="n">
        <v>0</v>
      </c>
      <c r="H221" s="1" t="s">
        <v>354</v>
      </c>
    </row>
    <row r="222" customFormat="false" ht="12.8" hidden="false" customHeight="false" outlineLevel="0" collapsed="false">
      <c r="A222" s="1" t="s">
        <v>7</v>
      </c>
      <c r="B222" s="1" t="n">
        <v>2</v>
      </c>
      <c r="C222" s="1" t="n">
        <v>19</v>
      </c>
      <c r="D222" s="1" t="s">
        <v>198</v>
      </c>
      <c r="E222" s="1" t="s">
        <v>207</v>
      </c>
      <c r="F222" s="1" t="n">
        <v>3930</v>
      </c>
      <c r="G222" s="4" t="n">
        <v>0</v>
      </c>
      <c r="H222" s="1" t="s">
        <v>349</v>
      </c>
    </row>
    <row r="223" customFormat="false" ht="12.8" hidden="false" customHeight="false" outlineLevel="0" collapsed="false">
      <c r="A223" s="1" t="s">
        <v>7</v>
      </c>
      <c r="B223" s="1" t="n">
        <v>2</v>
      </c>
      <c r="C223" s="1" t="n">
        <v>20</v>
      </c>
      <c r="D223" s="1" t="s">
        <v>207</v>
      </c>
      <c r="E223" s="1" t="s">
        <v>206</v>
      </c>
      <c r="F223" s="1" t="n">
        <v>3930</v>
      </c>
      <c r="G223" s="4" t="n">
        <v>0</v>
      </c>
      <c r="H223" s="1" t="s">
        <v>352</v>
      </c>
    </row>
    <row r="224" customFormat="false" ht="12.8" hidden="false" customHeight="false" outlineLevel="0" collapsed="false">
      <c r="A224" s="1" t="s">
        <v>7</v>
      </c>
      <c r="B224" s="1" t="n">
        <v>2</v>
      </c>
      <c r="C224" s="1" t="n">
        <v>21</v>
      </c>
      <c r="D224" s="1" t="s">
        <v>206</v>
      </c>
      <c r="E224" s="1" t="s">
        <v>208</v>
      </c>
      <c r="F224" s="1" t="n">
        <v>3930</v>
      </c>
      <c r="G224" s="4" t="n">
        <v>0</v>
      </c>
      <c r="H224" s="1" t="s">
        <v>353</v>
      </c>
    </row>
    <row r="225" customFormat="false" ht="12.8" hidden="false" customHeight="false" outlineLevel="0" collapsed="false">
      <c r="A225" s="1" t="s">
        <v>7</v>
      </c>
      <c r="B225" s="1" t="n">
        <v>2</v>
      </c>
      <c r="C225" s="1" t="n">
        <v>22</v>
      </c>
      <c r="D225" s="1" t="s">
        <v>208</v>
      </c>
      <c r="E225" s="1" t="s">
        <v>198</v>
      </c>
      <c r="F225" s="1" t="n">
        <v>3930</v>
      </c>
      <c r="G225" s="4" t="n">
        <v>0</v>
      </c>
      <c r="H225" s="1" t="s">
        <v>354</v>
      </c>
    </row>
    <row r="226" customFormat="false" ht="12.8" hidden="false" customHeight="false" outlineLevel="0" collapsed="false">
      <c r="A226" s="1" t="s">
        <v>7</v>
      </c>
      <c r="B226" s="1" t="n">
        <v>2</v>
      </c>
      <c r="C226" s="1" t="n">
        <v>23</v>
      </c>
      <c r="D226" s="1" t="s">
        <v>198</v>
      </c>
      <c r="E226" s="1" t="s">
        <v>207</v>
      </c>
      <c r="F226" s="1" t="n">
        <v>3930</v>
      </c>
      <c r="G226" s="4" t="n">
        <v>0</v>
      </c>
      <c r="H226" s="1" t="s">
        <v>349</v>
      </c>
    </row>
    <row r="227" customFormat="false" ht="12.8" hidden="false" customHeight="false" outlineLevel="0" collapsed="false">
      <c r="A227" s="1" t="s">
        <v>7</v>
      </c>
      <c r="B227" s="1" t="n">
        <v>2</v>
      </c>
      <c r="C227" s="1" t="n">
        <v>24</v>
      </c>
      <c r="D227" s="1" t="s">
        <v>207</v>
      </c>
      <c r="E227" s="1" t="s">
        <v>206</v>
      </c>
      <c r="F227" s="1" t="n">
        <v>3930</v>
      </c>
      <c r="G227" s="4" t="n">
        <v>0</v>
      </c>
      <c r="H227" s="1" t="s">
        <v>352</v>
      </c>
    </row>
    <row r="228" customFormat="false" ht="12.8" hidden="false" customHeight="false" outlineLevel="0" collapsed="false">
      <c r="A228" s="1" t="s">
        <v>7</v>
      </c>
      <c r="B228" s="1" t="n">
        <v>2</v>
      </c>
      <c r="C228" s="1" t="n">
        <v>25</v>
      </c>
      <c r="D228" s="1" t="s">
        <v>206</v>
      </c>
      <c r="E228" s="1" t="s">
        <v>208</v>
      </c>
      <c r="F228" s="1" t="n">
        <v>3930</v>
      </c>
      <c r="G228" s="4" t="n">
        <v>0</v>
      </c>
      <c r="H228" s="1" t="s">
        <v>353</v>
      </c>
    </row>
    <row r="229" customFormat="false" ht="12.8" hidden="false" customHeight="false" outlineLevel="0" collapsed="false">
      <c r="A229" s="1" t="s">
        <v>7</v>
      </c>
      <c r="B229" s="1" t="n">
        <v>2</v>
      </c>
      <c r="C229" s="1" t="n">
        <v>26</v>
      </c>
      <c r="D229" s="1" t="s">
        <v>208</v>
      </c>
      <c r="E229" s="1" t="s">
        <v>198</v>
      </c>
      <c r="F229" s="1" t="n">
        <v>3930</v>
      </c>
      <c r="G229" s="4" t="n">
        <v>0</v>
      </c>
      <c r="H229" s="1" t="s">
        <v>354</v>
      </c>
    </row>
    <row r="230" customFormat="false" ht="12.8" hidden="false" customHeight="false" outlineLevel="0" collapsed="false">
      <c r="A230" s="1" t="s">
        <v>7</v>
      </c>
      <c r="B230" s="1" t="n">
        <v>2</v>
      </c>
      <c r="C230" s="1" t="n">
        <v>27</v>
      </c>
      <c r="D230" s="1" t="s">
        <v>198</v>
      </c>
      <c r="E230" s="1" t="s">
        <v>207</v>
      </c>
      <c r="F230" s="1" t="n">
        <v>3930</v>
      </c>
      <c r="G230" s="4" t="n">
        <v>0</v>
      </c>
      <c r="H230" s="1" t="s">
        <v>349</v>
      </c>
    </row>
    <row r="231" customFormat="false" ht="12.8" hidden="false" customHeight="false" outlineLevel="0" collapsed="false">
      <c r="A231" s="1" t="s">
        <v>7</v>
      </c>
      <c r="B231" s="1" t="n">
        <v>2</v>
      </c>
      <c r="C231" s="1" t="n">
        <v>28</v>
      </c>
      <c r="D231" s="1" t="s">
        <v>207</v>
      </c>
      <c r="E231" s="1" t="s">
        <v>206</v>
      </c>
      <c r="F231" s="1" t="n">
        <v>3930</v>
      </c>
      <c r="G231" s="4" t="n">
        <v>0</v>
      </c>
      <c r="H231" s="1" t="s">
        <v>352</v>
      </c>
    </row>
    <row r="232" customFormat="false" ht="12.8" hidden="false" customHeight="false" outlineLevel="0" collapsed="false">
      <c r="A232" s="1" t="s">
        <v>7</v>
      </c>
      <c r="B232" s="1" t="n">
        <v>2</v>
      </c>
      <c r="C232" s="1" t="n">
        <v>29</v>
      </c>
      <c r="D232" s="1" t="s">
        <v>206</v>
      </c>
      <c r="E232" s="1" t="s">
        <v>210</v>
      </c>
      <c r="F232" s="1" t="n">
        <v>3930</v>
      </c>
      <c r="G232" s="4" t="n">
        <v>0</v>
      </c>
      <c r="H232" s="1" t="s">
        <v>355</v>
      </c>
    </row>
    <row r="233" customFormat="false" ht="12.8" hidden="false" customHeight="false" outlineLevel="0" collapsed="false">
      <c r="A233" s="1" t="s">
        <v>7</v>
      </c>
      <c r="B233" s="1" t="n">
        <v>3</v>
      </c>
      <c r="C233" s="1" t="n">
        <v>1</v>
      </c>
      <c r="D233" s="1" t="s">
        <v>210</v>
      </c>
      <c r="E233" s="1" t="s">
        <v>206</v>
      </c>
      <c r="F233" s="1" t="n">
        <v>3350</v>
      </c>
      <c r="G233" s="4" t="n">
        <v>0</v>
      </c>
      <c r="H233" s="1" t="s">
        <v>285</v>
      </c>
    </row>
    <row r="234" customFormat="false" ht="12.8" hidden="false" customHeight="false" outlineLevel="0" collapsed="false">
      <c r="A234" s="1" t="s">
        <v>7</v>
      </c>
      <c r="B234" s="1" t="n">
        <v>3</v>
      </c>
      <c r="C234" s="1" t="n">
        <v>2</v>
      </c>
      <c r="D234" s="1" t="s">
        <v>206</v>
      </c>
      <c r="E234" s="1" t="s">
        <v>207</v>
      </c>
      <c r="F234" s="1" t="n">
        <v>3350</v>
      </c>
      <c r="G234" s="4" t="n">
        <v>0</v>
      </c>
      <c r="H234" s="1" t="s">
        <v>286</v>
      </c>
    </row>
    <row r="235" customFormat="false" ht="12.8" hidden="false" customHeight="false" outlineLevel="0" collapsed="false">
      <c r="A235" s="1" t="s">
        <v>7</v>
      </c>
      <c r="B235" s="1" t="n">
        <v>3</v>
      </c>
      <c r="C235" s="1" t="n">
        <v>3</v>
      </c>
      <c r="D235" s="1" t="s">
        <v>207</v>
      </c>
      <c r="E235" s="1" t="s">
        <v>198</v>
      </c>
      <c r="F235" s="1" t="n">
        <v>3350</v>
      </c>
      <c r="G235" s="4" t="n">
        <v>0</v>
      </c>
      <c r="H235" s="1" t="s">
        <v>287</v>
      </c>
    </row>
    <row r="236" customFormat="false" ht="12.8" hidden="false" customHeight="false" outlineLevel="0" collapsed="false">
      <c r="A236" s="1" t="s">
        <v>7</v>
      </c>
      <c r="B236" s="1" t="n">
        <v>3</v>
      </c>
      <c r="C236" s="1" t="n">
        <v>4</v>
      </c>
      <c r="D236" s="1" t="s">
        <v>198</v>
      </c>
      <c r="E236" s="1" t="s">
        <v>208</v>
      </c>
      <c r="F236" s="1" t="n">
        <v>3350</v>
      </c>
      <c r="G236" s="4" t="n">
        <v>0</v>
      </c>
      <c r="H236" s="1" t="s">
        <v>288</v>
      </c>
    </row>
    <row r="237" customFormat="false" ht="12.8" hidden="false" customHeight="false" outlineLevel="0" collapsed="false">
      <c r="A237" s="1" t="s">
        <v>7</v>
      </c>
      <c r="B237" s="1" t="n">
        <v>3</v>
      </c>
      <c r="C237" s="1" t="n">
        <v>5</v>
      </c>
      <c r="D237" s="1" t="s">
        <v>208</v>
      </c>
      <c r="E237" s="1" t="s">
        <v>206</v>
      </c>
      <c r="F237" s="1" t="n">
        <v>3350</v>
      </c>
      <c r="G237" s="4" t="n">
        <v>0</v>
      </c>
      <c r="H237" s="1" t="s">
        <v>289</v>
      </c>
    </row>
    <row r="238" customFormat="false" ht="12.8" hidden="false" customHeight="false" outlineLevel="0" collapsed="false">
      <c r="A238" s="1" t="s">
        <v>7</v>
      </c>
      <c r="B238" s="1" t="n">
        <v>3</v>
      </c>
      <c r="C238" s="1" t="n">
        <v>6</v>
      </c>
      <c r="D238" s="1" t="s">
        <v>206</v>
      </c>
      <c r="E238" s="1" t="s">
        <v>207</v>
      </c>
      <c r="F238" s="1" t="n">
        <v>3350</v>
      </c>
      <c r="G238" s="4" t="n">
        <v>0</v>
      </c>
      <c r="H238" s="1" t="s">
        <v>286</v>
      </c>
    </row>
    <row r="239" customFormat="false" ht="12.8" hidden="false" customHeight="false" outlineLevel="0" collapsed="false">
      <c r="A239" s="1" t="s">
        <v>7</v>
      </c>
      <c r="B239" s="1" t="n">
        <v>3</v>
      </c>
      <c r="C239" s="1" t="n">
        <v>7</v>
      </c>
      <c r="D239" s="1" t="s">
        <v>207</v>
      </c>
      <c r="E239" s="1" t="s">
        <v>198</v>
      </c>
      <c r="F239" s="1" t="n">
        <v>3350</v>
      </c>
      <c r="G239" s="4" t="n">
        <v>0</v>
      </c>
      <c r="H239" s="1" t="s">
        <v>287</v>
      </c>
    </row>
    <row r="240" customFormat="false" ht="12.8" hidden="false" customHeight="false" outlineLevel="0" collapsed="false">
      <c r="A240" s="1" t="s">
        <v>7</v>
      </c>
      <c r="B240" s="1" t="n">
        <v>3</v>
      </c>
      <c r="C240" s="1" t="n">
        <v>8</v>
      </c>
      <c r="D240" s="1" t="s">
        <v>198</v>
      </c>
      <c r="E240" s="1" t="s">
        <v>208</v>
      </c>
      <c r="F240" s="1" t="n">
        <v>3350</v>
      </c>
      <c r="G240" s="4" t="n">
        <v>0</v>
      </c>
      <c r="H240" s="1" t="s">
        <v>288</v>
      </c>
    </row>
    <row r="241" customFormat="false" ht="12.8" hidden="false" customHeight="false" outlineLevel="0" collapsed="false">
      <c r="A241" s="1" t="s">
        <v>7</v>
      </c>
      <c r="B241" s="1" t="n">
        <v>3</v>
      </c>
      <c r="C241" s="1" t="n">
        <v>9</v>
      </c>
      <c r="D241" s="1" t="s">
        <v>208</v>
      </c>
      <c r="E241" s="1" t="s">
        <v>206</v>
      </c>
      <c r="F241" s="1" t="n">
        <v>3350</v>
      </c>
      <c r="G241" s="4" t="n">
        <v>0</v>
      </c>
      <c r="H241" s="1" t="s">
        <v>289</v>
      </c>
    </row>
    <row r="242" customFormat="false" ht="12.8" hidden="false" customHeight="false" outlineLevel="0" collapsed="false">
      <c r="A242" s="1" t="s">
        <v>7</v>
      </c>
      <c r="B242" s="1" t="n">
        <v>3</v>
      </c>
      <c r="C242" s="1" t="n">
        <v>10</v>
      </c>
      <c r="D242" s="1" t="s">
        <v>206</v>
      </c>
      <c r="E242" s="1" t="s">
        <v>207</v>
      </c>
      <c r="F242" s="1" t="n">
        <v>3350</v>
      </c>
      <c r="G242" s="4" t="n">
        <v>0</v>
      </c>
      <c r="H242" s="1" t="s">
        <v>286</v>
      </c>
    </row>
    <row r="243" customFormat="false" ht="12.8" hidden="false" customHeight="false" outlineLevel="0" collapsed="false">
      <c r="A243" s="1" t="s">
        <v>7</v>
      </c>
      <c r="B243" s="1" t="n">
        <v>3</v>
      </c>
      <c r="C243" s="1" t="n">
        <v>11</v>
      </c>
      <c r="D243" s="1" t="s">
        <v>207</v>
      </c>
      <c r="E243" s="1" t="s">
        <v>198</v>
      </c>
      <c r="F243" s="1" t="n">
        <v>3350</v>
      </c>
      <c r="G243" s="4" t="n">
        <v>0</v>
      </c>
      <c r="H243" s="1" t="s">
        <v>287</v>
      </c>
    </row>
    <row r="244" customFormat="false" ht="12.8" hidden="false" customHeight="false" outlineLevel="0" collapsed="false">
      <c r="A244" s="1" t="s">
        <v>7</v>
      </c>
      <c r="B244" s="1" t="n">
        <v>3</v>
      </c>
      <c r="C244" s="1" t="n">
        <v>12</v>
      </c>
      <c r="D244" s="1" t="s">
        <v>198</v>
      </c>
      <c r="E244" s="1" t="s">
        <v>208</v>
      </c>
      <c r="F244" s="1" t="n">
        <v>3350</v>
      </c>
      <c r="G244" s="4" t="n">
        <v>0</v>
      </c>
      <c r="H244" s="1" t="s">
        <v>288</v>
      </c>
    </row>
    <row r="245" customFormat="false" ht="12.8" hidden="false" customHeight="false" outlineLevel="0" collapsed="false">
      <c r="A245" s="1" t="s">
        <v>7</v>
      </c>
      <c r="B245" s="1" t="n">
        <v>3</v>
      </c>
      <c r="C245" s="1" t="n">
        <v>13</v>
      </c>
      <c r="D245" s="1" t="s">
        <v>208</v>
      </c>
      <c r="E245" s="1" t="s">
        <v>206</v>
      </c>
      <c r="F245" s="1" t="n">
        <v>3350</v>
      </c>
      <c r="G245" s="4" t="n">
        <v>0</v>
      </c>
      <c r="H245" s="1" t="s">
        <v>289</v>
      </c>
    </row>
    <row r="246" customFormat="false" ht="12.8" hidden="false" customHeight="false" outlineLevel="0" collapsed="false">
      <c r="A246" s="1" t="s">
        <v>7</v>
      </c>
      <c r="B246" s="1" t="n">
        <v>3</v>
      </c>
      <c r="C246" s="1" t="n">
        <v>14</v>
      </c>
      <c r="D246" s="1" t="s">
        <v>206</v>
      </c>
      <c r="E246" s="1" t="s">
        <v>207</v>
      </c>
      <c r="F246" s="1" t="n">
        <v>3350</v>
      </c>
      <c r="G246" s="4" t="n">
        <v>0</v>
      </c>
      <c r="H246" s="1" t="s">
        <v>286</v>
      </c>
    </row>
    <row r="247" customFormat="false" ht="12.8" hidden="false" customHeight="false" outlineLevel="0" collapsed="false">
      <c r="A247" s="1" t="s">
        <v>7</v>
      </c>
      <c r="B247" s="1" t="n">
        <v>3</v>
      </c>
      <c r="C247" s="1" t="n">
        <v>15</v>
      </c>
      <c r="D247" s="1" t="s">
        <v>207</v>
      </c>
      <c r="E247" s="1" t="s">
        <v>198</v>
      </c>
      <c r="F247" s="1" t="n">
        <v>3350</v>
      </c>
      <c r="G247" s="4" t="n">
        <v>0</v>
      </c>
      <c r="H247" s="1" t="s">
        <v>287</v>
      </c>
    </row>
    <row r="248" customFormat="false" ht="12.8" hidden="false" customHeight="false" outlineLevel="0" collapsed="false">
      <c r="A248" s="1" t="s">
        <v>7</v>
      </c>
      <c r="B248" s="1" t="n">
        <v>3</v>
      </c>
      <c r="C248" s="1" t="n">
        <v>16</v>
      </c>
      <c r="D248" s="1" t="s">
        <v>198</v>
      </c>
      <c r="E248" s="1" t="s">
        <v>206</v>
      </c>
      <c r="F248" s="1" t="n">
        <v>3350</v>
      </c>
      <c r="G248" s="4" t="n">
        <v>0</v>
      </c>
      <c r="H248" s="1" t="s">
        <v>296</v>
      </c>
    </row>
    <row r="249" customFormat="false" ht="12.8" hidden="false" customHeight="false" outlineLevel="0" collapsed="false">
      <c r="A249" s="1" t="s">
        <v>7</v>
      </c>
      <c r="B249" s="1" t="n">
        <v>3</v>
      </c>
      <c r="C249" s="1" t="n">
        <v>17</v>
      </c>
      <c r="D249" s="1" t="s">
        <v>206</v>
      </c>
      <c r="E249" s="1" t="s">
        <v>208</v>
      </c>
      <c r="F249" s="1" t="n">
        <v>3350</v>
      </c>
      <c r="G249" s="4" t="n">
        <v>0</v>
      </c>
      <c r="H249" s="1" t="s">
        <v>292</v>
      </c>
    </row>
    <row r="250" customFormat="false" ht="12.8" hidden="false" customHeight="false" outlineLevel="0" collapsed="false">
      <c r="A250" s="1" t="s">
        <v>7</v>
      </c>
      <c r="B250" s="1" t="n">
        <v>3</v>
      </c>
      <c r="C250" s="1" t="n">
        <v>18</v>
      </c>
      <c r="D250" s="1" t="s">
        <v>208</v>
      </c>
      <c r="E250" s="1" t="s">
        <v>207</v>
      </c>
      <c r="F250" s="1" t="n">
        <v>3350</v>
      </c>
      <c r="G250" s="4" t="n">
        <v>0</v>
      </c>
      <c r="H250" s="1" t="s">
        <v>293</v>
      </c>
    </row>
    <row r="251" customFormat="false" ht="12.8" hidden="false" customHeight="false" outlineLevel="0" collapsed="false">
      <c r="A251" s="1" t="s">
        <v>7</v>
      </c>
      <c r="B251" s="1" t="n">
        <v>3</v>
      </c>
      <c r="C251" s="1" t="n">
        <v>19</v>
      </c>
      <c r="D251" s="1" t="s">
        <v>207</v>
      </c>
      <c r="E251" s="1" t="s">
        <v>198</v>
      </c>
      <c r="F251" s="1" t="n">
        <v>3350</v>
      </c>
      <c r="G251" s="4" t="n">
        <v>0</v>
      </c>
      <c r="H251" s="1" t="s">
        <v>287</v>
      </c>
    </row>
    <row r="252" customFormat="false" ht="12.8" hidden="false" customHeight="false" outlineLevel="0" collapsed="false">
      <c r="A252" s="1" t="s">
        <v>7</v>
      </c>
      <c r="B252" s="1" t="n">
        <v>3</v>
      </c>
      <c r="C252" s="1" t="n">
        <v>20</v>
      </c>
      <c r="D252" s="1" t="s">
        <v>198</v>
      </c>
      <c r="E252" s="1" t="s">
        <v>206</v>
      </c>
      <c r="F252" s="1" t="n">
        <v>3350</v>
      </c>
      <c r="G252" s="4" t="n">
        <v>0</v>
      </c>
      <c r="H252" s="1" t="s">
        <v>296</v>
      </c>
    </row>
    <row r="253" customFormat="false" ht="12.8" hidden="false" customHeight="false" outlineLevel="0" collapsed="false">
      <c r="A253" s="1" t="s">
        <v>7</v>
      </c>
      <c r="B253" s="1" t="n">
        <v>3</v>
      </c>
      <c r="C253" s="1" t="n">
        <v>21</v>
      </c>
      <c r="D253" s="1" t="s">
        <v>206</v>
      </c>
      <c r="E253" s="1" t="s">
        <v>208</v>
      </c>
      <c r="F253" s="1" t="n">
        <v>3350</v>
      </c>
      <c r="G253" s="4" t="n">
        <v>0</v>
      </c>
      <c r="H253" s="1" t="s">
        <v>292</v>
      </c>
    </row>
    <row r="254" customFormat="false" ht="12.8" hidden="false" customHeight="false" outlineLevel="0" collapsed="false">
      <c r="A254" s="1" t="s">
        <v>7</v>
      </c>
      <c r="B254" s="1" t="n">
        <v>3</v>
      </c>
      <c r="C254" s="1" t="n">
        <v>22</v>
      </c>
      <c r="D254" s="1" t="s">
        <v>208</v>
      </c>
      <c r="E254" s="1" t="s">
        <v>207</v>
      </c>
      <c r="F254" s="1" t="n">
        <v>3350</v>
      </c>
      <c r="G254" s="4" t="n">
        <v>0</v>
      </c>
      <c r="H254" s="1" t="s">
        <v>293</v>
      </c>
    </row>
    <row r="255" customFormat="false" ht="12.8" hidden="false" customHeight="false" outlineLevel="0" collapsed="false">
      <c r="A255" s="1" t="s">
        <v>7</v>
      </c>
      <c r="B255" s="1" t="n">
        <v>3</v>
      </c>
      <c r="C255" s="1" t="n">
        <v>23</v>
      </c>
      <c r="D255" s="1" t="s">
        <v>207</v>
      </c>
      <c r="E255" s="1" t="s">
        <v>198</v>
      </c>
      <c r="F255" s="1" t="n">
        <v>3350</v>
      </c>
      <c r="G255" s="4" t="n">
        <v>0</v>
      </c>
      <c r="H255" s="1" t="s">
        <v>287</v>
      </c>
    </row>
    <row r="256" customFormat="false" ht="12.8" hidden="false" customHeight="false" outlineLevel="0" collapsed="false">
      <c r="A256" s="1" t="s">
        <v>7</v>
      </c>
      <c r="B256" s="1" t="n">
        <v>3</v>
      </c>
      <c r="C256" s="1" t="n">
        <v>24</v>
      </c>
      <c r="D256" s="1" t="s">
        <v>198</v>
      </c>
      <c r="E256" s="1" t="s">
        <v>206</v>
      </c>
      <c r="F256" s="1" t="n">
        <v>3350</v>
      </c>
      <c r="G256" s="4" t="n">
        <v>0</v>
      </c>
      <c r="H256" s="1" t="s">
        <v>296</v>
      </c>
    </row>
    <row r="257" customFormat="false" ht="12.8" hidden="false" customHeight="false" outlineLevel="0" collapsed="false">
      <c r="A257" s="1" t="s">
        <v>7</v>
      </c>
      <c r="B257" s="1" t="n">
        <v>3</v>
      </c>
      <c r="C257" s="1" t="n">
        <v>25</v>
      </c>
      <c r="D257" s="1" t="s">
        <v>206</v>
      </c>
      <c r="E257" s="1" t="s">
        <v>208</v>
      </c>
      <c r="F257" s="1" t="n">
        <v>3350</v>
      </c>
      <c r="G257" s="4" t="n">
        <v>0</v>
      </c>
      <c r="H257" s="1" t="s">
        <v>292</v>
      </c>
    </row>
    <row r="258" customFormat="false" ht="12.8" hidden="false" customHeight="false" outlineLevel="0" collapsed="false">
      <c r="A258" s="1" t="s">
        <v>7</v>
      </c>
      <c r="B258" s="1" t="n">
        <v>3</v>
      </c>
      <c r="C258" s="1" t="n">
        <v>26</v>
      </c>
      <c r="D258" s="1" t="s">
        <v>208</v>
      </c>
      <c r="E258" s="1" t="s">
        <v>207</v>
      </c>
      <c r="F258" s="1" t="n">
        <v>3350</v>
      </c>
      <c r="G258" s="4" t="n">
        <v>0</v>
      </c>
      <c r="H258" s="1" t="s">
        <v>293</v>
      </c>
    </row>
    <row r="259" customFormat="false" ht="12.8" hidden="false" customHeight="false" outlineLevel="0" collapsed="false">
      <c r="A259" s="1" t="s">
        <v>7</v>
      </c>
      <c r="B259" s="1" t="n">
        <v>3</v>
      </c>
      <c r="C259" s="1" t="n">
        <v>27</v>
      </c>
      <c r="D259" s="1" t="s">
        <v>207</v>
      </c>
      <c r="E259" s="1" t="s">
        <v>198</v>
      </c>
      <c r="F259" s="1" t="n">
        <v>3350</v>
      </c>
      <c r="G259" s="4" t="n">
        <v>0</v>
      </c>
      <c r="H259" s="1" t="s">
        <v>287</v>
      </c>
    </row>
    <row r="260" customFormat="false" ht="12.8" hidden="false" customHeight="false" outlineLevel="0" collapsed="false">
      <c r="A260" s="1" t="s">
        <v>7</v>
      </c>
      <c r="B260" s="1" t="n">
        <v>3</v>
      </c>
      <c r="C260" s="1" t="n">
        <v>28</v>
      </c>
      <c r="D260" s="1" t="s">
        <v>198</v>
      </c>
      <c r="E260" s="1" t="s">
        <v>206</v>
      </c>
      <c r="F260" s="1" t="n">
        <v>3350</v>
      </c>
      <c r="G260" s="4" t="n">
        <v>0</v>
      </c>
      <c r="H260" s="1" t="s">
        <v>296</v>
      </c>
    </row>
    <row r="261" customFormat="false" ht="12.8" hidden="false" customHeight="false" outlineLevel="0" collapsed="false">
      <c r="A261" s="1" t="s">
        <v>7</v>
      </c>
      <c r="B261" s="1" t="n">
        <v>3</v>
      </c>
      <c r="C261" s="1" t="n">
        <v>29</v>
      </c>
      <c r="D261" s="1" t="s">
        <v>206</v>
      </c>
      <c r="E261" s="1" t="s">
        <v>210</v>
      </c>
      <c r="F261" s="1" t="n">
        <v>3350</v>
      </c>
      <c r="G261" s="4" t="n">
        <v>0</v>
      </c>
      <c r="H261" s="1" t="s">
        <v>297</v>
      </c>
    </row>
    <row r="262" customFormat="false" ht="12.8" hidden="false" customHeight="false" outlineLevel="0" collapsed="false">
      <c r="A262" s="1" t="s">
        <v>7</v>
      </c>
      <c r="B262" s="1" t="n">
        <v>4</v>
      </c>
      <c r="C262" s="1" t="n">
        <v>1</v>
      </c>
      <c r="D262" s="1" t="s">
        <v>210</v>
      </c>
      <c r="E262" s="1" t="s">
        <v>206</v>
      </c>
      <c r="F262" s="1" t="n">
        <v>3350</v>
      </c>
      <c r="G262" s="4" t="n">
        <v>0</v>
      </c>
      <c r="H262" s="1" t="s">
        <v>285</v>
      </c>
    </row>
    <row r="263" customFormat="false" ht="12.8" hidden="false" customHeight="false" outlineLevel="0" collapsed="false">
      <c r="A263" s="1" t="s">
        <v>7</v>
      </c>
      <c r="B263" s="1" t="n">
        <v>4</v>
      </c>
      <c r="C263" s="1" t="n">
        <v>2</v>
      </c>
      <c r="D263" s="1" t="s">
        <v>206</v>
      </c>
      <c r="E263" s="1" t="s">
        <v>198</v>
      </c>
      <c r="F263" s="1" t="n">
        <v>3350</v>
      </c>
      <c r="G263" s="4" t="n">
        <v>0</v>
      </c>
      <c r="H263" s="1" t="s">
        <v>298</v>
      </c>
    </row>
    <row r="264" customFormat="false" ht="12.8" hidden="false" customHeight="false" outlineLevel="0" collapsed="false">
      <c r="A264" s="1" t="s">
        <v>7</v>
      </c>
      <c r="B264" s="1" t="n">
        <v>4</v>
      </c>
      <c r="C264" s="1" t="n">
        <v>3</v>
      </c>
      <c r="D264" s="1" t="s">
        <v>198</v>
      </c>
      <c r="E264" s="1" t="s">
        <v>207</v>
      </c>
      <c r="F264" s="1" t="n">
        <v>3350</v>
      </c>
      <c r="G264" s="4" t="n">
        <v>0</v>
      </c>
      <c r="H264" s="1" t="s">
        <v>299</v>
      </c>
    </row>
    <row r="265" customFormat="false" ht="12.8" hidden="false" customHeight="false" outlineLevel="0" collapsed="false">
      <c r="A265" s="1" t="s">
        <v>7</v>
      </c>
      <c r="B265" s="1" t="n">
        <v>4</v>
      </c>
      <c r="C265" s="1" t="n">
        <v>4</v>
      </c>
      <c r="D265" s="1" t="s">
        <v>207</v>
      </c>
      <c r="E265" s="1" t="s">
        <v>208</v>
      </c>
      <c r="F265" s="1" t="n">
        <v>3350</v>
      </c>
      <c r="G265" s="4" t="n">
        <v>0</v>
      </c>
      <c r="H265" s="1" t="s">
        <v>300</v>
      </c>
    </row>
    <row r="266" customFormat="false" ht="12.8" hidden="false" customHeight="false" outlineLevel="0" collapsed="false">
      <c r="A266" s="1" t="s">
        <v>7</v>
      </c>
      <c r="B266" s="1" t="n">
        <v>4</v>
      </c>
      <c r="C266" s="1" t="n">
        <v>5</v>
      </c>
      <c r="D266" s="1" t="s">
        <v>208</v>
      </c>
      <c r="E266" s="1" t="s">
        <v>206</v>
      </c>
      <c r="F266" s="1" t="n">
        <v>3350</v>
      </c>
      <c r="G266" s="4" t="n">
        <v>0</v>
      </c>
      <c r="H266" s="1" t="s">
        <v>289</v>
      </c>
    </row>
    <row r="267" customFormat="false" ht="12.8" hidden="false" customHeight="false" outlineLevel="0" collapsed="false">
      <c r="A267" s="1" t="s">
        <v>7</v>
      </c>
      <c r="B267" s="1" t="n">
        <v>4</v>
      </c>
      <c r="C267" s="1" t="n">
        <v>6</v>
      </c>
      <c r="D267" s="1" t="s">
        <v>206</v>
      </c>
      <c r="E267" s="1" t="s">
        <v>198</v>
      </c>
      <c r="F267" s="1" t="n">
        <v>3350</v>
      </c>
      <c r="G267" s="4" t="n">
        <v>0</v>
      </c>
      <c r="H267" s="1" t="s">
        <v>298</v>
      </c>
    </row>
    <row r="268" customFormat="false" ht="12.8" hidden="false" customHeight="false" outlineLevel="0" collapsed="false">
      <c r="A268" s="1" t="s">
        <v>7</v>
      </c>
      <c r="B268" s="1" t="n">
        <v>4</v>
      </c>
      <c r="C268" s="1" t="n">
        <v>7</v>
      </c>
      <c r="D268" s="1" t="s">
        <v>198</v>
      </c>
      <c r="E268" s="1" t="s">
        <v>207</v>
      </c>
      <c r="F268" s="1" t="n">
        <v>3350</v>
      </c>
      <c r="G268" s="4" t="n">
        <v>0</v>
      </c>
      <c r="H268" s="1" t="s">
        <v>299</v>
      </c>
    </row>
    <row r="269" customFormat="false" ht="12.8" hidden="false" customHeight="false" outlineLevel="0" collapsed="false">
      <c r="A269" s="1" t="s">
        <v>7</v>
      </c>
      <c r="B269" s="1" t="n">
        <v>4</v>
      </c>
      <c r="C269" s="1" t="n">
        <v>8</v>
      </c>
      <c r="D269" s="1" t="s">
        <v>207</v>
      </c>
      <c r="E269" s="1" t="s">
        <v>208</v>
      </c>
      <c r="F269" s="1" t="n">
        <v>3350</v>
      </c>
      <c r="G269" s="4" t="n">
        <v>0</v>
      </c>
      <c r="H269" s="1" t="s">
        <v>300</v>
      </c>
    </row>
    <row r="270" customFormat="false" ht="12.8" hidden="false" customHeight="false" outlineLevel="0" collapsed="false">
      <c r="A270" s="1" t="s">
        <v>7</v>
      </c>
      <c r="B270" s="1" t="n">
        <v>4</v>
      </c>
      <c r="C270" s="1" t="n">
        <v>9</v>
      </c>
      <c r="D270" s="1" t="s">
        <v>208</v>
      </c>
      <c r="E270" s="1" t="s">
        <v>206</v>
      </c>
      <c r="F270" s="1" t="n">
        <v>3350</v>
      </c>
      <c r="G270" s="4" t="n">
        <v>0</v>
      </c>
      <c r="H270" s="1" t="s">
        <v>289</v>
      </c>
    </row>
    <row r="271" customFormat="false" ht="12.8" hidden="false" customHeight="false" outlineLevel="0" collapsed="false">
      <c r="A271" s="1" t="s">
        <v>7</v>
      </c>
      <c r="B271" s="1" t="n">
        <v>4</v>
      </c>
      <c r="C271" s="1" t="n">
        <v>10</v>
      </c>
      <c r="D271" s="1" t="s">
        <v>206</v>
      </c>
      <c r="E271" s="1" t="s">
        <v>198</v>
      </c>
      <c r="F271" s="1" t="n">
        <v>3350</v>
      </c>
      <c r="G271" s="4" t="n">
        <v>0</v>
      </c>
      <c r="H271" s="1" t="s">
        <v>298</v>
      </c>
    </row>
    <row r="272" customFormat="false" ht="12.8" hidden="false" customHeight="false" outlineLevel="0" collapsed="false">
      <c r="A272" s="1" t="s">
        <v>7</v>
      </c>
      <c r="B272" s="1" t="n">
        <v>4</v>
      </c>
      <c r="C272" s="1" t="n">
        <v>11</v>
      </c>
      <c r="D272" s="1" t="s">
        <v>198</v>
      </c>
      <c r="E272" s="1" t="s">
        <v>207</v>
      </c>
      <c r="F272" s="1" t="n">
        <v>3350</v>
      </c>
      <c r="G272" s="4" t="n">
        <v>0</v>
      </c>
      <c r="H272" s="1" t="s">
        <v>299</v>
      </c>
    </row>
    <row r="273" customFormat="false" ht="12.8" hidden="false" customHeight="false" outlineLevel="0" collapsed="false">
      <c r="A273" s="1" t="s">
        <v>7</v>
      </c>
      <c r="B273" s="1" t="n">
        <v>4</v>
      </c>
      <c r="C273" s="1" t="n">
        <v>12</v>
      </c>
      <c r="D273" s="1" t="s">
        <v>207</v>
      </c>
      <c r="E273" s="1" t="s">
        <v>208</v>
      </c>
      <c r="F273" s="1" t="n">
        <v>3350</v>
      </c>
      <c r="G273" s="4" t="n">
        <v>0</v>
      </c>
      <c r="H273" s="1" t="s">
        <v>300</v>
      </c>
    </row>
    <row r="274" customFormat="false" ht="12.8" hidden="false" customHeight="false" outlineLevel="0" collapsed="false">
      <c r="A274" s="1" t="s">
        <v>7</v>
      </c>
      <c r="B274" s="1" t="n">
        <v>4</v>
      </c>
      <c r="C274" s="1" t="n">
        <v>13</v>
      </c>
      <c r="D274" s="1" t="s">
        <v>208</v>
      </c>
      <c r="E274" s="1" t="s">
        <v>206</v>
      </c>
      <c r="F274" s="1" t="n">
        <v>3350</v>
      </c>
      <c r="G274" s="4" t="n">
        <v>0</v>
      </c>
      <c r="H274" s="1" t="s">
        <v>289</v>
      </c>
    </row>
    <row r="275" customFormat="false" ht="12.8" hidden="false" customHeight="false" outlineLevel="0" collapsed="false">
      <c r="A275" s="1" t="s">
        <v>7</v>
      </c>
      <c r="B275" s="1" t="n">
        <v>4</v>
      </c>
      <c r="C275" s="1" t="n">
        <v>14</v>
      </c>
      <c r="D275" s="1" t="s">
        <v>206</v>
      </c>
      <c r="E275" s="1" t="s">
        <v>198</v>
      </c>
      <c r="F275" s="1" t="n">
        <v>3350</v>
      </c>
      <c r="G275" s="4" t="n">
        <v>0</v>
      </c>
      <c r="H275" s="1" t="s">
        <v>298</v>
      </c>
    </row>
    <row r="276" customFormat="false" ht="12.8" hidden="false" customHeight="false" outlineLevel="0" collapsed="false">
      <c r="A276" s="1" t="s">
        <v>7</v>
      </c>
      <c r="B276" s="1" t="n">
        <v>4</v>
      </c>
      <c r="C276" s="1" t="n">
        <v>15</v>
      </c>
      <c r="D276" s="1" t="s">
        <v>198</v>
      </c>
      <c r="E276" s="1" t="s">
        <v>207</v>
      </c>
      <c r="F276" s="1" t="n">
        <v>3350</v>
      </c>
      <c r="G276" s="4" t="n">
        <v>0</v>
      </c>
      <c r="H276" s="1" t="s">
        <v>299</v>
      </c>
    </row>
    <row r="277" customFormat="false" ht="12.8" hidden="false" customHeight="false" outlineLevel="0" collapsed="false">
      <c r="A277" s="1" t="s">
        <v>7</v>
      </c>
      <c r="B277" s="1" t="n">
        <v>4</v>
      </c>
      <c r="C277" s="1" t="n">
        <v>16</v>
      </c>
      <c r="D277" s="1" t="s">
        <v>207</v>
      </c>
      <c r="E277" s="1" t="s">
        <v>206</v>
      </c>
      <c r="F277" s="1" t="n">
        <v>3350</v>
      </c>
      <c r="G277" s="4" t="n">
        <v>0</v>
      </c>
      <c r="H277" s="1" t="s">
        <v>303</v>
      </c>
    </row>
    <row r="278" customFormat="false" ht="12.8" hidden="false" customHeight="false" outlineLevel="0" collapsed="false">
      <c r="A278" s="1" t="s">
        <v>7</v>
      </c>
      <c r="B278" s="1" t="n">
        <v>4</v>
      </c>
      <c r="C278" s="1" t="n">
        <v>17</v>
      </c>
      <c r="D278" s="1" t="s">
        <v>206</v>
      </c>
      <c r="E278" s="1" t="s">
        <v>208</v>
      </c>
      <c r="F278" s="1" t="n">
        <v>3350</v>
      </c>
      <c r="G278" s="4" t="n">
        <v>0</v>
      </c>
      <c r="H278" s="1" t="s">
        <v>292</v>
      </c>
    </row>
    <row r="279" customFormat="false" ht="12.8" hidden="false" customHeight="false" outlineLevel="0" collapsed="false">
      <c r="A279" s="1" t="s">
        <v>7</v>
      </c>
      <c r="B279" s="1" t="n">
        <v>4</v>
      </c>
      <c r="C279" s="1" t="n">
        <v>18</v>
      </c>
      <c r="D279" s="1" t="s">
        <v>208</v>
      </c>
      <c r="E279" s="1" t="s">
        <v>198</v>
      </c>
      <c r="F279" s="1" t="n">
        <v>3350</v>
      </c>
      <c r="G279" s="4" t="n">
        <v>0</v>
      </c>
      <c r="H279" s="1" t="s">
        <v>306</v>
      </c>
    </row>
    <row r="280" customFormat="false" ht="12.8" hidden="false" customHeight="false" outlineLevel="0" collapsed="false">
      <c r="A280" s="1" t="s">
        <v>7</v>
      </c>
      <c r="B280" s="1" t="n">
        <v>4</v>
      </c>
      <c r="C280" s="1" t="n">
        <v>19</v>
      </c>
      <c r="D280" s="1" t="s">
        <v>198</v>
      </c>
      <c r="E280" s="1" t="s">
        <v>207</v>
      </c>
      <c r="F280" s="1" t="n">
        <v>3350</v>
      </c>
      <c r="G280" s="4" t="n">
        <v>0</v>
      </c>
      <c r="H280" s="1" t="s">
        <v>299</v>
      </c>
    </row>
    <row r="281" customFormat="false" ht="12.8" hidden="false" customHeight="false" outlineLevel="0" collapsed="false">
      <c r="A281" s="1" t="s">
        <v>7</v>
      </c>
      <c r="B281" s="1" t="n">
        <v>4</v>
      </c>
      <c r="C281" s="1" t="n">
        <v>20</v>
      </c>
      <c r="D281" s="1" t="s">
        <v>207</v>
      </c>
      <c r="E281" s="1" t="s">
        <v>206</v>
      </c>
      <c r="F281" s="1" t="n">
        <v>3350</v>
      </c>
      <c r="G281" s="4" t="n">
        <v>0</v>
      </c>
      <c r="H281" s="1" t="s">
        <v>303</v>
      </c>
    </row>
    <row r="282" customFormat="false" ht="12.8" hidden="false" customHeight="false" outlineLevel="0" collapsed="false">
      <c r="A282" s="1" t="s">
        <v>7</v>
      </c>
      <c r="B282" s="1" t="n">
        <v>4</v>
      </c>
      <c r="C282" s="1" t="n">
        <v>21</v>
      </c>
      <c r="D282" s="1" t="s">
        <v>206</v>
      </c>
      <c r="E282" s="1" t="s">
        <v>208</v>
      </c>
      <c r="F282" s="1" t="n">
        <v>3350</v>
      </c>
      <c r="G282" s="4" t="n">
        <v>0</v>
      </c>
      <c r="H282" s="1" t="s">
        <v>292</v>
      </c>
    </row>
    <row r="283" customFormat="false" ht="12.8" hidden="false" customHeight="false" outlineLevel="0" collapsed="false">
      <c r="A283" s="1" t="s">
        <v>7</v>
      </c>
      <c r="B283" s="1" t="n">
        <v>4</v>
      </c>
      <c r="C283" s="1" t="n">
        <v>22</v>
      </c>
      <c r="D283" s="1" t="s">
        <v>208</v>
      </c>
      <c r="E283" s="1" t="s">
        <v>198</v>
      </c>
      <c r="F283" s="1" t="n">
        <v>3350</v>
      </c>
      <c r="G283" s="4" t="n">
        <v>0</v>
      </c>
      <c r="H283" s="1" t="s">
        <v>306</v>
      </c>
    </row>
    <row r="284" customFormat="false" ht="12.8" hidden="false" customHeight="false" outlineLevel="0" collapsed="false">
      <c r="A284" s="1" t="s">
        <v>7</v>
      </c>
      <c r="B284" s="1" t="n">
        <v>4</v>
      </c>
      <c r="C284" s="1" t="n">
        <v>23</v>
      </c>
      <c r="D284" s="1" t="s">
        <v>198</v>
      </c>
      <c r="E284" s="1" t="s">
        <v>207</v>
      </c>
      <c r="F284" s="1" t="n">
        <v>3350</v>
      </c>
      <c r="G284" s="4" t="n">
        <v>0</v>
      </c>
      <c r="H284" s="1" t="s">
        <v>299</v>
      </c>
    </row>
    <row r="285" customFormat="false" ht="12.8" hidden="false" customHeight="false" outlineLevel="0" collapsed="false">
      <c r="A285" s="1" t="s">
        <v>7</v>
      </c>
      <c r="B285" s="1" t="n">
        <v>4</v>
      </c>
      <c r="C285" s="1" t="n">
        <v>24</v>
      </c>
      <c r="D285" s="1" t="s">
        <v>207</v>
      </c>
      <c r="E285" s="1" t="s">
        <v>206</v>
      </c>
      <c r="F285" s="1" t="n">
        <v>3350</v>
      </c>
      <c r="G285" s="4" t="n">
        <v>0</v>
      </c>
      <c r="H285" s="1" t="s">
        <v>303</v>
      </c>
    </row>
    <row r="286" customFormat="false" ht="12.8" hidden="false" customHeight="false" outlineLevel="0" collapsed="false">
      <c r="A286" s="1" t="s">
        <v>7</v>
      </c>
      <c r="B286" s="1" t="n">
        <v>4</v>
      </c>
      <c r="C286" s="1" t="n">
        <v>25</v>
      </c>
      <c r="D286" s="1" t="s">
        <v>206</v>
      </c>
      <c r="E286" s="1" t="s">
        <v>208</v>
      </c>
      <c r="F286" s="1" t="n">
        <v>3350</v>
      </c>
      <c r="G286" s="4" t="n">
        <v>0</v>
      </c>
      <c r="H286" s="1" t="s">
        <v>292</v>
      </c>
    </row>
    <row r="287" customFormat="false" ht="12.8" hidden="false" customHeight="false" outlineLevel="0" collapsed="false">
      <c r="A287" s="1" t="s">
        <v>7</v>
      </c>
      <c r="B287" s="1" t="n">
        <v>4</v>
      </c>
      <c r="C287" s="1" t="n">
        <v>26</v>
      </c>
      <c r="D287" s="1" t="s">
        <v>208</v>
      </c>
      <c r="E287" s="1" t="s">
        <v>198</v>
      </c>
      <c r="F287" s="1" t="n">
        <v>3350</v>
      </c>
      <c r="G287" s="4" t="n">
        <v>0</v>
      </c>
      <c r="H287" s="1" t="s">
        <v>306</v>
      </c>
    </row>
    <row r="288" customFormat="false" ht="12.8" hidden="false" customHeight="false" outlineLevel="0" collapsed="false">
      <c r="A288" s="1" t="s">
        <v>7</v>
      </c>
      <c r="B288" s="1" t="n">
        <v>4</v>
      </c>
      <c r="C288" s="1" t="n">
        <v>27</v>
      </c>
      <c r="D288" s="1" t="s">
        <v>198</v>
      </c>
      <c r="E288" s="1" t="s">
        <v>207</v>
      </c>
      <c r="F288" s="1" t="n">
        <v>3350</v>
      </c>
      <c r="G288" s="4" t="n">
        <v>0</v>
      </c>
      <c r="H288" s="1" t="s">
        <v>299</v>
      </c>
    </row>
    <row r="289" customFormat="false" ht="12.8" hidden="false" customHeight="false" outlineLevel="0" collapsed="false">
      <c r="A289" s="1" t="s">
        <v>7</v>
      </c>
      <c r="B289" s="1" t="n">
        <v>4</v>
      </c>
      <c r="C289" s="1" t="n">
        <v>28</v>
      </c>
      <c r="D289" s="1" t="s">
        <v>207</v>
      </c>
      <c r="E289" s="1" t="s">
        <v>206</v>
      </c>
      <c r="F289" s="1" t="n">
        <v>3350</v>
      </c>
      <c r="G289" s="4" t="n">
        <v>0</v>
      </c>
      <c r="H289" s="1" t="s">
        <v>303</v>
      </c>
    </row>
    <row r="290" customFormat="false" ht="12.8" hidden="false" customHeight="false" outlineLevel="0" collapsed="false">
      <c r="A290" s="1" t="s">
        <v>7</v>
      </c>
      <c r="B290" s="1" t="n">
        <v>4</v>
      </c>
      <c r="C290" s="1" t="n">
        <v>29</v>
      </c>
      <c r="D290" s="1" t="s">
        <v>206</v>
      </c>
      <c r="E290" s="1" t="s">
        <v>210</v>
      </c>
      <c r="F290" s="1" t="n">
        <v>3350</v>
      </c>
      <c r="G290" s="4" t="n">
        <v>0</v>
      </c>
      <c r="H290" s="1" t="s">
        <v>297</v>
      </c>
    </row>
    <row r="291" customFormat="false" ht="12.8" hidden="false" customHeight="false" outlineLevel="0" collapsed="false">
      <c r="A291" s="1" t="s">
        <v>7</v>
      </c>
      <c r="B291" s="1" t="n">
        <v>19</v>
      </c>
      <c r="C291" s="1" t="n">
        <v>1</v>
      </c>
      <c r="D291" s="1" t="s">
        <v>210</v>
      </c>
      <c r="E291" s="1" t="s">
        <v>206</v>
      </c>
      <c r="F291" s="1" t="n">
        <v>3510</v>
      </c>
      <c r="G291" s="4" t="n">
        <v>0</v>
      </c>
      <c r="H291" s="1" t="s">
        <v>307</v>
      </c>
    </row>
    <row r="292" customFormat="false" ht="12.8" hidden="false" customHeight="false" outlineLevel="0" collapsed="false">
      <c r="A292" s="1" t="s">
        <v>7</v>
      </c>
      <c r="B292" s="1" t="n">
        <v>19</v>
      </c>
      <c r="C292" s="1" t="n">
        <v>2</v>
      </c>
      <c r="D292" s="1" t="s">
        <v>206</v>
      </c>
      <c r="E292" s="1" t="s">
        <v>207</v>
      </c>
      <c r="F292" s="1" t="n">
        <v>3510</v>
      </c>
      <c r="G292" s="4" t="n">
        <v>0</v>
      </c>
      <c r="H292" s="1" t="s">
        <v>308</v>
      </c>
    </row>
    <row r="293" customFormat="false" ht="12.8" hidden="false" customHeight="false" outlineLevel="0" collapsed="false">
      <c r="A293" s="1" t="s">
        <v>7</v>
      </c>
      <c r="B293" s="1" t="n">
        <v>19</v>
      </c>
      <c r="C293" s="1" t="n">
        <v>3</v>
      </c>
      <c r="D293" s="1" t="s">
        <v>207</v>
      </c>
      <c r="E293" s="1" t="s">
        <v>198</v>
      </c>
      <c r="F293" s="1" t="n">
        <v>3510</v>
      </c>
      <c r="G293" s="4" t="n">
        <v>0</v>
      </c>
      <c r="H293" s="1" t="s">
        <v>309</v>
      </c>
    </row>
    <row r="294" customFormat="false" ht="12.8" hidden="false" customHeight="false" outlineLevel="0" collapsed="false">
      <c r="A294" s="1" t="s">
        <v>7</v>
      </c>
      <c r="B294" s="1" t="n">
        <v>19</v>
      </c>
      <c r="C294" s="1" t="n">
        <v>4</v>
      </c>
      <c r="D294" s="1" t="s">
        <v>198</v>
      </c>
      <c r="E294" s="1" t="s">
        <v>208</v>
      </c>
      <c r="F294" s="1" t="n">
        <v>3510</v>
      </c>
      <c r="G294" s="4" t="n">
        <v>0</v>
      </c>
      <c r="H294" s="1" t="s">
        <v>310</v>
      </c>
    </row>
    <row r="295" customFormat="false" ht="12.8" hidden="false" customHeight="false" outlineLevel="0" collapsed="false">
      <c r="A295" s="1" t="s">
        <v>7</v>
      </c>
      <c r="B295" s="1" t="n">
        <v>19</v>
      </c>
      <c r="C295" s="1" t="n">
        <v>5</v>
      </c>
      <c r="D295" s="1" t="s">
        <v>208</v>
      </c>
      <c r="E295" s="1" t="s">
        <v>206</v>
      </c>
      <c r="F295" s="1" t="n">
        <v>3510</v>
      </c>
      <c r="G295" s="4" t="n">
        <v>0</v>
      </c>
      <c r="H295" s="1" t="s">
        <v>311</v>
      </c>
    </row>
    <row r="296" customFormat="false" ht="12.8" hidden="false" customHeight="false" outlineLevel="0" collapsed="false">
      <c r="A296" s="1" t="s">
        <v>7</v>
      </c>
      <c r="B296" s="1" t="n">
        <v>19</v>
      </c>
      <c r="C296" s="1" t="n">
        <v>6</v>
      </c>
      <c r="D296" s="1" t="s">
        <v>206</v>
      </c>
      <c r="E296" s="1" t="s">
        <v>207</v>
      </c>
      <c r="F296" s="1" t="n">
        <v>3510</v>
      </c>
      <c r="G296" s="4" t="n">
        <v>0</v>
      </c>
      <c r="H296" s="1" t="s">
        <v>308</v>
      </c>
    </row>
    <row r="297" customFormat="false" ht="12.8" hidden="false" customHeight="false" outlineLevel="0" collapsed="false">
      <c r="A297" s="1" t="s">
        <v>7</v>
      </c>
      <c r="B297" s="1" t="n">
        <v>19</v>
      </c>
      <c r="C297" s="1" t="n">
        <v>7</v>
      </c>
      <c r="D297" s="1" t="s">
        <v>207</v>
      </c>
      <c r="E297" s="1" t="s">
        <v>198</v>
      </c>
      <c r="F297" s="1" t="n">
        <v>3510</v>
      </c>
      <c r="G297" s="4" t="n">
        <v>0</v>
      </c>
      <c r="H297" s="1" t="s">
        <v>309</v>
      </c>
    </row>
    <row r="298" customFormat="false" ht="12.8" hidden="false" customHeight="false" outlineLevel="0" collapsed="false">
      <c r="A298" s="1" t="s">
        <v>7</v>
      </c>
      <c r="B298" s="1" t="n">
        <v>19</v>
      </c>
      <c r="C298" s="1" t="n">
        <v>8</v>
      </c>
      <c r="D298" s="1" t="s">
        <v>198</v>
      </c>
      <c r="E298" s="1" t="s">
        <v>208</v>
      </c>
      <c r="F298" s="1" t="n">
        <v>3510</v>
      </c>
      <c r="G298" s="4" t="n">
        <v>0</v>
      </c>
      <c r="H298" s="1" t="s">
        <v>310</v>
      </c>
    </row>
    <row r="299" customFormat="false" ht="12.8" hidden="false" customHeight="false" outlineLevel="0" collapsed="false">
      <c r="A299" s="1" t="s">
        <v>7</v>
      </c>
      <c r="B299" s="1" t="n">
        <v>19</v>
      </c>
      <c r="C299" s="1" t="n">
        <v>9</v>
      </c>
      <c r="D299" s="1" t="s">
        <v>208</v>
      </c>
      <c r="E299" s="1" t="s">
        <v>206</v>
      </c>
      <c r="F299" s="1" t="n">
        <v>3510</v>
      </c>
      <c r="G299" s="4" t="n">
        <v>0</v>
      </c>
      <c r="H299" s="1" t="s">
        <v>311</v>
      </c>
    </row>
    <row r="300" customFormat="false" ht="12.8" hidden="false" customHeight="false" outlineLevel="0" collapsed="false">
      <c r="A300" s="1" t="s">
        <v>7</v>
      </c>
      <c r="B300" s="1" t="n">
        <v>19</v>
      </c>
      <c r="C300" s="1" t="n">
        <v>10</v>
      </c>
      <c r="D300" s="1" t="s">
        <v>206</v>
      </c>
      <c r="E300" s="1" t="s">
        <v>207</v>
      </c>
      <c r="F300" s="1" t="n">
        <v>3510</v>
      </c>
      <c r="G300" s="4" t="n">
        <v>0</v>
      </c>
      <c r="H300" s="1" t="s">
        <v>308</v>
      </c>
    </row>
    <row r="301" customFormat="false" ht="12.8" hidden="false" customHeight="false" outlineLevel="0" collapsed="false">
      <c r="A301" s="1" t="s">
        <v>7</v>
      </c>
      <c r="B301" s="1" t="n">
        <v>19</v>
      </c>
      <c r="C301" s="1" t="n">
        <v>11</v>
      </c>
      <c r="D301" s="1" t="s">
        <v>207</v>
      </c>
      <c r="E301" s="1" t="s">
        <v>198</v>
      </c>
      <c r="F301" s="1" t="n">
        <v>3510</v>
      </c>
      <c r="G301" s="4" t="n">
        <v>0</v>
      </c>
      <c r="H301" s="1" t="s">
        <v>309</v>
      </c>
    </row>
    <row r="302" customFormat="false" ht="12.8" hidden="false" customHeight="false" outlineLevel="0" collapsed="false">
      <c r="A302" s="1" t="s">
        <v>7</v>
      </c>
      <c r="B302" s="1" t="n">
        <v>19</v>
      </c>
      <c r="C302" s="1" t="n">
        <v>12</v>
      </c>
      <c r="D302" s="1" t="s">
        <v>198</v>
      </c>
      <c r="E302" s="1" t="s">
        <v>208</v>
      </c>
      <c r="F302" s="1" t="n">
        <v>3510</v>
      </c>
      <c r="G302" s="4" t="n">
        <v>0</v>
      </c>
      <c r="H302" s="1" t="s">
        <v>310</v>
      </c>
    </row>
    <row r="303" customFormat="false" ht="12.8" hidden="false" customHeight="false" outlineLevel="0" collapsed="false">
      <c r="A303" s="1" t="s">
        <v>7</v>
      </c>
      <c r="B303" s="1" t="n">
        <v>19</v>
      </c>
      <c r="C303" s="1" t="n">
        <v>13</v>
      </c>
      <c r="D303" s="1" t="s">
        <v>208</v>
      </c>
      <c r="E303" s="1" t="s">
        <v>206</v>
      </c>
      <c r="F303" s="1" t="n">
        <v>3510</v>
      </c>
      <c r="G303" s="4" t="n">
        <v>0</v>
      </c>
      <c r="H303" s="1" t="s">
        <v>311</v>
      </c>
    </row>
    <row r="304" customFormat="false" ht="12.8" hidden="false" customHeight="false" outlineLevel="0" collapsed="false">
      <c r="A304" s="1" t="s">
        <v>7</v>
      </c>
      <c r="B304" s="1" t="n">
        <v>19</v>
      </c>
      <c r="C304" s="1" t="n">
        <v>14</v>
      </c>
      <c r="D304" s="1" t="s">
        <v>206</v>
      </c>
      <c r="E304" s="1" t="s">
        <v>207</v>
      </c>
      <c r="F304" s="1" t="n">
        <v>3510</v>
      </c>
      <c r="G304" s="4" t="n">
        <v>0</v>
      </c>
      <c r="H304" s="1" t="s">
        <v>308</v>
      </c>
    </row>
    <row r="305" customFormat="false" ht="12.8" hidden="false" customHeight="false" outlineLevel="0" collapsed="false">
      <c r="A305" s="1" t="s">
        <v>7</v>
      </c>
      <c r="B305" s="1" t="n">
        <v>19</v>
      </c>
      <c r="C305" s="1" t="n">
        <v>15</v>
      </c>
      <c r="D305" s="1" t="s">
        <v>207</v>
      </c>
      <c r="E305" s="1" t="s">
        <v>198</v>
      </c>
      <c r="F305" s="1" t="n">
        <v>3510</v>
      </c>
      <c r="G305" s="4" t="n">
        <v>1</v>
      </c>
      <c r="H305" s="1" t="s">
        <v>356</v>
      </c>
    </row>
    <row r="306" customFormat="false" ht="12.8" hidden="false" customHeight="false" outlineLevel="0" collapsed="false">
      <c r="A306" s="1" t="s">
        <v>7</v>
      </c>
      <c r="B306" s="1" t="n">
        <v>19</v>
      </c>
      <c r="C306" s="1" t="n">
        <v>16</v>
      </c>
      <c r="D306" s="1" t="s">
        <v>198</v>
      </c>
      <c r="E306" s="1" t="s">
        <v>206</v>
      </c>
      <c r="F306" s="1" t="n">
        <v>3510</v>
      </c>
      <c r="G306" s="4" t="n">
        <v>0</v>
      </c>
      <c r="H306" s="1" t="s">
        <v>318</v>
      </c>
    </row>
    <row r="307" customFormat="false" ht="12.8" hidden="false" customHeight="false" outlineLevel="0" collapsed="false">
      <c r="A307" s="1" t="s">
        <v>7</v>
      </c>
      <c r="B307" s="1" t="n">
        <v>19</v>
      </c>
      <c r="C307" s="1" t="n">
        <v>17</v>
      </c>
      <c r="D307" s="1" t="s">
        <v>206</v>
      </c>
      <c r="E307" s="1" t="s">
        <v>208</v>
      </c>
      <c r="F307" s="1" t="n">
        <v>3510</v>
      </c>
      <c r="G307" s="4" t="n">
        <v>0</v>
      </c>
      <c r="H307" s="1" t="s">
        <v>314</v>
      </c>
    </row>
    <row r="308" customFormat="false" ht="12.8" hidden="false" customHeight="false" outlineLevel="0" collapsed="false">
      <c r="A308" s="1" t="s">
        <v>7</v>
      </c>
      <c r="B308" s="1" t="n">
        <v>19</v>
      </c>
      <c r="C308" s="1" t="n">
        <v>18</v>
      </c>
      <c r="D308" s="1" t="s">
        <v>208</v>
      </c>
      <c r="E308" s="1" t="s">
        <v>207</v>
      </c>
      <c r="F308" s="1" t="n">
        <v>3510</v>
      </c>
      <c r="G308" s="4" t="n">
        <v>0</v>
      </c>
      <c r="H308" s="1" t="s">
        <v>315</v>
      </c>
    </row>
    <row r="309" customFormat="false" ht="12.8" hidden="false" customHeight="false" outlineLevel="0" collapsed="false">
      <c r="A309" s="1" t="s">
        <v>7</v>
      </c>
      <c r="B309" s="1" t="n">
        <v>19</v>
      </c>
      <c r="C309" s="1" t="n">
        <v>19</v>
      </c>
      <c r="D309" s="1" t="s">
        <v>207</v>
      </c>
      <c r="E309" s="1" t="s">
        <v>198</v>
      </c>
      <c r="F309" s="1" t="n">
        <v>3510</v>
      </c>
      <c r="G309" s="4" t="n">
        <v>0</v>
      </c>
      <c r="H309" s="1" t="s">
        <v>309</v>
      </c>
    </row>
    <row r="310" customFormat="false" ht="12.8" hidden="false" customHeight="false" outlineLevel="0" collapsed="false">
      <c r="A310" s="1" t="s">
        <v>7</v>
      </c>
      <c r="B310" s="1" t="n">
        <v>19</v>
      </c>
      <c r="C310" s="1" t="n">
        <v>20</v>
      </c>
      <c r="D310" s="1" t="s">
        <v>198</v>
      </c>
      <c r="E310" s="1" t="s">
        <v>206</v>
      </c>
      <c r="F310" s="1" t="n">
        <v>3510</v>
      </c>
      <c r="G310" s="4" t="n">
        <v>0</v>
      </c>
      <c r="H310" s="1" t="s">
        <v>318</v>
      </c>
    </row>
    <row r="311" customFormat="false" ht="12.8" hidden="false" customHeight="false" outlineLevel="0" collapsed="false">
      <c r="A311" s="1" t="s">
        <v>7</v>
      </c>
      <c r="B311" s="1" t="n">
        <v>19</v>
      </c>
      <c r="C311" s="1" t="n">
        <v>21</v>
      </c>
      <c r="D311" s="1" t="s">
        <v>206</v>
      </c>
      <c r="E311" s="1" t="s">
        <v>208</v>
      </c>
      <c r="F311" s="1" t="n">
        <v>3510</v>
      </c>
      <c r="G311" s="4" t="n">
        <v>0</v>
      </c>
      <c r="H311" s="1" t="s">
        <v>314</v>
      </c>
    </row>
    <row r="312" customFormat="false" ht="12.8" hidden="false" customHeight="false" outlineLevel="0" collapsed="false">
      <c r="A312" s="1" t="s">
        <v>7</v>
      </c>
      <c r="B312" s="1" t="n">
        <v>19</v>
      </c>
      <c r="C312" s="1" t="n">
        <v>22</v>
      </c>
      <c r="D312" s="1" t="s">
        <v>208</v>
      </c>
      <c r="E312" s="1" t="s">
        <v>207</v>
      </c>
      <c r="F312" s="1" t="n">
        <v>3510</v>
      </c>
      <c r="G312" s="4" t="n">
        <v>0</v>
      </c>
      <c r="H312" s="1" t="s">
        <v>315</v>
      </c>
    </row>
    <row r="313" customFormat="false" ht="12.8" hidden="false" customHeight="false" outlineLevel="0" collapsed="false">
      <c r="A313" s="1" t="s">
        <v>7</v>
      </c>
      <c r="B313" s="1" t="n">
        <v>19</v>
      </c>
      <c r="C313" s="1" t="n">
        <v>23</v>
      </c>
      <c r="D313" s="1" t="s">
        <v>207</v>
      </c>
      <c r="E313" s="1" t="s">
        <v>198</v>
      </c>
      <c r="F313" s="1" t="n">
        <v>3510</v>
      </c>
      <c r="G313" s="4" t="n">
        <v>0</v>
      </c>
      <c r="H313" s="1" t="s">
        <v>309</v>
      </c>
    </row>
    <row r="314" customFormat="false" ht="12.8" hidden="false" customHeight="false" outlineLevel="0" collapsed="false">
      <c r="A314" s="1" t="s">
        <v>7</v>
      </c>
      <c r="B314" s="1" t="n">
        <v>19</v>
      </c>
      <c r="C314" s="1" t="n">
        <v>24</v>
      </c>
      <c r="D314" s="1" t="s">
        <v>198</v>
      </c>
      <c r="E314" s="1" t="s">
        <v>206</v>
      </c>
      <c r="F314" s="1" t="n">
        <v>3510</v>
      </c>
      <c r="G314" s="4" t="n">
        <v>0</v>
      </c>
      <c r="H314" s="1" t="s">
        <v>318</v>
      </c>
    </row>
    <row r="315" customFormat="false" ht="12.8" hidden="false" customHeight="false" outlineLevel="0" collapsed="false">
      <c r="A315" s="1" t="s">
        <v>7</v>
      </c>
      <c r="B315" s="1" t="n">
        <v>19</v>
      </c>
      <c r="C315" s="1" t="n">
        <v>25</v>
      </c>
      <c r="D315" s="1" t="s">
        <v>206</v>
      </c>
      <c r="E315" s="1" t="s">
        <v>208</v>
      </c>
      <c r="F315" s="1" t="n">
        <v>3510</v>
      </c>
      <c r="G315" s="4" t="n">
        <v>0</v>
      </c>
      <c r="H315" s="1" t="s">
        <v>314</v>
      </c>
    </row>
    <row r="316" customFormat="false" ht="12.8" hidden="false" customHeight="false" outlineLevel="0" collapsed="false">
      <c r="A316" s="1" t="s">
        <v>7</v>
      </c>
      <c r="B316" s="1" t="n">
        <v>19</v>
      </c>
      <c r="C316" s="1" t="n">
        <v>26</v>
      </c>
      <c r="D316" s="1" t="s">
        <v>208</v>
      </c>
      <c r="E316" s="1" t="s">
        <v>207</v>
      </c>
      <c r="F316" s="1" t="n">
        <v>3510</v>
      </c>
      <c r="G316" s="4" t="n">
        <v>0</v>
      </c>
      <c r="H316" s="1" t="s">
        <v>315</v>
      </c>
    </row>
    <row r="317" customFormat="false" ht="12.8" hidden="false" customHeight="false" outlineLevel="0" collapsed="false">
      <c r="A317" s="1" t="s">
        <v>7</v>
      </c>
      <c r="B317" s="1" t="n">
        <v>19</v>
      </c>
      <c r="C317" s="1" t="n">
        <v>27</v>
      </c>
      <c r="D317" s="1" t="s">
        <v>207</v>
      </c>
      <c r="E317" s="1" t="s">
        <v>198</v>
      </c>
      <c r="F317" s="1" t="n">
        <v>3510</v>
      </c>
      <c r="G317" s="4" t="n">
        <v>0</v>
      </c>
      <c r="H317" s="1" t="s">
        <v>309</v>
      </c>
    </row>
    <row r="318" customFormat="false" ht="12.8" hidden="false" customHeight="false" outlineLevel="0" collapsed="false">
      <c r="A318" s="1" t="s">
        <v>7</v>
      </c>
      <c r="B318" s="1" t="n">
        <v>19</v>
      </c>
      <c r="C318" s="1" t="n">
        <v>28</v>
      </c>
      <c r="D318" s="1" t="s">
        <v>198</v>
      </c>
      <c r="E318" s="1" t="s">
        <v>206</v>
      </c>
      <c r="F318" s="1" t="n">
        <v>3510</v>
      </c>
      <c r="G318" s="4" t="n">
        <v>0</v>
      </c>
      <c r="H318" s="1" t="s">
        <v>318</v>
      </c>
    </row>
    <row r="319" customFormat="false" ht="12.8" hidden="false" customHeight="false" outlineLevel="0" collapsed="false">
      <c r="A319" s="1" t="s">
        <v>7</v>
      </c>
      <c r="B319" s="1" t="n">
        <v>19</v>
      </c>
      <c r="C319" s="1" t="n">
        <v>29</v>
      </c>
      <c r="D319" s="1" t="s">
        <v>206</v>
      </c>
      <c r="E319" s="1" t="s">
        <v>210</v>
      </c>
      <c r="F319" s="1" t="n">
        <v>3510</v>
      </c>
      <c r="G319" s="4" t="n">
        <v>0</v>
      </c>
      <c r="H319" s="1" t="s">
        <v>319</v>
      </c>
    </row>
    <row r="320" customFormat="false" ht="12.8" hidden="false" customHeight="false" outlineLevel="0" collapsed="false">
      <c r="A320" s="1" t="s">
        <v>7</v>
      </c>
      <c r="B320" s="1" t="n">
        <v>20</v>
      </c>
      <c r="C320" s="1" t="n">
        <v>1</v>
      </c>
      <c r="D320" s="1" t="s">
        <v>210</v>
      </c>
      <c r="E320" s="1" t="s">
        <v>206</v>
      </c>
      <c r="F320" s="1" t="n">
        <v>3350</v>
      </c>
      <c r="G320" s="4" t="n">
        <v>1</v>
      </c>
      <c r="H320" s="1" t="s">
        <v>320</v>
      </c>
    </row>
    <row r="321" customFormat="false" ht="12.8" hidden="false" customHeight="false" outlineLevel="0" collapsed="false">
      <c r="A321" s="1" t="s">
        <v>7</v>
      </c>
      <c r="B321" s="1" t="n">
        <v>20</v>
      </c>
      <c r="C321" s="1" t="n">
        <v>2</v>
      </c>
      <c r="D321" s="1" t="s">
        <v>206</v>
      </c>
      <c r="E321" s="1" t="s">
        <v>198</v>
      </c>
      <c r="F321" s="1" t="n">
        <v>3350</v>
      </c>
      <c r="G321" s="4" t="n">
        <v>1</v>
      </c>
      <c r="H321" s="1" t="s">
        <v>321</v>
      </c>
    </row>
    <row r="322" customFormat="false" ht="12.8" hidden="false" customHeight="false" outlineLevel="0" collapsed="false">
      <c r="A322" s="1" t="s">
        <v>7</v>
      </c>
      <c r="B322" s="1" t="n">
        <v>20</v>
      </c>
      <c r="C322" s="1" t="n">
        <v>3</v>
      </c>
      <c r="D322" s="1" t="s">
        <v>198</v>
      </c>
      <c r="E322" s="1" t="s">
        <v>207</v>
      </c>
      <c r="F322" s="1" t="n">
        <v>3350</v>
      </c>
      <c r="G322" s="4" t="n">
        <v>1</v>
      </c>
      <c r="H322" s="1" t="s">
        <v>322</v>
      </c>
    </row>
    <row r="323" customFormat="false" ht="12.8" hidden="false" customHeight="false" outlineLevel="0" collapsed="false">
      <c r="A323" s="1" t="s">
        <v>7</v>
      </c>
      <c r="B323" s="1" t="n">
        <v>20</v>
      </c>
      <c r="C323" s="1" t="n">
        <v>4</v>
      </c>
      <c r="D323" s="1" t="s">
        <v>207</v>
      </c>
      <c r="E323" s="1" t="s">
        <v>208</v>
      </c>
      <c r="F323" s="1" t="n">
        <v>3350</v>
      </c>
      <c r="G323" s="4" t="n">
        <v>1</v>
      </c>
      <c r="H323" s="1" t="s">
        <v>323</v>
      </c>
    </row>
    <row r="324" customFormat="false" ht="12.8" hidden="false" customHeight="false" outlineLevel="0" collapsed="false">
      <c r="A324" s="1" t="s">
        <v>7</v>
      </c>
      <c r="B324" s="1" t="n">
        <v>20</v>
      </c>
      <c r="C324" s="1" t="n">
        <v>5</v>
      </c>
      <c r="D324" s="1" t="s">
        <v>208</v>
      </c>
      <c r="E324" s="1" t="s">
        <v>206</v>
      </c>
      <c r="F324" s="1" t="n">
        <v>3350</v>
      </c>
      <c r="G324" s="4" t="n">
        <v>1</v>
      </c>
      <c r="H324" s="1" t="s">
        <v>324</v>
      </c>
    </row>
    <row r="325" customFormat="false" ht="12.8" hidden="false" customHeight="false" outlineLevel="0" collapsed="false">
      <c r="A325" s="1" t="s">
        <v>7</v>
      </c>
      <c r="B325" s="1" t="n">
        <v>20</v>
      </c>
      <c r="C325" s="1" t="n">
        <v>6</v>
      </c>
      <c r="D325" s="1" t="s">
        <v>206</v>
      </c>
      <c r="E325" s="1" t="s">
        <v>198</v>
      </c>
      <c r="F325" s="1" t="n">
        <v>3350</v>
      </c>
      <c r="G325" s="4" t="n">
        <v>1</v>
      </c>
      <c r="H325" s="1" t="s">
        <v>321</v>
      </c>
    </row>
    <row r="326" customFormat="false" ht="12.8" hidden="false" customHeight="false" outlineLevel="0" collapsed="false">
      <c r="A326" s="1" t="s">
        <v>7</v>
      </c>
      <c r="B326" s="1" t="n">
        <v>20</v>
      </c>
      <c r="C326" s="1" t="n">
        <v>7</v>
      </c>
      <c r="D326" s="1" t="s">
        <v>198</v>
      </c>
      <c r="E326" s="1" t="s">
        <v>207</v>
      </c>
      <c r="F326" s="1" t="n">
        <v>3350</v>
      </c>
      <c r="G326" s="4" t="n">
        <v>1</v>
      </c>
      <c r="H326" s="1" t="s">
        <v>322</v>
      </c>
    </row>
    <row r="327" customFormat="false" ht="12.8" hidden="false" customHeight="false" outlineLevel="0" collapsed="false">
      <c r="A327" s="1" t="s">
        <v>7</v>
      </c>
      <c r="B327" s="1" t="n">
        <v>20</v>
      </c>
      <c r="C327" s="1" t="n">
        <v>8</v>
      </c>
      <c r="D327" s="1" t="s">
        <v>207</v>
      </c>
      <c r="E327" s="1" t="s">
        <v>208</v>
      </c>
      <c r="F327" s="1" t="n">
        <v>3350</v>
      </c>
      <c r="G327" s="4" t="n">
        <v>1</v>
      </c>
      <c r="H327" s="1" t="s">
        <v>323</v>
      </c>
    </row>
    <row r="328" customFormat="false" ht="12.8" hidden="false" customHeight="false" outlineLevel="0" collapsed="false">
      <c r="A328" s="1" t="s">
        <v>7</v>
      </c>
      <c r="B328" s="1" t="n">
        <v>20</v>
      </c>
      <c r="C328" s="1" t="n">
        <v>9</v>
      </c>
      <c r="D328" s="1" t="s">
        <v>208</v>
      </c>
      <c r="E328" s="1" t="s">
        <v>206</v>
      </c>
      <c r="F328" s="1" t="n">
        <v>3350</v>
      </c>
      <c r="G328" s="4" t="n">
        <v>1</v>
      </c>
      <c r="H328" s="1" t="s">
        <v>324</v>
      </c>
    </row>
    <row r="329" customFormat="false" ht="12.8" hidden="false" customHeight="false" outlineLevel="0" collapsed="false">
      <c r="A329" s="1" t="s">
        <v>7</v>
      </c>
      <c r="B329" s="1" t="n">
        <v>20</v>
      </c>
      <c r="C329" s="1" t="n">
        <v>10</v>
      </c>
      <c r="D329" s="1" t="s">
        <v>206</v>
      </c>
      <c r="E329" s="1" t="s">
        <v>198</v>
      </c>
      <c r="F329" s="1" t="n">
        <v>3350</v>
      </c>
      <c r="G329" s="4" t="n">
        <v>1</v>
      </c>
      <c r="H329" s="1" t="s">
        <v>321</v>
      </c>
    </row>
    <row r="330" customFormat="false" ht="12.8" hidden="false" customHeight="false" outlineLevel="0" collapsed="false">
      <c r="A330" s="1" t="s">
        <v>7</v>
      </c>
      <c r="B330" s="1" t="n">
        <v>20</v>
      </c>
      <c r="C330" s="1" t="n">
        <v>11</v>
      </c>
      <c r="D330" s="1" t="s">
        <v>198</v>
      </c>
      <c r="E330" s="1" t="s">
        <v>207</v>
      </c>
      <c r="F330" s="1" t="n">
        <v>3350</v>
      </c>
      <c r="G330" s="4" t="n">
        <v>1</v>
      </c>
      <c r="H330" s="1" t="s">
        <v>322</v>
      </c>
    </row>
    <row r="331" customFormat="false" ht="12.8" hidden="false" customHeight="false" outlineLevel="0" collapsed="false">
      <c r="A331" s="1" t="s">
        <v>7</v>
      </c>
      <c r="B331" s="1" t="n">
        <v>20</v>
      </c>
      <c r="C331" s="1" t="n">
        <v>12</v>
      </c>
      <c r="D331" s="1" t="s">
        <v>207</v>
      </c>
      <c r="E331" s="1" t="s">
        <v>208</v>
      </c>
      <c r="F331" s="1" t="n">
        <v>3350</v>
      </c>
      <c r="G331" s="4" t="n">
        <v>1</v>
      </c>
      <c r="H331" s="1" t="s">
        <v>323</v>
      </c>
    </row>
    <row r="332" customFormat="false" ht="12.8" hidden="false" customHeight="false" outlineLevel="0" collapsed="false">
      <c r="A332" s="1" t="s">
        <v>7</v>
      </c>
      <c r="B332" s="1" t="n">
        <v>20</v>
      </c>
      <c r="C332" s="1" t="n">
        <v>13</v>
      </c>
      <c r="D332" s="1" t="s">
        <v>208</v>
      </c>
      <c r="E332" s="1" t="s">
        <v>206</v>
      </c>
      <c r="F332" s="1" t="n">
        <v>3350</v>
      </c>
      <c r="G332" s="4" t="n">
        <v>1</v>
      </c>
      <c r="H332" s="1" t="s">
        <v>324</v>
      </c>
    </row>
    <row r="333" customFormat="false" ht="12.8" hidden="false" customHeight="false" outlineLevel="0" collapsed="false">
      <c r="A333" s="1" t="s">
        <v>7</v>
      </c>
      <c r="B333" s="1" t="n">
        <v>20</v>
      </c>
      <c r="C333" s="1" t="n">
        <v>14</v>
      </c>
      <c r="D333" s="1" t="s">
        <v>206</v>
      </c>
      <c r="E333" s="1" t="s">
        <v>198</v>
      </c>
      <c r="F333" s="1" t="n">
        <v>3350</v>
      </c>
      <c r="G333" s="4" t="n">
        <v>2</v>
      </c>
      <c r="H333" s="1" t="s">
        <v>357</v>
      </c>
    </row>
    <row r="334" customFormat="false" ht="12.8" hidden="false" customHeight="false" outlineLevel="0" collapsed="false">
      <c r="A334" s="1" t="s">
        <v>7</v>
      </c>
      <c r="B334" s="1" t="n">
        <v>20</v>
      </c>
      <c r="C334" s="1" t="n">
        <v>15</v>
      </c>
      <c r="D334" s="1" t="s">
        <v>198</v>
      </c>
      <c r="E334" s="1" t="s">
        <v>207</v>
      </c>
      <c r="F334" s="1" t="n">
        <v>3350</v>
      </c>
      <c r="G334" s="4" t="n">
        <v>2</v>
      </c>
      <c r="H334" s="1" t="s">
        <v>358</v>
      </c>
    </row>
    <row r="335" customFormat="false" ht="12.8" hidden="false" customHeight="false" outlineLevel="0" collapsed="false">
      <c r="A335" s="1" t="s">
        <v>7</v>
      </c>
      <c r="B335" s="1" t="n">
        <v>20</v>
      </c>
      <c r="C335" s="1" t="n">
        <v>16</v>
      </c>
      <c r="D335" s="1" t="s">
        <v>207</v>
      </c>
      <c r="E335" s="1" t="s">
        <v>206</v>
      </c>
      <c r="F335" s="1" t="n">
        <v>3350</v>
      </c>
      <c r="G335" s="4" t="n">
        <v>1</v>
      </c>
      <c r="H335" s="1" t="s">
        <v>327</v>
      </c>
    </row>
    <row r="336" customFormat="false" ht="12.8" hidden="false" customHeight="false" outlineLevel="0" collapsed="false">
      <c r="A336" s="1" t="s">
        <v>7</v>
      </c>
      <c r="B336" s="1" t="n">
        <v>20</v>
      </c>
      <c r="C336" s="1" t="n">
        <v>17</v>
      </c>
      <c r="D336" s="1" t="s">
        <v>206</v>
      </c>
      <c r="E336" s="1" t="s">
        <v>208</v>
      </c>
      <c r="F336" s="1" t="n">
        <v>3350</v>
      </c>
      <c r="G336" s="4" t="n">
        <v>1</v>
      </c>
      <c r="H336" s="1" t="s">
        <v>328</v>
      </c>
    </row>
    <row r="337" customFormat="false" ht="12.8" hidden="false" customHeight="false" outlineLevel="0" collapsed="false">
      <c r="A337" s="1" t="s">
        <v>7</v>
      </c>
      <c r="B337" s="1" t="n">
        <v>20</v>
      </c>
      <c r="C337" s="1" t="n">
        <v>18</v>
      </c>
      <c r="D337" s="1" t="s">
        <v>208</v>
      </c>
      <c r="E337" s="1" t="s">
        <v>198</v>
      </c>
      <c r="F337" s="1" t="n">
        <v>3350</v>
      </c>
      <c r="G337" s="4" t="n">
        <v>1</v>
      </c>
      <c r="H337" s="1" t="s">
        <v>331</v>
      </c>
    </row>
    <row r="338" customFormat="false" ht="12.8" hidden="false" customHeight="false" outlineLevel="0" collapsed="false">
      <c r="A338" s="1" t="s">
        <v>7</v>
      </c>
      <c r="B338" s="1" t="n">
        <v>20</v>
      </c>
      <c r="C338" s="1" t="n">
        <v>19</v>
      </c>
      <c r="D338" s="1" t="s">
        <v>198</v>
      </c>
      <c r="E338" s="1" t="s">
        <v>207</v>
      </c>
      <c r="F338" s="1" t="n">
        <v>3350</v>
      </c>
      <c r="G338" s="4" t="n">
        <v>1</v>
      </c>
      <c r="H338" s="1" t="s">
        <v>322</v>
      </c>
    </row>
    <row r="339" customFormat="false" ht="12.8" hidden="false" customHeight="false" outlineLevel="0" collapsed="false">
      <c r="A339" s="1" t="s">
        <v>7</v>
      </c>
      <c r="B339" s="1" t="n">
        <v>20</v>
      </c>
      <c r="C339" s="1" t="n">
        <v>20</v>
      </c>
      <c r="D339" s="1" t="s">
        <v>207</v>
      </c>
      <c r="E339" s="1" t="s">
        <v>206</v>
      </c>
      <c r="F339" s="1" t="n">
        <v>3350</v>
      </c>
      <c r="G339" s="4" t="n">
        <v>1</v>
      </c>
      <c r="H339" s="1" t="s">
        <v>327</v>
      </c>
    </row>
    <row r="340" customFormat="false" ht="12.8" hidden="false" customHeight="false" outlineLevel="0" collapsed="false">
      <c r="A340" s="1" t="s">
        <v>7</v>
      </c>
      <c r="B340" s="1" t="n">
        <v>20</v>
      </c>
      <c r="C340" s="1" t="n">
        <v>21</v>
      </c>
      <c r="D340" s="1" t="s">
        <v>206</v>
      </c>
      <c r="E340" s="1" t="s">
        <v>208</v>
      </c>
      <c r="F340" s="1" t="n">
        <v>3350</v>
      </c>
      <c r="G340" s="4" t="n">
        <v>1</v>
      </c>
      <c r="H340" s="1" t="s">
        <v>328</v>
      </c>
    </row>
    <row r="341" customFormat="false" ht="12.8" hidden="false" customHeight="false" outlineLevel="0" collapsed="false">
      <c r="A341" s="1" t="s">
        <v>7</v>
      </c>
      <c r="B341" s="1" t="n">
        <v>20</v>
      </c>
      <c r="C341" s="1" t="n">
        <v>22</v>
      </c>
      <c r="D341" s="1" t="s">
        <v>208</v>
      </c>
      <c r="E341" s="1" t="s">
        <v>198</v>
      </c>
      <c r="F341" s="1" t="n">
        <v>3350</v>
      </c>
      <c r="G341" s="4" t="n">
        <v>1</v>
      </c>
      <c r="H341" s="1" t="s">
        <v>331</v>
      </c>
    </row>
    <row r="342" customFormat="false" ht="12.8" hidden="false" customHeight="false" outlineLevel="0" collapsed="false">
      <c r="A342" s="1" t="s">
        <v>7</v>
      </c>
      <c r="B342" s="1" t="n">
        <v>20</v>
      </c>
      <c r="C342" s="1" t="n">
        <v>23</v>
      </c>
      <c r="D342" s="1" t="s">
        <v>198</v>
      </c>
      <c r="E342" s="1" t="s">
        <v>207</v>
      </c>
      <c r="F342" s="1" t="n">
        <v>3350</v>
      </c>
      <c r="G342" s="4" t="n">
        <v>1</v>
      </c>
      <c r="H342" s="1" t="s">
        <v>322</v>
      </c>
    </row>
    <row r="343" customFormat="false" ht="12.8" hidden="false" customHeight="false" outlineLevel="0" collapsed="false">
      <c r="A343" s="1" t="s">
        <v>7</v>
      </c>
      <c r="B343" s="1" t="n">
        <v>20</v>
      </c>
      <c r="C343" s="1" t="n">
        <v>24</v>
      </c>
      <c r="D343" s="1" t="s">
        <v>207</v>
      </c>
      <c r="E343" s="1" t="s">
        <v>206</v>
      </c>
      <c r="F343" s="1" t="n">
        <v>3350</v>
      </c>
      <c r="G343" s="4" t="n">
        <v>1</v>
      </c>
      <c r="H343" s="1" t="s">
        <v>327</v>
      </c>
    </row>
    <row r="344" customFormat="false" ht="12.8" hidden="false" customHeight="false" outlineLevel="0" collapsed="false">
      <c r="A344" s="1" t="s">
        <v>7</v>
      </c>
      <c r="B344" s="1" t="n">
        <v>20</v>
      </c>
      <c r="C344" s="1" t="n">
        <v>25</v>
      </c>
      <c r="D344" s="1" t="s">
        <v>206</v>
      </c>
      <c r="E344" s="1" t="s">
        <v>208</v>
      </c>
      <c r="F344" s="1" t="n">
        <v>3350</v>
      </c>
      <c r="G344" s="4" t="n">
        <v>1</v>
      </c>
      <c r="H344" s="1" t="s">
        <v>328</v>
      </c>
    </row>
    <row r="345" customFormat="false" ht="12.8" hidden="false" customHeight="false" outlineLevel="0" collapsed="false">
      <c r="A345" s="1" t="s">
        <v>7</v>
      </c>
      <c r="B345" s="1" t="n">
        <v>20</v>
      </c>
      <c r="C345" s="1" t="n">
        <v>26</v>
      </c>
      <c r="D345" s="1" t="s">
        <v>208</v>
      </c>
      <c r="E345" s="1" t="s">
        <v>198</v>
      </c>
      <c r="F345" s="1" t="n">
        <v>3350</v>
      </c>
      <c r="G345" s="4" t="n">
        <v>1</v>
      </c>
      <c r="H345" s="1" t="s">
        <v>331</v>
      </c>
    </row>
    <row r="346" customFormat="false" ht="12.8" hidden="false" customHeight="false" outlineLevel="0" collapsed="false">
      <c r="A346" s="1" t="s">
        <v>7</v>
      </c>
      <c r="B346" s="1" t="n">
        <v>20</v>
      </c>
      <c r="C346" s="1" t="n">
        <v>27</v>
      </c>
      <c r="D346" s="1" t="s">
        <v>198</v>
      </c>
      <c r="E346" s="1" t="s">
        <v>207</v>
      </c>
      <c r="F346" s="1" t="n">
        <v>3350</v>
      </c>
      <c r="G346" s="4" t="n">
        <v>1</v>
      </c>
      <c r="H346" s="1" t="s">
        <v>322</v>
      </c>
    </row>
    <row r="347" customFormat="false" ht="12.8" hidden="false" customHeight="false" outlineLevel="0" collapsed="false">
      <c r="A347" s="1" t="s">
        <v>7</v>
      </c>
      <c r="B347" s="1" t="n">
        <v>20</v>
      </c>
      <c r="C347" s="1" t="n">
        <v>28</v>
      </c>
      <c r="D347" s="1" t="s">
        <v>207</v>
      </c>
      <c r="E347" s="1" t="s">
        <v>206</v>
      </c>
      <c r="F347" s="1" t="n">
        <v>3350</v>
      </c>
      <c r="G347" s="4" t="n">
        <v>1</v>
      </c>
      <c r="H347" s="1" t="s">
        <v>327</v>
      </c>
    </row>
    <row r="348" customFormat="false" ht="12.8" hidden="false" customHeight="false" outlineLevel="0" collapsed="false">
      <c r="A348" s="1" t="s">
        <v>7</v>
      </c>
      <c r="B348" s="1" t="n">
        <v>20</v>
      </c>
      <c r="C348" s="1" t="n">
        <v>29</v>
      </c>
      <c r="D348" s="1" t="s">
        <v>206</v>
      </c>
      <c r="E348" s="1" t="s">
        <v>210</v>
      </c>
      <c r="F348" s="1" t="n">
        <v>3350</v>
      </c>
      <c r="G348" s="4" t="n">
        <v>1</v>
      </c>
      <c r="H348" s="1" t="s">
        <v>332</v>
      </c>
    </row>
    <row r="349" customFormat="false" ht="12.8" hidden="false" customHeight="false" outlineLevel="0" collapsed="false">
      <c r="A349" s="1" t="s">
        <v>7</v>
      </c>
      <c r="B349" s="1" t="n">
        <v>57</v>
      </c>
      <c r="C349" s="1" t="n">
        <v>1</v>
      </c>
      <c r="D349" s="1" t="s">
        <v>210</v>
      </c>
      <c r="E349" s="1" t="s">
        <v>204</v>
      </c>
      <c r="F349" s="1" t="n">
        <v>5360</v>
      </c>
      <c r="G349" s="4" t="n">
        <v>0</v>
      </c>
      <c r="H349" s="1" t="s">
        <v>333</v>
      </c>
    </row>
    <row r="350" customFormat="false" ht="12.8" hidden="false" customHeight="false" outlineLevel="0" collapsed="false">
      <c r="A350" s="1" t="s">
        <v>7</v>
      </c>
      <c r="B350" s="1" t="n">
        <v>57</v>
      </c>
      <c r="C350" s="1" t="n">
        <v>2</v>
      </c>
      <c r="D350" s="1" t="s">
        <v>204</v>
      </c>
      <c r="E350" s="1" t="s">
        <v>207</v>
      </c>
      <c r="F350" s="1" t="n">
        <v>5360</v>
      </c>
      <c r="G350" s="4" t="n">
        <v>0</v>
      </c>
      <c r="H350" s="1" t="s">
        <v>334</v>
      </c>
    </row>
    <row r="351" customFormat="false" ht="12.8" hidden="false" customHeight="false" outlineLevel="0" collapsed="false">
      <c r="A351" s="1" t="s">
        <v>7</v>
      </c>
      <c r="B351" s="1" t="n">
        <v>57</v>
      </c>
      <c r="C351" s="1" t="n">
        <v>3</v>
      </c>
      <c r="D351" s="1" t="s">
        <v>207</v>
      </c>
      <c r="E351" s="1" t="s">
        <v>198</v>
      </c>
      <c r="F351" s="1" t="n">
        <v>5360</v>
      </c>
      <c r="G351" s="4" t="n">
        <v>0</v>
      </c>
      <c r="H351" s="1" t="s">
        <v>335</v>
      </c>
    </row>
    <row r="352" customFormat="false" ht="12.8" hidden="false" customHeight="false" outlineLevel="0" collapsed="false">
      <c r="A352" s="1" t="s">
        <v>7</v>
      </c>
      <c r="B352" s="1" t="n">
        <v>57</v>
      </c>
      <c r="C352" s="1" t="n">
        <v>4</v>
      </c>
      <c r="D352" s="1" t="s">
        <v>198</v>
      </c>
      <c r="E352" s="1" t="s">
        <v>208</v>
      </c>
      <c r="F352" s="1" t="n">
        <v>5360</v>
      </c>
      <c r="G352" s="4" t="n">
        <v>0</v>
      </c>
      <c r="H352" s="1" t="s">
        <v>336</v>
      </c>
    </row>
    <row r="353" customFormat="false" ht="12.8" hidden="false" customHeight="false" outlineLevel="0" collapsed="false">
      <c r="A353" s="1" t="s">
        <v>7</v>
      </c>
      <c r="B353" s="1" t="n">
        <v>57</v>
      </c>
      <c r="C353" s="1" t="n">
        <v>5</v>
      </c>
      <c r="D353" s="1" t="s">
        <v>208</v>
      </c>
      <c r="E353" s="1" t="s">
        <v>204</v>
      </c>
      <c r="F353" s="1" t="n">
        <v>5360</v>
      </c>
      <c r="G353" s="4" t="n">
        <v>0</v>
      </c>
      <c r="H353" s="1" t="s">
        <v>337</v>
      </c>
    </row>
    <row r="354" customFormat="false" ht="12.8" hidden="false" customHeight="false" outlineLevel="0" collapsed="false">
      <c r="A354" s="1" t="s">
        <v>7</v>
      </c>
      <c r="B354" s="1" t="n">
        <v>57</v>
      </c>
      <c r="C354" s="1" t="n">
        <v>6</v>
      </c>
      <c r="D354" s="1" t="s">
        <v>204</v>
      </c>
      <c r="E354" s="1" t="s">
        <v>207</v>
      </c>
      <c r="F354" s="1" t="n">
        <v>5360</v>
      </c>
      <c r="G354" s="4" t="n">
        <v>0</v>
      </c>
      <c r="H354" s="1" t="s">
        <v>334</v>
      </c>
    </row>
    <row r="355" customFormat="false" ht="12.8" hidden="false" customHeight="false" outlineLevel="0" collapsed="false">
      <c r="A355" s="1" t="s">
        <v>7</v>
      </c>
      <c r="B355" s="1" t="n">
        <v>57</v>
      </c>
      <c r="C355" s="1" t="n">
        <v>7</v>
      </c>
      <c r="D355" s="1" t="s">
        <v>207</v>
      </c>
      <c r="E355" s="1" t="s">
        <v>198</v>
      </c>
      <c r="F355" s="1" t="n">
        <v>5360</v>
      </c>
      <c r="G355" s="4" t="n">
        <v>0</v>
      </c>
      <c r="H355" s="1" t="s">
        <v>335</v>
      </c>
    </row>
    <row r="356" customFormat="false" ht="12.8" hidden="false" customHeight="false" outlineLevel="0" collapsed="false">
      <c r="A356" s="1" t="s">
        <v>7</v>
      </c>
      <c r="B356" s="1" t="n">
        <v>57</v>
      </c>
      <c r="C356" s="1" t="n">
        <v>8</v>
      </c>
      <c r="D356" s="1" t="s">
        <v>198</v>
      </c>
      <c r="E356" s="1" t="s">
        <v>208</v>
      </c>
      <c r="F356" s="1" t="n">
        <v>5360</v>
      </c>
      <c r="G356" s="4" t="n">
        <v>0</v>
      </c>
      <c r="H356" s="1" t="s">
        <v>336</v>
      </c>
    </row>
    <row r="357" customFormat="false" ht="12.8" hidden="false" customHeight="false" outlineLevel="0" collapsed="false">
      <c r="A357" s="1" t="s">
        <v>7</v>
      </c>
      <c r="B357" s="1" t="n">
        <v>57</v>
      </c>
      <c r="C357" s="1" t="n">
        <v>9</v>
      </c>
      <c r="D357" s="1" t="s">
        <v>208</v>
      </c>
      <c r="E357" s="1" t="s">
        <v>204</v>
      </c>
      <c r="F357" s="1" t="n">
        <v>5360</v>
      </c>
      <c r="G357" s="4" t="n">
        <v>0</v>
      </c>
      <c r="H357" s="1" t="s">
        <v>337</v>
      </c>
    </row>
    <row r="358" customFormat="false" ht="12.8" hidden="false" customHeight="false" outlineLevel="0" collapsed="false">
      <c r="A358" s="1" t="s">
        <v>7</v>
      </c>
      <c r="B358" s="1" t="n">
        <v>57</v>
      </c>
      <c r="C358" s="1" t="n">
        <v>10</v>
      </c>
      <c r="D358" s="1" t="s">
        <v>204</v>
      </c>
      <c r="E358" s="1" t="s">
        <v>207</v>
      </c>
      <c r="F358" s="1" t="n">
        <v>5360</v>
      </c>
      <c r="G358" s="4" t="n">
        <v>0</v>
      </c>
      <c r="H358" s="1" t="s">
        <v>334</v>
      </c>
    </row>
    <row r="359" customFormat="false" ht="12.8" hidden="false" customHeight="false" outlineLevel="0" collapsed="false">
      <c r="A359" s="1" t="s">
        <v>7</v>
      </c>
      <c r="B359" s="1" t="n">
        <v>57</v>
      </c>
      <c r="C359" s="1" t="n">
        <v>11</v>
      </c>
      <c r="D359" s="1" t="s">
        <v>207</v>
      </c>
      <c r="E359" s="1" t="s">
        <v>198</v>
      </c>
      <c r="F359" s="1" t="n">
        <v>5360</v>
      </c>
      <c r="G359" s="4" t="n">
        <v>0</v>
      </c>
      <c r="H359" s="1" t="s">
        <v>335</v>
      </c>
    </row>
    <row r="360" customFormat="false" ht="12.8" hidden="false" customHeight="false" outlineLevel="0" collapsed="false">
      <c r="A360" s="1" t="s">
        <v>7</v>
      </c>
      <c r="B360" s="1" t="n">
        <v>57</v>
      </c>
      <c r="C360" s="1" t="n">
        <v>12</v>
      </c>
      <c r="D360" s="1" t="s">
        <v>198</v>
      </c>
      <c r="E360" s="1" t="s">
        <v>208</v>
      </c>
      <c r="F360" s="1" t="n">
        <v>5360</v>
      </c>
      <c r="G360" s="4" t="n">
        <v>0</v>
      </c>
      <c r="H360" s="1" t="s">
        <v>336</v>
      </c>
    </row>
    <row r="361" customFormat="false" ht="12.8" hidden="false" customHeight="false" outlineLevel="0" collapsed="false">
      <c r="A361" s="1" t="s">
        <v>7</v>
      </c>
      <c r="B361" s="1" t="n">
        <v>57</v>
      </c>
      <c r="C361" s="1" t="n">
        <v>13</v>
      </c>
      <c r="D361" s="1" t="s">
        <v>208</v>
      </c>
      <c r="E361" s="1" t="s">
        <v>204</v>
      </c>
      <c r="F361" s="1" t="n">
        <v>5360</v>
      </c>
      <c r="G361" s="4" t="n">
        <v>0</v>
      </c>
      <c r="H361" s="1" t="s">
        <v>337</v>
      </c>
    </row>
    <row r="362" customFormat="false" ht="12.8" hidden="false" customHeight="false" outlineLevel="0" collapsed="false">
      <c r="A362" s="1" t="s">
        <v>7</v>
      </c>
      <c r="B362" s="1" t="n">
        <v>57</v>
      </c>
      <c r="C362" s="1" t="n">
        <v>14</v>
      </c>
      <c r="D362" s="1" t="s">
        <v>204</v>
      </c>
      <c r="E362" s="1" t="s">
        <v>207</v>
      </c>
      <c r="F362" s="1" t="n">
        <v>5360</v>
      </c>
      <c r="G362" s="4" t="n">
        <v>0</v>
      </c>
      <c r="H362" s="1" t="s">
        <v>334</v>
      </c>
    </row>
    <row r="363" customFormat="false" ht="12.8" hidden="false" customHeight="false" outlineLevel="0" collapsed="false">
      <c r="A363" s="1" t="s">
        <v>7</v>
      </c>
      <c r="B363" s="1" t="n">
        <v>57</v>
      </c>
      <c r="C363" s="1" t="n">
        <v>15</v>
      </c>
      <c r="D363" s="1" t="s">
        <v>207</v>
      </c>
      <c r="E363" s="1" t="s">
        <v>198</v>
      </c>
      <c r="F363" s="1" t="n">
        <v>5360</v>
      </c>
      <c r="G363" s="4" t="n">
        <v>1</v>
      </c>
      <c r="H363" s="1" t="s">
        <v>359</v>
      </c>
    </row>
    <row r="364" customFormat="false" ht="12.8" hidden="false" customHeight="false" outlineLevel="0" collapsed="false">
      <c r="A364" s="1" t="s">
        <v>7</v>
      </c>
      <c r="B364" s="1" t="n">
        <v>57</v>
      </c>
      <c r="C364" s="1" t="n">
        <v>16</v>
      </c>
      <c r="D364" s="1" t="s">
        <v>198</v>
      </c>
      <c r="E364" s="1" t="s">
        <v>204</v>
      </c>
      <c r="F364" s="1" t="n">
        <v>5360</v>
      </c>
      <c r="G364" s="4" t="n">
        <v>0</v>
      </c>
      <c r="H364" s="1" t="s">
        <v>345</v>
      </c>
    </row>
    <row r="365" customFormat="false" ht="12.8" hidden="false" customHeight="false" outlineLevel="0" collapsed="false">
      <c r="A365" s="1" t="s">
        <v>7</v>
      </c>
      <c r="B365" s="1" t="n">
        <v>57</v>
      </c>
      <c r="C365" s="1" t="n">
        <v>17</v>
      </c>
      <c r="D365" s="1" t="s">
        <v>204</v>
      </c>
      <c r="E365" s="1" t="s">
        <v>208</v>
      </c>
      <c r="F365" s="1" t="n">
        <v>5360</v>
      </c>
      <c r="G365" s="4" t="n">
        <v>0</v>
      </c>
      <c r="H365" s="1" t="s">
        <v>340</v>
      </c>
    </row>
    <row r="366" customFormat="false" ht="12.8" hidden="false" customHeight="false" outlineLevel="0" collapsed="false">
      <c r="A366" s="1" t="s">
        <v>7</v>
      </c>
      <c r="B366" s="1" t="n">
        <v>57</v>
      </c>
      <c r="C366" s="1" t="n">
        <v>18</v>
      </c>
      <c r="D366" s="1" t="s">
        <v>208</v>
      </c>
      <c r="E366" s="1" t="s">
        <v>207</v>
      </c>
      <c r="F366" s="1" t="n">
        <v>5360</v>
      </c>
      <c r="G366" s="4" t="n">
        <v>1</v>
      </c>
      <c r="H366" s="1" t="s">
        <v>344</v>
      </c>
    </row>
    <row r="367" customFormat="false" ht="12.8" hidden="false" customHeight="false" outlineLevel="0" collapsed="false">
      <c r="A367" s="1" t="s">
        <v>7</v>
      </c>
      <c r="B367" s="1" t="n">
        <v>57</v>
      </c>
      <c r="C367" s="1" t="n">
        <v>19</v>
      </c>
      <c r="D367" s="1" t="s">
        <v>207</v>
      </c>
      <c r="E367" s="1" t="s">
        <v>198</v>
      </c>
      <c r="F367" s="1" t="n">
        <v>5360</v>
      </c>
      <c r="G367" s="4" t="n">
        <v>0</v>
      </c>
      <c r="H367" s="1" t="s">
        <v>335</v>
      </c>
    </row>
    <row r="368" customFormat="false" ht="12.8" hidden="false" customHeight="false" outlineLevel="0" collapsed="false">
      <c r="A368" s="1" t="s">
        <v>7</v>
      </c>
      <c r="B368" s="1" t="n">
        <v>57</v>
      </c>
      <c r="C368" s="1" t="n">
        <v>20</v>
      </c>
      <c r="D368" s="1" t="s">
        <v>198</v>
      </c>
      <c r="E368" s="1" t="s">
        <v>204</v>
      </c>
      <c r="F368" s="1" t="n">
        <v>5360</v>
      </c>
      <c r="G368" s="4" t="n">
        <v>0</v>
      </c>
      <c r="H368" s="1" t="s">
        <v>345</v>
      </c>
    </row>
    <row r="369" customFormat="false" ht="12.8" hidden="false" customHeight="false" outlineLevel="0" collapsed="false">
      <c r="A369" s="1" t="s">
        <v>7</v>
      </c>
      <c r="B369" s="1" t="n">
        <v>57</v>
      </c>
      <c r="C369" s="1" t="n">
        <v>21</v>
      </c>
      <c r="D369" s="1" t="s">
        <v>204</v>
      </c>
      <c r="E369" s="1" t="s">
        <v>208</v>
      </c>
      <c r="F369" s="1" t="n">
        <v>5360</v>
      </c>
      <c r="G369" s="4" t="n">
        <v>0</v>
      </c>
      <c r="H369" s="1" t="s">
        <v>340</v>
      </c>
    </row>
    <row r="370" customFormat="false" ht="12.8" hidden="false" customHeight="false" outlineLevel="0" collapsed="false">
      <c r="A370" s="1" t="s">
        <v>7</v>
      </c>
      <c r="B370" s="1" t="n">
        <v>57</v>
      </c>
      <c r="C370" s="1" t="n">
        <v>22</v>
      </c>
      <c r="D370" s="1" t="s">
        <v>208</v>
      </c>
      <c r="E370" s="1" t="s">
        <v>207</v>
      </c>
      <c r="F370" s="1" t="n">
        <v>5360</v>
      </c>
      <c r="G370" s="4" t="n">
        <v>1</v>
      </c>
      <c r="H370" s="1" t="s">
        <v>344</v>
      </c>
    </row>
    <row r="371" customFormat="false" ht="12.8" hidden="false" customHeight="false" outlineLevel="0" collapsed="false">
      <c r="A371" s="1" t="s">
        <v>7</v>
      </c>
      <c r="B371" s="1" t="n">
        <v>57</v>
      </c>
      <c r="C371" s="1" t="n">
        <v>23</v>
      </c>
      <c r="D371" s="1" t="s">
        <v>207</v>
      </c>
      <c r="E371" s="1" t="s">
        <v>198</v>
      </c>
      <c r="F371" s="1" t="n">
        <v>5360</v>
      </c>
      <c r="G371" s="4" t="n">
        <v>0</v>
      </c>
      <c r="H371" s="1" t="s">
        <v>335</v>
      </c>
    </row>
    <row r="372" customFormat="false" ht="12.8" hidden="false" customHeight="false" outlineLevel="0" collapsed="false">
      <c r="A372" s="1" t="s">
        <v>7</v>
      </c>
      <c r="B372" s="1" t="n">
        <v>57</v>
      </c>
      <c r="C372" s="1" t="n">
        <v>24</v>
      </c>
      <c r="D372" s="1" t="s">
        <v>198</v>
      </c>
      <c r="E372" s="1" t="s">
        <v>204</v>
      </c>
      <c r="F372" s="1" t="n">
        <v>5360</v>
      </c>
      <c r="G372" s="4" t="n">
        <v>0</v>
      </c>
      <c r="H372" s="1" t="s">
        <v>345</v>
      </c>
    </row>
    <row r="373" customFormat="false" ht="12.8" hidden="false" customHeight="false" outlineLevel="0" collapsed="false">
      <c r="A373" s="1" t="s">
        <v>7</v>
      </c>
      <c r="B373" s="1" t="n">
        <v>57</v>
      </c>
      <c r="C373" s="1" t="n">
        <v>25</v>
      </c>
      <c r="D373" s="1" t="s">
        <v>204</v>
      </c>
      <c r="E373" s="1" t="s">
        <v>208</v>
      </c>
      <c r="F373" s="1" t="n">
        <v>5360</v>
      </c>
      <c r="G373" s="4" t="n">
        <v>0</v>
      </c>
      <c r="H373" s="1" t="s">
        <v>340</v>
      </c>
    </row>
    <row r="374" customFormat="false" ht="12.8" hidden="false" customHeight="false" outlineLevel="0" collapsed="false">
      <c r="A374" s="1" t="s">
        <v>7</v>
      </c>
      <c r="B374" s="1" t="n">
        <v>57</v>
      </c>
      <c r="C374" s="1" t="n">
        <v>26</v>
      </c>
      <c r="D374" s="1" t="s">
        <v>208</v>
      </c>
      <c r="E374" s="1" t="s">
        <v>207</v>
      </c>
      <c r="F374" s="1" t="n">
        <v>5360</v>
      </c>
      <c r="G374" s="4" t="n">
        <v>1</v>
      </c>
      <c r="H374" s="1" t="s">
        <v>344</v>
      </c>
    </row>
    <row r="375" customFormat="false" ht="12.8" hidden="false" customHeight="false" outlineLevel="0" collapsed="false">
      <c r="A375" s="1" t="s">
        <v>7</v>
      </c>
      <c r="B375" s="1" t="n">
        <v>57</v>
      </c>
      <c r="C375" s="1" t="n">
        <v>27</v>
      </c>
      <c r="D375" s="1" t="s">
        <v>207</v>
      </c>
      <c r="E375" s="1" t="s">
        <v>198</v>
      </c>
      <c r="F375" s="1" t="n">
        <v>5360</v>
      </c>
      <c r="G375" s="4" t="n">
        <v>0</v>
      </c>
      <c r="H375" s="1" t="s">
        <v>335</v>
      </c>
    </row>
    <row r="376" customFormat="false" ht="12.8" hidden="false" customHeight="false" outlineLevel="0" collapsed="false">
      <c r="A376" s="1" t="s">
        <v>7</v>
      </c>
      <c r="B376" s="1" t="n">
        <v>57</v>
      </c>
      <c r="C376" s="1" t="n">
        <v>28</v>
      </c>
      <c r="D376" s="1" t="s">
        <v>198</v>
      </c>
      <c r="E376" s="1" t="s">
        <v>204</v>
      </c>
      <c r="F376" s="1" t="n">
        <v>5360</v>
      </c>
      <c r="G376" s="4" t="n">
        <v>0</v>
      </c>
      <c r="H376" s="1" t="s">
        <v>345</v>
      </c>
    </row>
    <row r="377" customFormat="false" ht="12.8" hidden="false" customHeight="false" outlineLevel="0" collapsed="false">
      <c r="A377" s="1" t="s">
        <v>7</v>
      </c>
      <c r="B377" s="1" t="n">
        <v>57</v>
      </c>
      <c r="C377" s="1" t="n">
        <v>29</v>
      </c>
      <c r="D377" s="1" t="s">
        <v>204</v>
      </c>
      <c r="E377" s="1" t="s">
        <v>210</v>
      </c>
      <c r="F377" s="1" t="n">
        <v>5360</v>
      </c>
      <c r="G377" s="4" t="n">
        <v>0</v>
      </c>
      <c r="H377" s="1" t="s">
        <v>346</v>
      </c>
    </row>
    <row r="378" customFormat="false" ht="12.8" hidden="false" customHeight="false" outlineLevel="0" collapsed="false">
      <c r="A378" s="1" t="s">
        <v>8</v>
      </c>
      <c r="B378" s="1" t="n">
        <v>2</v>
      </c>
      <c r="C378" s="1" t="n">
        <v>1</v>
      </c>
      <c r="F378" s="1" t="n">
        <v>3350</v>
      </c>
      <c r="G378" s="4" t="n">
        <v>0</v>
      </c>
      <c r="H378" s="1" t="s">
        <v>360</v>
      </c>
    </row>
    <row r="379" customFormat="false" ht="12.8" hidden="false" customHeight="false" outlineLevel="0" collapsed="false">
      <c r="A379" s="1" t="s">
        <v>8</v>
      </c>
      <c r="B379" s="1" t="n">
        <v>2</v>
      </c>
      <c r="C379" s="1" t="n">
        <v>2</v>
      </c>
      <c r="D379" s="1" t="s">
        <v>200</v>
      </c>
      <c r="E379" s="1" t="s">
        <v>211</v>
      </c>
      <c r="F379" s="1" t="n">
        <v>3350</v>
      </c>
      <c r="G379" s="4" t="n">
        <v>0</v>
      </c>
      <c r="H379" s="1" t="s">
        <v>361</v>
      </c>
    </row>
    <row r="380" customFormat="false" ht="12.8" hidden="false" customHeight="false" outlineLevel="0" collapsed="false">
      <c r="A380" s="1" t="s">
        <v>8</v>
      </c>
      <c r="B380" s="1" t="n">
        <v>2</v>
      </c>
      <c r="C380" s="1" t="n">
        <v>3</v>
      </c>
      <c r="D380" s="1" t="s">
        <v>211</v>
      </c>
      <c r="E380" s="1" t="s">
        <v>206</v>
      </c>
      <c r="F380" s="1" t="n">
        <v>3350</v>
      </c>
      <c r="G380" s="4" t="n">
        <v>0</v>
      </c>
      <c r="H380" s="1" t="s">
        <v>362</v>
      </c>
    </row>
    <row r="381" customFormat="false" ht="12.8" hidden="false" customHeight="false" outlineLevel="0" collapsed="false">
      <c r="A381" s="1" t="s">
        <v>8</v>
      </c>
      <c r="B381" s="1" t="n">
        <v>2</v>
      </c>
      <c r="C381" s="1" t="n">
        <v>4</v>
      </c>
      <c r="D381" s="1" t="s">
        <v>206</v>
      </c>
      <c r="E381" s="1" t="s">
        <v>198</v>
      </c>
      <c r="F381" s="1" t="n">
        <v>3350</v>
      </c>
      <c r="G381" s="4" t="n">
        <v>3</v>
      </c>
      <c r="H381" s="1" t="s">
        <v>363</v>
      </c>
    </row>
    <row r="382" customFormat="false" ht="12.8" hidden="false" customHeight="false" outlineLevel="0" collapsed="false">
      <c r="A382" s="1" t="s">
        <v>8</v>
      </c>
      <c r="B382" s="1" t="n">
        <v>2</v>
      </c>
      <c r="C382" s="1" t="n">
        <v>5</v>
      </c>
      <c r="D382" s="1" t="s">
        <v>198</v>
      </c>
      <c r="E382" s="1" t="s">
        <v>211</v>
      </c>
      <c r="F382" s="1" t="n">
        <v>3350</v>
      </c>
      <c r="G382" s="4" t="n">
        <v>0</v>
      </c>
      <c r="H382" s="1" t="s">
        <v>364</v>
      </c>
    </row>
    <row r="383" customFormat="false" ht="12.8" hidden="false" customHeight="false" outlineLevel="0" collapsed="false">
      <c r="A383" s="1" t="s">
        <v>8</v>
      </c>
      <c r="B383" s="1" t="n">
        <v>2</v>
      </c>
      <c r="C383" s="1" t="n">
        <v>6</v>
      </c>
      <c r="D383" s="1" t="s">
        <v>211</v>
      </c>
      <c r="E383" s="1" t="s">
        <v>206</v>
      </c>
      <c r="F383" s="1" t="n">
        <v>3350</v>
      </c>
      <c r="G383" s="4" t="n">
        <v>0</v>
      </c>
      <c r="H383" s="1" t="s">
        <v>362</v>
      </c>
    </row>
    <row r="384" customFormat="false" ht="12.8" hidden="false" customHeight="false" outlineLevel="0" collapsed="false">
      <c r="A384" s="1" t="s">
        <v>8</v>
      </c>
      <c r="B384" s="1" t="n">
        <v>2</v>
      </c>
      <c r="C384" s="1" t="n">
        <v>7</v>
      </c>
      <c r="D384" s="1" t="s">
        <v>206</v>
      </c>
      <c r="E384" s="1" t="s">
        <v>200</v>
      </c>
      <c r="F384" s="1" t="n">
        <v>3350</v>
      </c>
      <c r="G384" s="4" t="n">
        <v>2</v>
      </c>
      <c r="H384" s="1" t="s">
        <v>365</v>
      </c>
    </row>
    <row r="385" customFormat="false" ht="12.8" hidden="false" customHeight="false" outlineLevel="0" collapsed="false">
      <c r="A385" s="1" t="s">
        <v>8</v>
      </c>
      <c r="B385" s="1" t="n">
        <v>2</v>
      </c>
      <c r="C385" s="1" t="n">
        <v>8</v>
      </c>
      <c r="D385" s="1" t="s">
        <v>200</v>
      </c>
      <c r="E385" s="1" t="s">
        <v>211</v>
      </c>
      <c r="F385" s="1" t="n">
        <v>3350</v>
      </c>
      <c r="G385" s="4" t="n">
        <v>1</v>
      </c>
      <c r="H385" s="1" t="s">
        <v>366</v>
      </c>
    </row>
    <row r="386" customFormat="false" ht="12.8" hidden="false" customHeight="false" outlineLevel="0" collapsed="false">
      <c r="A386" s="1" t="s">
        <v>8</v>
      </c>
      <c r="B386" s="1" t="n">
        <v>2</v>
      </c>
      <c r="C386" s="1" t="n">
        <v>9</v>
      </c>
      <c r="D386" s="1" t="s">
        <v>211</v>
      </c>
      <c r="E386" s="1" t="s">
        <v>206</v>
      </c>
      <c r="F386" s="1" t="n">
        <v>3350</v>
      </c>
      <c r="G386" s="4" t="n">
        <v>0</v>
      </c>
      <c r="H386" s="1" t="s">
        <v>362</v>
      </c>
    </row>
    <row r="387" customFormat="false" ht="12.8" hidden="false" customHeight="false" outlineLevel="0" collapsed="false">
      <c r="A387" s="1" t="s">
        <v>8</v>
      </c>
      <c r="B387" s="1" t="n">
        <v>2</v>
      </c>
      <c r="C387" s="1" t="n">
        <v>10</v>
      </c>
      <c r="D387" s="1" t="s">
        <v>206</v>
      </c>
      <c r="E387" s="1" t="s">
        <v>200</v>
      </c>
      <c r="F387" s="1" t="n">
        <v>3350</v>
      </c>
      <c r="G387" s="4" t="n">
        <v>2</v>
      </c>
      <c r="H387" s="1" t="s">
        <v>365</v>
      </c>
    </row>
    <row r="388" customFormat="false" ht="12.8" hidden="false" customHeight="false" outlineLevel="0" collapsed="false">
      <c r="A388" s="1" t="s">
        <v>8</v>
      </c>
      <c r="B388" s="1" t="n">
        <v>2</v>
      </c>
      <c r="C388" s="1" t="n">
        <v>11</v>
      </c>
      <c r="D388" s="1" t="s">
        <v>200</v>
      </c>
      <c r="E388" s="1" t="s">
        <v>211</v>
      </c>
      <c r="F388" s="1" t="n">
        <v>3350</v>
      </c>
      <c r="G388" s="4" t="n">
        <v>1</v>
      </c>
      <c r="H388" s="1" t="s">
        <v>366</v>
      </c>
    </row>
    <row r="389" customFormat="false" ht="12.8" hidden="false" customHeight="false" outlineLevel="0" collapsed="false">
      <c r="A389" s="1" t="s">
        <v>8</v>
      </c>
      <c r="B389" s="1" t="n">
        <v>2</v>
      </c>
      <c r="C389" s="1" t="n">
        <v>12</v>
      </c>
      <c r="D389" s="1" t="s">
        <v>211</v>
      </c>
      <c r="E389" s="1" t="s">
        <v>206</v>
      </c>
      <c r="F389" s="1" t="n">
        <v>3350</v>
      </c>
      <c r="G389" s="4" t="n">
        <v>0</v>
      </c>
      <c r="H389" s="1" t="s">
        <v>362</v>
      </c>
    </row>
    <row r="390" customFormat="false" ht="12.8" hidden="false" customHeight="false" outlineLevel="0" collapsed="false">
      <c r="A390" s="1" t="s">
        <v>8</v>
      </c>
      <c r="B390" s="1" t="n">
        <v>2</v>
      </c>
      <c r="C390" s="1" t="n">
        <v>13</v>
      </c>
      <c r="D390" s="1" t="s">
        <v>206</v>
      </c>
      <c r="E390" s="1" t="s">
        <v>198</v>
      </c>
      <c r="F390" s="1" t="n">
        <v>3350</v>
      </c>
      <c r="G390" s="4" t="n">
        <v>3</v>
      </c>
      <c r="H390" s="1" t="s">
        <v>363</v>
      </c>
    </row>
    <row r="391" customFormat="false" ht="12.8" hidden="false" customHeight="false" outlineLevel="0" collapsed="false">
      <c r="A391" s="1" t="s">
        <v>8</v>
      </c>
      <c r="B391" s="1" t="n">
        <v>2</v>
      </c>
      <c r="C391" s="1" t="n">
        <v>14</v>
      </c>
      <c r="D391" s="1" t="s">
        <v>198</v>
      </c>
      <c r="E391" s="1" t="s">
        <v>211</v>
      </c>
      <c r="F391" s="1" t="n">
        <v>3350</v>
      </c>
      <c r="G391" s="4" t="n">
        <v>0</v>
      </c>
      <c r="H391" s="1" t="s">
        <v>364</v>
      </c>
    </row>
    <row r="392" customFormat="false" ht="12.8" hidden="false" customHeight="false" outlineLevel="0" collapsed="false">
      <c r="A392" s="1" t="s">
        <v>8</v>
      </c>
      <c r="B392" s="1" t="n">
        <v>2</v>
      </c>
      <c r="C392" s="1" t="n">
        <v>15</v>
      </c>
      <c r="D392" s="1" t="s">
        <v>211</v>
      </c>
      <c r="E392" s="1" t="s">
        <v>206</v>
      </c>
      <c r="F392" s="1" t="n">
        <v>3350</v>
      </c>
      <c r="G392" s="4" t="n">
        <v>0</v>
      </c>
      <c r="H392" s="1" t="s">
        <v>362</v>
      </c>
    </row>
    <row r="393" customFormat="false" ht="12.8" hidden="false" customHeight="false" outlineLevel="0" collapsed="false">
      <c r="A393" s="1" t="s">
        <v>8</v>
      </c>
      <c r="B393" s="1" t="n">
        <v>2</v>
      </c>
      <c r="C393" s="1" t="n">
        <v>16</v>
      </c>
      <c r="D393" s="1" t="s">
        <v>206</v>
      </c>
      <c r="E393" s="1" t="s">
        <v>198</v>
      </c>
      <c r="F393" s="1" t="n">
        <v>3350</v>
      </c>
      <c r="G393" s="4" t="n">
        <v>3</v>
      </c>
      <c r="H393" s="1" t="s">
        <v>363</v>
      </c>
    </row>
    <row r="394" customFormat="false" ht="12.8" hidden="false" customHeight="false" outlineLevel="0" collapsed="false">
      <c r="A394" s="1" t="s">
        <v>8</v>
      </c>
      <c r="B394" s="1" t="n">
        <v>2</v>
      </c>
      <c r="C394" s="1" t="n">
        <v>17</v>
      </c>
      <c r="D394" s="1" t="s">
        <v>198</v>
      </c>
      <c r="E394" s="1" t="s">
        <v>211</v>
      </c>
      <c r="F394" s="1" t="n">
        <v>3350</v>
      </c>
      <c r="G394" s="4" t="n">
        <v>0</v>
      </c>
      <c r="H394" s="1" t="s">
        <v>364</v>
      </c>
    </row>
    <row r="395" customFormat="false" ht="12.8" hidden="false" customHeight="false" outlineLevel="0" collapsed="false">
      <c r="A395" s="1" t="s">
        <v>8</v>
      </c>
      <c r="B395" s="1" t="n">
        <v>2</v>
      </c>
      <c r="C395" s="1" t="n">
        <v>18</v>
      </c>
      <c r="D395" s="1" t="s">
        <v>211</v>
      </c>
      <c r="E395" s="1" t="s">
        <v>206</v>
      </c>
      <c r="F395" s="1" t="n">
        <v>3350</v>
      </c>
      <c r="G395" s="4" t="n">
        <v>0</v>
      </c>
      <c r="H395" s="1" t="s">
        <v>362</v>
      </c>
    </row>
    <row r="396" customFormat="false" ht="12.8" hidden="false" customHeight="false" outlineLevel="0" collapsed="false">
      <c r="A396" s="1" t="s">
        <v>8</v>
      </c>
      <c r="B396" s="1" t="n">
        <v>2</v>
      </c>
      <c r="C396" s="1" t="n">
        <v>19</v>
      </c>
      <c r="D396" s="1" t="s">
        <v>206</v>
      </c>
      <c r="E396" s="1" t="s">
        <v>202</v>
      </c>
      <c r="F396" s="1" t="n">
        <v>3350</v>
      </c>
      <c r="G396" s="4" t="n">
        <v>0</v>
      </c>
      <c r="H396" s="1" t="s">
        <v>367</v>
      </c>
    </row>
    <row r="397" customFormat="false" ht="12.8" hidden="false" customHeight="false" outlineLevel="0" collapsed="false">
      <c r="A397" s="1" t="s">
        <v>8</v>
      </c>
      <c r="B397" s="1" t="n">
        <v>2</v>
      </c>
      <c r="C397" s="1" t="n">
        <v>20</v>
      </c>
      <c r="D397" s="1" t="s">
        <v>202</v>
      </c>
      <c r="E397" s="1" t="s">
        <v>211</v>
      </c>
      <c r="F397" s="1" t="n">
        <v>3350</v>
      </c>
      <c r="G397" s="4" t="n">
        <v>0</v>
      </c>
      <c r="H397" s="1" t="s">
        <v>368</v>
      </c>
    </row>
    <row r="398" customFormat="false" ht="12.8" hidden="false" customHeight="false" outlineLevel="0" collapsed="false">
      <c r="A398" s="1" t="s">
        <v>8</v>
      </c>
      <c r="B398" s="1" t="n">
        <v>2</v>
      </c>
      <c r="C398" s="1" t="n">
        <v>21</v>
      </c>
      <c r="D398" s="1" t="s">
        <v>211</v>
      </c>
      <c r="E398" s="1" t="s">
        <v>206</v>
      </c>
      <c r="F398" s="1" t="n">
        <v>3350</v>
      </c>
      <c r="G398" s="4" t="n">
        <v>0</v>
      </c>
      <c r="H398" s="1" t="s">
        <v>362</v>
      </c>
    </row>
    <row r="399" customFormat="false" ht="12.8" hidden="false" customHeight="false" outlineLevel="0" collapsed="false">
      <c r="A399" s="1" t="s">
        <v>8</v>
      </c>
      <c r="B399" s="1" t="n">
        <v>2</v>
      </c>
      <c r="C399" s="1" t="n">
        <v>22</v>
      </c>
      <c r="D399" s="1" t="s">
        <v>206</v>
      </c>
      <c r="E399" s="1" t="s">
        <v>200</v>
      </c>
      <c r="F399" s="1" t="n">
        <v>3350</v>
      </c>
      <c r="G399" s="4" t="n">
        <v>2</v>
      </c>
      <c r="H399" s="1" t="s">
        <v>365</v>
      </c>
    </row>
    <row r="400" customFormat="false" ht="12.8" hidden="false" customHeight="false" outlineLevel="0" collapsed="false">
      <c r="A400" s="1" t="s">
        <v>8</v>
      </c>
      <c r="B400" s="1" t="n">
        <v>2</v>
      </c>
      <c r="C400" s="1" t="n">
        <v>23</v>
      </c>
      <c r="D400" s="1" t="s">
        <v>200</v>
      </c>
      <c r="E400" s="1" t="s">
        <v>206</v>
      </c>
      <c r="F400" s="1" t="n">
        <v>3350</v>
      </c>
      <c r="G400" s="4" t="n">
        <v>1</v>
      </c>
      <c r="H400" s="1" t="s">
        <v>369</v>
      </c>
    </row>
    <row r="401" customFormat="false" ht="12.8" hidden="false" customHeight="false" outlineLevel="0" collapsed="false">
      <c r="A401" s="1" t="s">
        <v>8</v>
      </c>
      <c r="B401" s="1" t="n">
        <v>2</v>
      </c>
      <c r="C401" s="1" t="n">
        <v>24</v>
      </c>
      <c r="D401" s="1" t="s">
        <v>206</v>
      </c>
      <c r="E401" s="1" t="s">
        <v>202</v>
      </c>
      <c r="F401" s="1" t="n">
        <v>3350</v>
      </c>
      <c r="G401" s="4" t="n">
        <v>0</v>
      </c>
      <c r="H401" s="1" t="s">
        <v>367</v>
      </c>
    </row>
    <row r="402" customFormat="false" ht="12.8" hidden="false" customHeight="false" outlineLevel="0" collapsed="false">
      <c r="A402" s="1" t="s">
        <v>8</v>
      </c>
      <c r="B402" s="1" t="n">
        <v>2</v>
      </c>
      <c r="C402" s="1" t="n">
        <v>25</v>
      </c>
      <c r="D402" s="1" t="s">
        <v>202</v>
      </c>
      <c r="E402" s="1" t="s">
        <v>211</v>
      </c>
      <c r="F402" s="1" t="n">
        <v>3350</v>
      </c>
      <c r="G402" s="4" t="n">
        <v>0</v>
      </c>
      <c r="H402" s="1" t="s">
        <v>368</v>
      </c>
    </row>
    <row r="403" customFormat="false" ht="12.8" hidden="false" customHeight="false" outlineLevel="0" collapsed="false">
      <c r="A403" s="1" t="s">
        <v>8</v>
      </c>
      <c r="B403" s="1" t="n">
        <v>2</v>
      </c>
      <c r="C403" s="1" t="n">
        <v>26</v>
      </c>
      <c r="D403" s="1" t="s">
        <v>211</v>
      </c>
      <c r="E403" s="1" t="s">
        <v>206</v>
      </c>
      <c r="F403" s="1" t="n">
        <v>3350</v>
      </c>
      <c r="G403" s="4" t="n">
        <v>0</v>
      </c>
      <c r="H403" s="1" t="s">
        <v>362</v>
      </c>
    </row>
    <row r="404" customFormat="false" ht="12.8" hidden="false" customHeight="false" outlineLevel="0" collapsed="false">
      <c r="A404" s="1" t="s">
        <v>8</v>
      </c>
      <c r="B404" s="1" t="n">
        <v>2</v>
      </c>
      <c r="C404" s="1" t="n">
        <v>27</v>
      </c>
      <c r="D404" s="1" t="s">
        <v>206</v>
      </c>
      <c r="E404" s="1" t="s">
        <v>198</v>
      </c>
      <c r="F404" s="1" t="n">
        <v>3350</v>
      </c>
      <c r="G404" s="4" t="n">
        <v>3</v>
      </c>
      <c r="H404" s="1" t="s">
        <v>363</v>
      </c>
    </row>
    <row r="405" customFormat="false" ht="12.8" hidden="false" customHeight="false" outlineLevel="0" collapsed="false">
      <c r="A405" s="1" t="s">
        <v>8</v>
      </c>
      <c r="B405" s="1" t="n">
        <v>2</v>
      </c>
      <c r="C405" s="1" t="n">
        <v>28</v>
      </c>
      <c r="D405" s="1" t="s">
        <v>198</v>
      </c>
      <c r="E405" s="1" t="s">
        <v>211</v>
      </c>
      <c r="F405" s="1" t="n">
        <v>3350</v>
      </c>
      <c r="G405" s="4" t="n">
        <v>0</v>
      </c>
      <c r="H405" s="1" t="s">
        <v>364</v>
      </c>
    </row>
    <row r="406" customFormat="false" ht="12.8" hidden="false" customHeight="false" outlineLevel="0" collapsed="false">
      <c r="A406" s="1" t="s">
        <v>8</v>
      </c>
      <c r="B406" s="1" t="n">
        <v>2</v>
      </c>
      <c r="C406" s="1" t="n">
        <v>29</v>
      </c>
      <c r="D406" s="1" t="s">
        <v>211</v>
      </c>
      <c r="E406" s="1" t="s">
        <v>206</v>
      </c>
      <c r="F406" s="1" t="n">
        <v>3350</v>
      </c>
      <c r="G406" s="4" t="n">
        <v>0</v>
      </c>
      <c r="H406" s="1" t="s">
        <v>362</v>
      </c>
    </row>
    <row r="407" customFormat="false" ht="12.8" hidden="false" customHeight="false" outlineLevel="0" collapsed="false">
      <c r="A407" s="1" t="s">
        <v>8</v>
      </c>
      <c r="B407" s="1" t="n">
        <v>2</v>
      </c>
      <c r="C407" s="1" t="n">
        <v>30</v>
      </c>
      <c r="D407" s="1" t="s">
        <v>206</v>
      </c>
      <c r="E407" s="1" t="s">
        <v>198</v>
      </c>
      <c r="F407" s="1" t="n">
        <v>3350</v>
      </c>
      <c r="G407" s="4" t="n">
        <v>3</v>
      </c>
      <c r="H407" s="1" t="s">
        <v>363</v>
      </c>
    </row>
    <row r="408" customFormat="false" ht="12.8" hidden="false" customHeight="false" outlineLevel="0" collapsed="false">
      <c r="A408" s="1" t="s">
        <v>8</v>
      </c>
      <c r="B408" s="1" t="n">
        <v>2</v>
      </c>
      <c r="C408" s="1" t="n">
        <v>31</v>
      </c>
      <c r="D408" s="1" t="s">
        <v>198</v>
      </c>
      <c r="E408" s="1" t="s">
        <v>211</v>
      </c>
      <c r="F408" s="1" t="n">
        <v>3350</v>
      </c>
      <c r="G408" s="4" t="n">
        <v>0</v>
      </c>
      <c r="H408" s="1" t="s">
        <v>364</v>
      </c>
    </row>
    <row r="409" customFormat="false" ht="12.8" hidden="false" customHeight="false" outlineLevel="0" collapsed="false">
      <c r="A409" s="1" t="s">
        <v>8</v>
      </c>
      <c r="B409" s="1" t="n">
        <v>2</v>
      </c>
      <c r="C409" s="1" t="n">
        <v>32</v>
      </c>
      <c r="D409" s="1" t="s">
        <v>211</v>
      </c>
      <c r="E409" s="1" t="s">
        <v>206</v>
      </c>
      <c r="F409" s="1" t="n">
        <v>3350</v>
      </c>
      <c r="G409" s="4" t="n">
        <v>0</v>
      </c>
      <c r="H409" s="1" t="s">
        <v>362</v>
      </c>
    </row>
    <row r="410" customFormat="false" ht="12.8" hidden="false" customHeight="false" outlineLevel="0" collapsed="false">
      <c r="A410" s="1" t="s">
        <v>8</v>
      </c>
      <c r="B410" s="1" t="n">
        <v>2</v>
      </c>
      <c r="C410" s="1" t="n">
        <v>33</v>
      </c>
      <c r="D410" s="1" t="s">
        <v>206</v>
      </c>
      <c r="E410" s="1" t="s">
        <v>211</v>
      </c>
      <c r="F410" s="1" t="n">
        <v>3350</v>
      </c>
      <c r="G410" s="4" t="n">
        <v>0</v>
      </c>
      <c r="H410" s="1" t="s">
        <v>370</v>
      </c>
    </row>
    <row r="411" customFormat="false" ht="12.8" hidden="false" customHeight="false" outlineLevel="0" collapsed="false">
      <c r="A411" s="1" t="s">
        <v>8</v>
      </c>
      <c r="B411" s="1" t="n">
        <v>2</v>
      </c>
      <c r="C411" s="1" t="n">
        <v>34</v>
      </c>
      <c r="D411" s="1" t="s">
        <v>211</v>
      </c>
      <c r="E411" s="1" t="s">
        <v>198</v>
      </c>
      <c r="F411" s="1" t="n">
        <v>3350</v>
      </c>
      <c r="G411" s="4" t="n">
        <v>0</v>
      </c>
      <c r="H411" s="1" t="s">
        <v>371</v>
      </c>
    </row>
    <row r="412" customFormat="false" ht="12.8" hidden="false" customHeight="false" outlineLevel="0" collapsed="false">
      <c r="A412" s="1" t="s">
        <v>8</v>
      </c>
      <c r="B412" s="1" t="n">
        <v>2</v>
      </c>
      <c r="C412" s="1" t="n">
        <v>35</v>
      </c>
      <c r="F412" s="1" t="n">
        <v>3350</v>
      </c>
      <c r="G412" s="4" t="n">
        <v>0</v>
      </c>
      <c r="H412" s="1" t="s">
        <v>360</v>
      </c>
    </row>
    <row r="413" customFormat="false" ht="12.8" hidden="false" customHeight="false" outlineLevel="0" collapsed="false">
      <c r="A413" s="1" t="s">
        <v>8</v>
      </c>
      <c r="B413" s="1" t="n">
        <v>3</v>
      </c>
      <c r="C413" s="1" t="n">
        <v>1</v>
      </c>
      <c r="F413" s="1" t="n">
        <v>3350</v>
      </c>
      <c r="G413" s="4" t="n">
        <v>0</v>
      </c>
      <c r="H413" s="1" t="s">
        <v>360</v>
      </c>
    </row>
    <row r="414" customFormat="false" ht="12.8" hidden="false" customHeight="false" outlineLevel="0" collapsed="false">
      <c r="A414" s="1" t="s">
        <v>8</v>
      </c>
      <c r="B414" s="1" t="n">
        <v>3</v>
      </c>
      <c r="C414" s="1" t="n">
        <v>2</v>
      </c>
      <c r="D414" s="1" t="s">
        <v>200</v>
      </c>
      <c r="E414" s="1" t="s">
        <v>211</v>
      </c>
      <c r="F414" s="1" t="n">
        <v>3350</v>
      </c>
      <c r="G414" s="4" t="n">
        <v>0</v>
      </c>
      <c r="H414" s="1" t="s">
        <v>361</v>
      </c>
    </row>
    <row r="415" customFormat="false" ht="12.8" hidden="false" customHeight="false" outlineLevel="0" collapsed="false">
      <c r="A415" s="1" t="s">
        <v>8</v>
      </c>
      <c r="B415" s="1" t="n">
        <v>3</v>
      </c>
      <c r="C415" s="1" t="n">
        <v>3</v>
      </c>
      <c r="D415" s="1" t="s">
        <v>211</v>
      </c>
      <c r="E415" s="1" t="s">
        <v>206</v>
      </c>
      <c r="F415" s="1" t="n">
        <v>3350</v>
      </c>
      <c r="G415" s="4" t="n">
        <v>0</v>
      </c>
      <c r="H415" s="1" t="s">
        <v>362</v>
      </c>
    </row>
    <row r="416" customFormat="false" ht="12.8" hidden="false" customHeight="false" outlineLevel="0" collapsed="false">
      <c r="A416" s="1" t="s">
        <v>8</v>
      </c>
      <c r="B416" s="1" t="n">
        <v>3</v>
      </c>
      <c r="C416" s="1" t="n">
        <v>4</v>
      </c>
      <c r="D416" s="1" t="s">
        <v>206</v>
      </c>
      <c r="E416" s="1" t="s">
        <v>211</v>
      </c>
      <c r="F416" s="1" t="n">
        <v>3350</v>
      </c>
      <c r="G416" s="4" t="n">
        <v>0</v>
      </c>
      <c r="H416" s="1" t="s">
        <v>370</v>
      </c>
    </row>
    <row r="417" customFormat="false" ht="12.8" hidden="false" customHeight="false" outlineLevel="0" collapsed="false">
      <c r="A417" s="1" t="s">
        <v>8</v>
      </c>
      <c r="B417" s="1" t="n">
        <v>3</v>
      </c>
      <c r="C417" s="1" t="n">
        <v>5</v>
      </c>
      <c r="D417" s="1" t="s">
        <v>211</v>
      </c>
      <c r="E417" s="1" t="s">
        <v>198</v>
      </c>
      <c r="F417" s="1" t="n">
        <v>3350</v>
      </c>
      <c r="G417" s="4" t="n">
        <v>1</v>
      </c>
      <c r="H417" s="1" t="s">
        <v>372</v>
      </c>
    </row>
    <row r="418" customFormat="false" ht="12.8" hidden="false" customHeight="false" outlineLevel="0" collapsed="false">
      <c r="A418" s="1" t="s">
        <v>8</v>
      </c>
      <c r="B418" s="1" t="n">
        <v>3</v>
      </c>
      <c r="C418" s="1" t="n">
        <v>6</v>
      </c>
      <c r="D418" s="1" t="s">
        <v>198</v>
      </c>
      <c r="E418" s="1" t="s">
        <v>206</v>
      </c>
      <c r="F418" s="1" t="n">
        <v>3350</v>
      </c>
      <c r="G418" s="4" t="n">
        <v>1</v>
      </c>
      <c r="H418" s="1" t="s">
        <v>373</v>
      </c>
    </row>
    <row r="419" customFormat="false" ht="12.8" hidden="false" customHeight="false" outlineLevel="0" collapsed="false">
      <c r="A419" s="1" t="s">
        <v>8</v>
      </c>
      <c r="B419" s="1" t="n">
        <v>3</v>
      </c>
      <c r="C419" s="1" t="n">
        <v>7</v>
      </c>
      <c r="D419" s="1" t="s">
        <v>206</v>
      </c>
      <c r="E419" s="1" t="s">
        <v>211</v>
      </c>
      <c r="F419" s="1" t="n">
        <v>3350</v>
      </c>
      <c r="G419" s="4" t="n">
        <v>0</v>
      </c>
      <c r="H419" s="1" t="s">
        <v>370</v>
      </c>
    </row>
    <row r="420" customFormat="false" ht="12.8" hidden="false" customHeight="false" outlineLevel="0" collapsed="false">
      <c r="A420" s="1" t="s">
        <v>8</v>
      </c>
      <c r="B420" s="1" t="n">
        <v>3</v>
      </c>
      <c r="C420" s="1" t="n">
        <v>8</v>
      </c>
      <c r="D420" s="1" t="s">
        <v>211</v>
      </c>
      <c r="E420" s="1" t="s">
        <v>200</v>
      </c>
      <c r="F420" s="1" t="n">
        <v>3350</v>
      </c>
      <c r="G420" s="4" t="n">
        <v>0</v>
      </c>
      <c r="H420" s="1" t="s">
        <v>374</v>
      </c>
    </row>
    <row r="421" customFormat="false" ht="12.8" hidden="false" customHeight="false" outlineLevel="0" collapsed="false">
      <c r="A421" s="1" t="s">
        <v>8</v>
      </c>
      <c r="B421" s="1" t="n">
        <v>3</v>
      </c>
      <c r="C421" s="1" t="n">
        <v>9</v>
      </c>
      <c r="D421" s="1" t="s">
        <v>200</v>
      </c>
      <c r="E421" s="1" t="s">
        <v>206</v>
      </c>
      <c r="F421" s="1" t="n">
        <v>3350</v>
      </c>
      <c r="G421" s="4" t="n">
        <v>1</v>
      </c>
      <c r="H421" s="1" t="s">
        <v>369</v>
      </c>
    </row>
    <row r="422" customFormat="false" ht="12.8" hidden="false" customHeight="false" outlineLevel="0" collapsed="false">
      <c r="A422" s="1" t="s">
        <v>8</v>
      </c>
      <c r="B422" s="1" t="n">
        <v>3</v>
      </c>
      <c r="C422" s="1" t="n">
        <v>10</v>
      </c>
      <c r="D422" s="1" t="s">
        <v>206</v>
      </c>
      <c r="E422" s="1" t="s">
        <v>211</v>
      </c>
      <c r="F422" s="1" t="n">
        <v>3350</v>
      </c>
      <c r="G422" s="4" t="n">
        <v>0</v>
      </c>
      <c r="H422" s="1" t="s">
        <v>370</v>
      </c>
    </row>
    <row r="423" customFormat="false" ht="12.8" hidden="false" customHeight="false" outlineLevel="0" collapsed="false">
      <c r="A423" s="1" t="s">
        <v>8</v>
      </c>
      <c r="B423" s="1" t="n">
        <v>3</v>
      </c>
      <c r="C423" s="1" t="n">
        <v>11</v>
      </c>
      <c r="D423" s="1" t="s">
        <v>211</v>
      </c>
      <c r="E423" s="1" t="s">
        <v>200</v>
      </c>
      <c r="F423" s="1" t="n">
        <v>3350</v>
      </c>
      <c r="G423" s="4" t="n">
        <v>0</v>
      </c>
      <c r="H423" s="1" t="s">
        <v>374</v>
      </c>
    </row>
    <row r="424" customFormat="false" ht="12.8" hidden="false" customHeight="false" outlineLevel="0" collapsed="false">
      <c r="A424" s="1" t="s">
        <v>8</v>
      </c>
      <c r="B424" s="1" t="n">
        <v>3</v>
      </c>
      <c r="C424" s="1" t="n">
        <v>12</v>
      </c>
      <c r="D424" s="1" t="s">
        <v>200</v>
      </c>
      <c r="E424" s="1" t="s">
        <v>206</v>
      </c>
      <c r="F424" s="1" t="n">
        <v>3350</v>
      </c>
      <c r="G424" s="4" t="n">
        <v>1</v>
      </c>
      <c r="H424" s="1" t="s">
        <v>369</v>
      </c>
    </row>
    <row r="425" customFormat="false" ht="12.8" hidden="false" customHeight="false" outlineLevel="0" collapsed="false">
      <c r="A425" s="1" t="s">
        <v>8</v>
      </c>
      <c r="B425" s="1" t="n">
        <v>3</v>
      </c>
      <c r="C425" s="1" t="n">
        <v>13</v>
      </c>
      <c r="D425" s="1" t="s">
        <v>206</v>
      </c>
      <c r="E425" s="1" t="s">
        <v>211</v>
      </c>
      <c r="F425" s="1" t="n">
        <v>3350</v>
      </c>
      <c r="G425" s="4" t="n">
        <v>0</v>
      </c>
      <c r="H425" s="1" t="s">
        <v>370</v>
      </c>
    </row>
    <row r="426" customFormat="false" ht="12.8" hidden="false" customHeight="false" outlineLevel="0" collapsed="false">
      <c r="A426" s="1" t="s">
        <v>8</v>
      </c>
      <c r="B426" s="1" t="n">
        <v>3</v>
      </c>
      <c r="C426" s="1" t="n">
        <v>14</v>
      </c>
      <c r="D426" s="1" t="s">
        <v>211</v>
      </c>
      <c r="E426" s="1" t="s">
        <v>198</v>
      </c>
      <c r="F426" s="1" t="n">
        <v>3350</v>
      </c>
      <c r="G426" s="4" t="n">
        <v>1</v>
      </c>
      <c r="H426" s="1" t="s">
        <v>372</v>
      </c>
    </row>
    <row r="427" customFormat="false" ht="12.8" hidden="false" customHeight="false" outlineLevel="0" collapsed="false">
      <c r="A427" s="1" t="s">
        <v>8</v>
      </c>
      <c r="B427" s="1" t="n">
        <v>3</v>
      </c>
      <c r="C427" s="1" t="n">
        <v>15</v>
      </c>
      <c r="D427" s="1" t="s">
        <v>198</v>
      </c>
      <c r="E427" s="1" t="s">
        <v>206</v>
      </c>
      <c r="F427" s="1" t="n">
        <v>3350</v>
      </c>
      <c r="G427" s="4" t="n">
        <v>1</v>
      </c>
      <c r="H427" s="1" t="s">
        <v>373</v>
      </c>
    </row>
    <row r="428" customFormat="false" ht="12.8" hidden="false" customHeight="false" outlineLevel="0" collapsed="false">
      <c r="A428" s="1" t="s">
        <v>8</v>
      </c>
      <c r="B428" s="1" t="n">
        <v>3</v>
      </c>
      <c r="C428" s="1" t="n">
        <v>16</v>
      </c>
      <c r="D428" s="1" t="s">
        <v>206</v>
      </c>
      <c r="E428" s="1" t="s">
        <v>211</v>
      </c>
      <c r="F428" s="1" t="n">
        <v>3350</v>
      </c>
      <c r="G428" s="4" t="n">
        <v>0</v>
      </c>
      <c r="H428" s="1" t="s">
        <v>370</v>
      </c>
    </row>
    <row r="429" customFormat="false" ht="12.8" hidden="false" customHeight="false" outlineLevel="0" collapsed="false">
      <c r="A429" s="1" t="s">
        <v>8</v>
      </c>
      <c r="B429" s="1" t="n">
        <v>3</v>
      </c>
      <c r="C429" s="1" t="n">
        <v>17</v>
      </c>
      <c r="D429" s="1" t="s">
        <v>211</v>
      </c>
      <c r="E429" s="1" t="s">
        <v>198</v>
      </c>
      <c r="F429" s="1" t="n">
        <v>3350</v>
      </c>
      <c r="G429" s="4" t="n">
        <v>1</v>
      </c>
      <c r="H429" s="1" t="s">
        <v>372</v>
      </c>
    </row>
    <row r="430" customFormat="false" ht="12.8" hidden="false" customHeight="false" outlineLevel="0" collapsed="false">
      <c r="A430" s="1" t="s">
        <v>8</v>
      </c>
      <c r="B430" s="1" t="n">
        <v>3</v>
      </c>
      <c r="C430" s="1" t="n">
        <v>18</v>
      </c>
      <c r="D430" s="1" t="s">
        <v>198</v>
      </c>
      <c r="E430" s="1" t="s">
        <v>206</v>
      </c>
      <c r="F430" s="1" t="n">
        <v>3350</v>
      </c>
      <c r="G430" s="4" t="n">
        <v>1</v>
      </c>
      <c r="H430" s="1" t="s">
        <v>373</v>
      </c>
    </row>
    <row r="431" customFormat="false" ht="12.8" hidden="false" customHeight="false" outlineLevel="0" collapsed="false">
      <c r="A431" s="1" t="s">
        <v>8</v>
      </c>
      <c r="B431" s="1" t="n">
        <v>3</v>
      </c>
      <c r="C431" s="1" t="n">
        <v>19</v>
      </c>
      <c r="D431" s="1" t="s">
        <v>206</v>
      </c>
      <c r="E431" s="1" t="s">
        <v>211</v>
      </c>
      <c r="F431" s="1" t="n">
        <v>3350</v>
      </c>
      <c r="G431" s="4" t="n">
        <v>0</v>
      </c>
      <c r="H431" s="1" t="s">
        <v>370</v>
      </c>
    </row>
    <row r="432" customFormat="false" ht="12.8" hidden="false" customHeight="false" outlineLevel="0" collapsed="false">
      <c r="A432" s="1" t="s">
        <v>8</v>
      </c>
      <c r="B432" s="1" t="n">
        <v>3</v>
      </c>
      <c r="C432" s="1" t="n">
        <v>20</v>
      </c>
      <c r="D432" s="1" t="s">
        <v>211</v>
      </c>
      <c r="E432" s="1" t="s">
        <v>202</v>
      </c>
      <c r="F432" s="1" t="n">
        <v>3350</v>
      </c>
      <c r="G432" s="4" t="n">
        <v>0</v>
      </c>
      <c r="H432" s="1" t="s">
        <v>375</v>
      </c>
    </row>
    <row r="433" customFormat="false" ht="12.8" hidden="false" customHeight="false" outlineLevel="0" collapsed="false">
      <c r="A433" s="1" t="s">
        <v>8</v>
      </c>
      <c r="B433" s="1" t="n">
        <v>3</v>
      </c>
      <c r="C433" s="1" t="n">
        <v>21</v>
      </c>
      <c r="D433" s="1" t="s">
        <v>202</v>
      </c>
      <c r="E433" s="1" t="s">
        <v>206</v>
      </c>
      <c r="F433" s="1" t="n">
        <v>3350</v>
      </c>
      <c r="G433" s="4" t="n">
        <v>0</v>
      </c>
      <c r="H433" s="1" t="s">
        <v>376</v>
      </c>
    </row>
    <row r="434" customFormat="false" ht="12.8" hidden="false" customHeight="false" outlineLevel="0" collapsed="false">
      <c r="A434" s="1" t="s">
        <v>8</v>
      </c>
      <c r="B434" s="1" t="n">
        <v>3</v>
      </c>
      <c r="C434" s="1" t="n">
        <v>22</v>
      </c>
      <c r="D434" s="1" t="s">
        <v>206</v>
      </c>
      <c r="E434" s="1" t="s">
        <v>200</v>
      </c>
      <c r="F434" s="1" t="n">
        <v>3350</v>
      </c>
      <c r="G434" s="4" t="n">
        <v>2</v>
      </c>
      <c r="H434" s="1" t="s">
        <v>365</v>
      </c>
    </row>
    <row r="435" customFormat="false" ht="12.8" hidden="false" customHeight="false" outlineLevel="0" collapsed="false">
      <c r="A435" s="1" t="s">
        <v>8</v>
      </c>
      <c r="B435" s="1" t="n">
        <v>3</v>
      </c>
      <c r="C435" s="1" t="n">
        <v>23</v>
      </c>
      <c r="D435" s="1" t="s">
        <v>200</v>
      </c>
      <c r="E435" s="1" t="s">
        <v>206</v>
      </c>
      <c r="F435" s="1" t="n">
        <v>3350</v>
      </c>
      <c r="G435" s="4" t="n">
        <v>1</v>
      </c>
      <c r="H435" s="1" t="s">
        <v>369</v>
      </c>
    </row>
    <row r="436" customFormat="false" ht="12.8" hidden="false" customHeight="false" outlineLevel="0" collapsed="false">
      <c r="A436" s="1" t="s">
        <v>8</v>
      </c>
      <c r="B436" s="1" t="n">
        <v>3</v>
      </c>
      <c r="C436" s="1" t="n">
        <v>24</v>
      </c>
      <c r="D436" s="1" t="s">
        <v>206</v>
      </c>
      <c r="E436" s="1" t="s">
        <v>211</v>
      </c>
      <c r="F436" s="1" t="n">
        <v>3350</v>
      </c>
      <c r="G436" s="4" t="n">
        <v>0</v>
      </c>
      <c r="H436" s="1" t="s">
        <v>370</v>
      </c>
    </row>
    <row r="437" customFormat="false" ht="12.8" hidden="false" customHeight="false" outlineLevel="0" collapsed="false">
      <c r="A437" s="1" t="s">
        <v>8</v>
      </c>
      <c r="B437" s="1" t="n">
        <v>3</v>
      </c>
      <c r="C437" s="1" t="n">
        <v>25</v>
      </c>
      <c r="D437" s="1" t="s">
        <v>211</v>
      </c>
      <c r="E437" s="1" t="s">
        <v>202</v>
      </c>
      <c r="F437" s="1" t="n">
        <v>3350</v>
      </c>
      <c r="G437" s="4" t="n">
        <v>0</v>
      </c>
      <c r="H437" s="1" t="s">
        <v>375</v>
      </c>
    </row>
    <row r="438" customFormat="false" ht="12.8" hidden="false" customHeight="false" outlineLevel="0" collapsed="false">
      <c r="A438" s="1" t="s">
        <v>8</v>
      </c>
      <c r="B438" s="1" t="n">
        <v>3</v>
      </c>
      <c r="C438" s="1" t="n">
        <v>26</v>
      </c>
      <c r="D438" s="1" t="s">
        <v>202</v>
      </c>
      <c r="E438" s="1" t="s">
        <v>206</v>
      </c>
      <c r="F438" s="1" t="n">
        <v>3350</v>
      </c>
      <c r="G438" s="4" t="n">
        <v>0</v>
      </c>
      <c r="H438" s="1" t="s">
        <v>376</v>
      </c>
    </row>
    <row r="439" customFormat="false" ht="12.8" hidden="false" customHeight="false" outlineLevel="0" collapsed="false">
      <c r="A439" s="1" t="s">
        <v>8</v>
      </c>
      <c r="B439" s="1" t="n">
        <v>3</v>
      </c>
      <c r="C439" s="1" t="n">
        <v>27</v>
      </c>
      <c r="D439" s="1" t="s">
        <v>206</v>
      </c>
      <c r="E439" s="1" t="s">
        <v>211</v>
      </c>
      <c r="F439" s="1" t="n">
        <v>3350</v>
      </c>
      <c r="G439" s="4" t="n">
        <v>0</v>
      </c>
      <c r="H439" s="1" t="s">
        <v>370</v>
      </c>
    </row>
    <row r="440" customFormat="false" ht="12.8" hidden="false" customHeight="false" outlineLevel="0" collapsed="false">
      <c r="A440" s="1" t="s">
        <v>8</v>
      </c>
      <c r="B440" s="1" t="n">
        <v>3</v>
      </c>
      <c r="C440" s="1" t="n">
        <v>28</v>
      </c>
      <c r="D440" s="1" t="s">
        <v>211</v>
      </c>
      <c r="E440" s="1" t="s">
        <v>198</v>
      </c>
      <c r="F440" s="1" t="n">
        <v>3350</v>
      </c>
      <c r="G440" s="4" t="n">
        <v>1</v>
      </c>
      <c r="H440" s="1" t="s">
        <v>372</v>
      </c>
    </row>
    <row r="441" customFormat="false" ht="12.8" hidden="false" customHeight="false" outlineLevel="0" collapsed="false">
      <c r="A441" s="1" t="s">
        <v>8</v>
      </c>
      <c r="B441" s="1" t="n">
        <v>3</v>
      </c>
      <c r="C441" s="1" t="n">
        <v>29</v>
      </c>
      <c r="D441" s="1" t="s">
        <v>198</v>
      </c>
      <c r="E441" s="1" t="s">
        <v>206</v>
      </c>
      <c r="F441" s="1" t="n">
        <v>3350</v>
      </c>
      <c r="G441" s="4" t="n">
        <v>1</v>
      </c>
      <c r="H441" s="1" t="s">
        <v>373</v>
      </c>
    </row>
    <row r="442" customFormat="false" ht="12.8" hidden="false" customHeight="false" outlineLevel="0" collapsed="false">
      <c r="A442" s="1" t="s">
        <v>8</v>
      </c>
      <c r="B442" s="1" t="n">
        <v>3</v>
      </c>
      <c r="C442" s="1" t="n">
        <v>30</v>
      </c>
      <c r="D442" s="1" t="s">
        <v>206</v>
      </c>
      <c r="E442" s="1" t="s">
        <v>211</v>
      </c>
      <c r="F442" s="1" t="n">
        <v>3350</v>
      </c>
      <c r="G442" s="4" t="n">
        <v>0</v>
      </c>
      <c r="H442" s="1" t="s">
        <v>370</v>
      </c>
    </row>
    <row r="443" customFormat="false" ht="12.8" hidden="false" customHeight="false" outlineLevel="0" collapsed="false">
      <c r="A443" s="1" t="s">
        <v>8</v>
      </c>
      <c r="B443" s="1" t="n">
        <v>3</v>
      </c>
      <c r="C443" s="1" t="n">
        <v>31</v>
      </c>
      <c r="D443" s="1" t="s">
        <v>211</v>
      </c>
      <c r="E443" s="1" t="s">
        <v>198</v>
      </c>
      <c r="F443" s="1" t="n">
        <v>3350</v>
      </c>
      <c r="G443" s="4" t="n">
        <v>1</v>
      </c>
      <c r="H443" s="1" t="s">
        <v>372</v>
      </c>
    </row>
    <row r="444" customFormat="false" ht="12.8" hidden="false" customHeight="false" outlineLevel="0" collapsed="false">
      <c r="A444" s="1" t="s">
        <v>8</v>
      </c>
      <c r="B444" s="1" t="n">
        <v>3</v>
      </c>
      <c r="C444" s="1" t="n">
        <v>32</v>
      </c>
      <c r="D444" s="1" t="s">
        <v>198</v>
      </c>
      <c r="E444" s="1" t="s">
        <v>206</v>
      </c>
      <c r="F444" s="1" t="n">
        <v>3350</v>
      </c>
      <c r="G444" s="4" t="n">
        <v>1</v>
      </c>
      <c r="H444" s="1" t="s">
        <v>373</v>
      </c>
    </row>
    <row r="445" customFormat="false" ht="12.8" hidden="false" customHeight="false" outlineLevel="0" collapsed="false">
      <c r="A445" s="1" t="s">
        <v>8</v>
      </c>
      <c r="B445" s="1" t="n">
        <v>3</v>
      </c>
      <c r="C445" s="1" t="n">
        <v>33</v>
      </c>
      <c r="D445" s="1" t="s">
        <v>206</v>
      </c>
      <c r="E445" s="1" t="s">
        <v>211</v>
      </c>
      <c r="F445" s="1" t="n">
        <v>3350</v>
      </c>
      <c r="G445" s="4" t="n">
        <v>0</v>
      </c>
      <c r="H445" s="1" t="s">
        <v>370</v>
      </c>
    </row>
    <row r="446" customFormat="false" ht="12.8" hidden="false" customHeight="false" outlineLevel="0" collapsed="false">
      <c r="A446" s="1" t="s">
        <v>8</v>
      </c>
      <c r="B446" s="1" t="n">
        <v>3</v>
      </c>
      <c r="C446" s="1" t="n">
        <v>34</v>
      </c>
      <c r="D446" s="1" t="s">
        <v>211</v>
      </c>
      <c r="E446" s="1" t="s">
        <v>198</v>
      </c>
      <c r="F446" s="1" t="n">
        <v>3350</v>
      </c>
      <c r="G446" s="4" t="n">
        <v>0</v>
      </c>
      <c r="H446" s="1" t="s">
        <v>371</v>
      </c>
    </row>
    <row r="447" customFormat="false" ht="12.8" hidden="false" customHeight="false" outlineLevel="0" collapsed="false">
      <c r="A447" s="1" t="s">
        <v>8</v>
      </c>
      <c r="B447" s="1" t="n">
        <v>3</v>
      </c>
      <c r="C447" s="1" t="n">
        <v>35</v>
      </c>
      <c r="F447" s="1" t="n">
        <v>3350</v>
      </c>
      <c r="G447" s="4" t="n">
        <v>0</v>
      </c>
      <c r="H447" s="1" t="s">
        <v>360</v>
      </c>
    </row>
    <row r="448" customFormat="false" ht="12.8" hidden="false" customHeight="false" outlineLevel="0" collapsed="false">
      <c r="A448" s="1" t="s">
        <v>8</v>
      </c>
      <c r="B448" s="1" t="n">
        <v>19</v>
      </c>
      <c r="C448" s="1" t="n">
        <v>1</v>
      </c>
      <c r="F448" s="1" t="n">
        <v>3510</v>
      </c>
      <c r="G448" s="4" t="n">
        <v>0</v>
      </c>
      <c r="H448" s="1" t="s">
        <v>377</v>
      </c>
    </row>
    <row r="449" customFormat="false" ht="12.8" hidden="false" customHeight="false" outlineLevel="0" collapsed="false">
      <c r="A449" s="1" t="s">
        <v>8</v>
      </c>
      <c r="B449" s="1" t="n">
        <v>19</v>
      </c>
      <c r="C449" s="1" t="n">
        <v>2</v>
      </c>
      <c r="D449" s="1" t="s">
        <v>200</v>
      </c>
      <c r="E449" s="1" t="s">
        <v>211</v>
      </c>
      <c r="F449" s="1" t="n">
        <v>3510</v>
      </c>
      <c r="G449" s="4" t="n">
        <v>0</v>
      </c>
      <c r="H449" s="1" t="s">
        <v>378</v>
      </c>
    </row>
    <row r="450" customFormat="false" ht="12.8" hidden="false" customHeight="false" outlineLevel="0" collapsed="false">
      <c r="A450" s="1" t="s">
        <v>8</v>
      </c>
      <c r="B450" s="1" t="n">
        <v>19</v>
      </c>
      <c r="C450" s="1" t="n">
        <v>3</v>
      </c>
      <c r="D450" s="1" t="s">
        <v>211</v>
      </c>
      <c r="E450" s="1" t="s">
        <v>206</v>
      </c>
      <c r="F450" s="1" t="n">
        <v>3510</v>
      </c>
      <c r="G450" s="4" t="n">
        <v>0</v>
      </c>
      <c r="H450" s="1" t="s">
        <v>379</v>
      </c>
    </row>
    <row r="451" customFormat="false" ht="12.8" hidden="false" customHeight="false" outlineLevel="0" collapsed="false">
      <c r="A451" s="1" t="s">
        <v>8</v>
      </c>
      <c r="B451" s="1" t="n">
        <v>19</v>
      </c>
      <c r="C451" s="1" t="n">
        <v>4</v>
      </c>
      <c r="D451" s="1" t="s">
        <v>206</v>
      </c>
      <c r="E451" s="1" t="s">
        <v>211</v>
      </c>
      <c r="F451" s="1" t="n">
        <v>3510</v>
      </c>
      <c r="G451" s="4" t="n">
        <v>0</v>
      </c>
      <c r="H451" s="1" t="s">
        <v>380</v>
      </c>
    </row>
    <row r="452" customFormat="false" ht="12.8" hidden="false" customHeight="false" outlineLevel="0" collapsed="false">
      <c r="A452" s="1" t="s">
        <v>8</v>
      </c>
      <c r="B452" s="1" t="n">
        <v>19</v>
      </c>
      <c r="C452" s="1" t="n">
        <v>5</v>
      </c>
      <c r="D452" s="1" t="s">
        <v>211</v>
      </c>
      <c r="E452" s="1" t="s">
        <v>198</v>
      </c>
      <c r="F452" s="1" t="n">
        <v>3510</v>
      </c>
      <c r="G452" s="4" t="n">
        <v>0</v>
      </c>
      <c r="H452" s="1" t="s">
        <v>381</v>
      </c>
    </row>
    <row r="453" customFormat="false" ht="12.8" hidden="false" customHeight="false" outlineLevel="0" collapsed="false">
      <c r="A453" s="1" t="s">
        <v>8</v>
      </c>
      <c r="B453" s="1" t="n">
        <v>19</v>
      </c>
      <c r="C453" s="1" t="n">
        <v>6</v>
      </c>
      <c r="D453" s="1" t="s">
        <v>198</v>
      </c>
      <c r="E453" s="1" t="s">
        <v>206</v>
      </c>
      <c r="F453" s="1" t="n">
        <v>3510</v>
      </c>
      <c r="G453" s="4" t="n">
        <v>1</v>
      </c>
      <c r="H453" s="1" t="s">
        <v>382</v>
      </c>
    </row>
    <row r="454" customFormat="false" ht="12.8" hidden="false" customHeight="false" outlineLevel="0" collapsed="false">
      <c r="A454" s="1" t="s">
        <v>8</v>
      </c>
      <c r="B454" s="1" t="n">
        <v>19</v>
      </c>
      <c r="C454" s="1" t="n">
        <v>7</v>
      </c>
      <c r="D454" s="1" t="s">
        <v>206</v>
      </c>
      <c r="E454" s="1" t="s">
        <v>211</v>
      </c>
      <c r="F454" s="1" t="n">
        <v>3510</v>
      </c>
      <c r="G454" s="4" t="n">
        <v>0</v>
      </c>
      <c r="H454" s="1" t="s">
        <v>380</v>
      </c>
    </row>
    <row r="455" customFormat="false" ht="12.8" hidden="false" customHeight="false" outlineLevel="0" collapsed="false">
      <c r="A455" s="1" t="s">
        <v>8</v>
      </c>
      <c r="B455" s="1" t="n">
        <v>19</v>
      </c>
      <c r="C455" s="1" t="n">
        <v>8</v>
      </c>
      <c r="D455" s="1" t="s">
        <v>211</v>
      </c>
      <c r="E455" s="1" t="s">
        <v>200</v>
      </c>
      <c r="F455" s="1" t="n">
        <v>3510</v>
      </c>
      <c r="G455" s="4" t="n">
        <v>0</v>
      </c>
      <c r="H455" s="1" t="s">
        <v>383</v>
      </c>
    </row>
    <row r="456" customFormat="false" ht="12.8" hidden="false" customHeight="false" outlineLevel="0" collapsed="false">
      <c r="A456" s="1" t="s">
        <v>8</v>
      </c>
      <c r="B456" s="1" t="n">
        <v>19</v>
      </c>
      <c r="C456" s="1" t="n">
        <v>9</v>
      </c>
      <c r="D456" s="1" t="s">
        <v>200</v>
      </c>
      <c r="E456" s="1" t="s">
        <v>206</v>
      </c>
      <c r="F456" s="1" t="n">
        <v>3510</v>
      </c>
      <c r="G456" s="4" t="n">
        <v>1</v>
      </c>
      <c r="H456" s="1" t="s">
        <v>384</v>
      </c>
    </row>
    <row r="457" customFormat="false" ht="12.8" hidden="false" customHeight="false" outlineLevel="0" collapsed="false">
      <c r="A457" s="1" t="s">
        <v>8</v>
      </c>
      <c r="B457" s="1" t="n">
        <v>19</v>
      </c>
      <c r="C457" s="1" t="n">
        <v>10</v>
      </c>
      <c r="D457" s="1" t="s">
        <v>206</v>
      </c>
      <c r="E457" s="1" t="s">
        <v>211</v>
      </c>
      <c r="F457" s="1" t="n">
        <v>3510</v>
      </c>
      <c r="G457" s="4" t="n">
        <v>0</v>
      </c>
      <c r="H457" s="1" t="s">
        <v>380</v>
      </c>
    </row>
    <row r="458" customFormat="false" ht="12.8" hidden="false" customHeight="false" outlineLevel="0" collapsed="false">
      <c r="A458" s="1" t="s">
        <v>8</v>
      </c>
      <c r="B458" s="1" t="n">
        <v>19</v>
      </c>
      <c r="C458" s="1" t="n">
        <v>11</v>
      </c>
      <c r="D458" s="1" t="s">
        <v>211</v>
      </c>
      <c r="E458" s="1" t="s">
        <v>200</v>
      </c>
      <c r="F458" s="1" t="n">
        <v>3510</v>
      </c>
      <c r="G458" s="4" t="n">
        <v>0</v>
      </c>
      <c r="H458" s="1" t="s">
        <v>383</v>
      </c>
    </row>
    <row r="459" customFormat="false" ht="12.8" hidden="false" customHeight="false" outlineLevel="0" collapsed="false">
      <c r="A459" s="1" t="s">
        <v>8</v>
      </c>
      <c r="B459" s="1" t="n">
        <v>19</v>
      </c>
      <c r="C459" s="1" t="n">
        <v>12</v>
      </c>
      <c r="D459" s="1" t="s">
        <v>200</v>
      </c>
      <c r="E459" s="1" t="s">
        <v>206</v>
      </c>
      <c r="F459" s="1" t="n">
        <v>3510</v>
      </c>
      <c r="G459" s="4" t="n">
        <v>1</v>
      </c>
      <c r="H459" s="1" t="s">
        <v>384</v>
      </c>
    </row>
    <row r="460" customFormat="false" ht="12.8" hidden="false" customHeight="false" outlineLevel="0" collapsed="false">
      <c r="A460" s="1" t="s">
        <v>8</v>
      </c>
      <c r="B460" s="1" t="n">
        <v>19</v>
      </c>
      <c r="C460" s="1" t="n">
        <v>13</v>
      </c>
      <c r="D460" s="1" t="s">
        <v>206</v>
      </c>
      <c r="E460" s="1" t="s">
        <v>211</v>
      </c>
      <c r="F460" s="1" t="n">
        <v>3510</v>
      </c>
      <c r="G460" s="4" t="n">
        <v>0</v>
      </c>
      <c r="H460" s="1" t="s">
        <v>380</v>
      </c>
    </row>
    <row r="461" customFormat="false" ht="12.8" hidden="false" customHeight="false" outlineLevel="0" collapsed="false">
      <c r="A461" s="1" t="s">
        <v>8</v>
      </c>
      <c r="B461" s="1" t="n">
        <v>19</v>
      </c>
      <c r="C461" s="1" t="n">
        <v>14</v>
      </c>
      <c r="D461" s="1" t="s">
        <v>211</v>
      </c>
      <c r="E461" s="1" t="s">
        <v>198</v>
      </c>
      <c r="F461" s="1" t="n">
        <v>3510</v>
      </c>
      <c r="G461" s="4" t="n">
        <v>0</v>
      </c>
      <c r="H461" s="1" t="s">
        <v>381</v>
      </c>
    </row>
    <row r="462" customFormat="false" ht="12.8" hidden="false" customHeight="false" outlineLevel="0" collapsed="false">
      <c r="A462" s="1" t="s">
        <v>8</v>
      </c>
      <c r="B462" s="1" t="n">
        <v>19</v>
      </c>
      <c r="C462" s="1" t="n">
        <v>15</v>
      </c>
      <c r="D462" s="1" t="s">
        <v>198</v>
      </c>
      <c r="E462" s="1" t="s">
        <v>206</v>
      </c>
      <c r="F462" s="1" t="n">
        <v>3510</v>
      </c>
      <c r="G462" s="4" t="n">
        <v>1</v>
      </c>
      <c r="H462" s="1" t="s">
        <v>382</v>
      </c>
    </row>
    <row r="463" customFormat="false" ht="12.8" hidden="false" customHeight="false" outlineLevel="0" collapsed="false">
      <c r="A463" s="1" t="s">
        <v>8</v>
      </c>
      <c r="B463" s="1" t="n">
        <v>19</v>
      </c>
      <c r="C463" s="1" t="n">
        <v>16</v>
      </c>
      <c r="D463" s="1" t="s">
        <v>206</v>
      </c>
      <c r="E463" s="1" t="s">
        <v>211</v>
      </c>
      <c r="F463" s="1" t="n">
        <v>3510</v>
      </c>
      <c r="G463" s="4" t="n">
        <v>0</v>
      </c>
      <c r="H463" s="1" t="s">
        <v>380</v>
      </c>
    </row>
    <row r="464" customFormat="false" ht="12.8" hidden="false" customHeight="false" outlineLevel="0" collapsed="false">
      <c r="A464" s="1" t="s">
        <v>8</v>
      </c>
      <c r="B464" s="1" t="n">
        <v>19</v>
      </c>
      <c r="C464" s="1" t="n">
        <v>17</v>
      </c>
      <c r="D464" s="1" t="s">
        <v>211</v>
      </c>
      <c r="E464" s="1" t="s">
        <v>198</v>
      </c>
      <c r="F464" s="1" t="n">
        <v>3510</v>
      </c>
      <c r="G464" s="4" t="n">
        <v>0</v>
      </c>
      <c r="H464" s="1" t="s">
        <v>381</v>
      </c>
    </row>
    <row r="465" customFormat="false" ht="12.8" hidden="false" customHeight="false" outlineLevel="0" collapsed="false">
      <c r="A465" s="1" t="s">
        <v>8</v>
      </c>
      <c r="B465" s="1" t="n">
        <v>19</v>
      </c>
      <c r="C465" s="1" t="n">
        <v>18</v>
      </c>
      <c r="D465" s="1" t="s">
        <v>198</v>
      </c>
      <c r="E465" s="1" t="s">
        <v>206</v>
      </c>
      <c r="F465" s="1" t="n">
        <v>3510</v>
      </c>
      <c r="G465" s="4" t="n">
        <v>1</v>
      </c>
      <c r="H465" s="1" t="s">
        <v>382</v>
      </c>
    </row>
    <row r="466" customFormat="false" ht="12.8" hidden="false" customHeight="false" outlineLevel="0" collapsed="false">
      <c r="A466" s="1" t="s">
        <v>8</v>
      </c>
      <c r="B466" s="1" t="n">
        <v>19</v>
      </c>
      <c r="C466" s="1" t="n">
        <v>19</v>
      </c>
      <c r="D466" s="1" t="s">
        <v>206</v>
      </c>
      <c r="E466" s="1" t="s">
        <v>211</v>
      </c>
      <c r="F466" s="1" t="n">
        <v>3510</v>
      </c>
      <c r="G466" s="4" t="n">
        <v>0</v>
      </c>
      <c r="H466" s="1" t="s">
        <v>380</v>
      </c>
    </row>
    <row r="467" customFormat="false" ht="12.8" hidden="false" customHeight="false" outlineLevel="0" collapsed="false">
      <c r="A467" s="1" t="s">
        <v>8</v>
      </c>
      <c r="B467" s="1" t="n">
        <v>19</v>
      </c>
      <c r="C467" s="1" t="n">
        <v>20</v>
      </c>
      <c r="D467" s="1" t="s">
        <v>211</v>
      </c>
      <c r="E467" s="1" t="s">
        <v>202</v>
      </c>
      <c r="F467" s="1" t="n">
        <v>3510</v>
      </c>
      <c r="G467" s="4" t="n">
        <v>0</v>
      </c>
      <c r="H467" s="1" t="s">
        <v>385</v>
      </c>
    </row>
    <row r="468" customFormat="false" ht="12.8" hidden="false" customHeight="false" outlineLevel="0" collapsed="false">
      <c r="A468" s="1" t="s">
        <v>8</v>
      </c>
      <c r="B468" s="1" t="n">
        <v>19</v>
      </c>
      <c r="C468" s="1" t="n">
        <v>21</v>
      </c>
      <c r="D468" s="1" t="s">
        <v>202</v>
      </c>
      <c r="E468" s="1" t="s">
        <v>206</v>
      </c>
      <c r="F468" s="1" t="n">
        <v>3510</v>
      </c>
      <c r="G468" s="4" t="n">
        <v>0</v>
      </c>
      <c r="H468" s="1" t="s">
        <v>386</v>
      </c>
    </row>
    <row r="469" customFormat="false" ht="12.8" hidden="false" customHeight="false" outlineLevel="0" collapsed="false">
      <c r="A469" s="1" t="s">
        <v>8</v>
      </c>
      <c r="B469" s="1" t="n">
        <v>19</v>
      </c>
      <c r="C469" s="1" t="n">
        <v>22</v>
      </c>
      <c r="D469" s="1" t="s">
        <v>206</v>
      </c>
      <c r="E469" s="1" t="s">
        <v>200</v>
      </c>
      <c r="F469" s="1" t="n">
        <v>3510</v>
      </c>
      <c r="G469" s="4" t="n">
        <v>0</v>
      </c>
      <c r="H469" s="1" t="s">
        <v>387</v>
      </c>
    </row>
    <row r="470" customFormat="false" ht="12.8" hidden="false" customHeight="false" outlineLevel="0" collapsed="false">
      <c r="A470" s="1" t="s">
        <v>8</v>
      </c>
      <c r="B470" s="1" t="n">
        <v>19</v>
      </c>
      <c r="C470" s="1" t="n">
        <v>23</v>
      </c>
      <c r="D470" s="1" t="s">
        <v>200</v>
      </c>
      <c r="E470" s="1" t="s">
        <v>206</v>
      </c>
      <c r="F470" s="1" t="n">
        <v>3510</v>
      </c>
      <c r="G470" s="4" t="n">
        <v>1</v>
      </c>
      <c r="H470" s="1" t="s">
        <v>384</v>
      </c>
    </row>
    <row r="471" customFormat="false" ht="12.8" hidden="false" customHeight="false" outlineLevel="0" collapsed="false">
      <c r="A471" s="1" t="s">
        <v>8</v>
      </c>
      <c r="B471" s="1" t="n">
        <v>19</v>
      </c>
      <c r="C471" s="1" t="n">
        <v>24</v>
      </c>
      <c r="D471" s="1" t="s">
        <v>206</v>
      </c>
      <c r="E471" s="1" t="s">
        <v>211</v>
      </c>
      <c r="F471" s="1" t="n">
        <v>3510</v>
      </c>
      <c r="G471" s="4" t="n">
        <v>0</v>
      </c>
      <c r="H471" s="1" t="s">
        <v>380</v>
      </c>
    </row>
    <row r="472" customFormat="false" ht="12.8" hidden="false" customHeight="false" outlineLevel="0" collapsed="false">
      <c r="A472" s="1" t="s">
        <v>8</v>
      </c>
      <c r="B472" s="1" t="n">
        <v>19</v>
      </c>
      <c r="C472" s="1" t="n">
        <v>25</v>
      </c>
      <c r="D472" s="1" t="s">
        <v>211</v>
      </c>
      <c r="E472" s="1" t="s">
        <v>202</v>
      </c>
      <c r="F472" s="1" t="n">
        <v>3510</v>
      </c>
      <c r="G472" s="4" t="n">
        <v>0</v>
      </c>
      <c r="H472" s="1" t="s">
        <v>385</v>
      </c>
    </row>
    <row r="473" customFormat="false" ht="12.8" hidden="false" customHeight="false" outlineLevel="0" collapsed="false">
      <c r="A473" s="1" t="s">
        <v>8</v>
      </c>
      <c r="B473" s="1" t="n">
        <v>19</v>
      </c>
      <c r="C473" s="1" t="n">
        <v>26</v>
      </c>
      <c r="D473" s="1" t="s">
        <v>202</v>
      </c>
      <c r="E473" s="1" t="s">
        <v>206</v>
      </c>
      <c r="F473" s="1" t="n">
        <v>3510</v>
      </c>
      <c r="G473" s="4" t="n">
        <v>0</v>
      </c>
      <c r="H473" s="1" t="s">
        <v>386</v>
      </c>
    </row>
    <row r="474" customFormat="false" ht="12.8" hidden="false" customHeight="false" outlineLevel="0" collapsed="false">
      <c r="A474" s="1" t="s">
        <v>8</v>
      </c>
      <c r="B474" s="1" t="n">
        <v>19</v>
      </c>
      <c r="C474" s="1" t="n">
        <v>27</v>
      </c>
      <c r="D474" s="1" t="s">
        <v>206</v>
      </c>
      <c r="E474" s="1" t="s">
        <v>211</v>
      </c>
      <c r="F474" s="1" t="n">
        <v>3510</v>
      </c>
      <c r="G474" s="4" t="n">
        <v>0</v>
      </c>
      <c r="H474" s="1" t="s">
        <v>380</v>
      </c>
    </row>
    <row r="475" customFormat="false" ht="12.8" hidden="false" customHeight="false" outlineLevel="0" collapsed="false">
      <c r="A475" s="1" t="s">
        <v>8</v>
      </c>
      <c r="B475" s="1" t="n">
        <v>19</v>
      </c>
      <c r="C475" s="1" t="n">
        <v>28</v>
      </c>
      <c r="D475" s="1" t="s">
        <v>211</v>
      </c>
      <c r="E475" s="1" t="s">
        <v>198</v>
      </c>
      <c r="F475" s="1" t="n">
        <v>3510</v>
      </c>
      <c r="G475" s="4" t="n">
        <v>0</v>
      </c>
      <c r="H475" s="1" t="s">
        <v>381</v>
      </c>
    </row>
    <row r="476" customFormat="false" ht="12.8" hidden="false" customHeight="false" outlineLevel="0" collapsed="false">
      <c r="A476" s="1" t="s">
        <v>8</v>
      </c>
      <c r="B476" s="1" t="n">
        <v>19</v>
      </c>
      <c r="C476" s="1" t="n">
        <v>29</v>
      </c>
      <c r="D476" s="1" t="s">
        <v>198</v>
      </c>
      <c r="E476" s="1" t="s">
        <v>206</v>
      </c>
      <c r="F476" s="1" t="n">
        <v>3510</v>
      </c>
      <c r="G476" s="4" t="n">
        <v>1</v>
      </c>
      <c r="H476" s="1" t="s">
        <v>382</v>
      </c>
    </row>
    <row r="477" customFormat="false" ht="12.8" hidden="false" customHeight="false" outlineLevel="0" collapsed="false">
      <c r="A477" s="1" t="s">
        <v>8</v>
      </c>
      <c r="B477" s="1" t="n">
        <v>19</v>
      </c>
      <c r="C477" s="1" t="n">
        <v>30</v>
      </c>
      <c r="D477" s="1" t="s">
        <v>206</v>
      </c>
      <c r="E477" s="1" t="s">
        <v>211</v>
      </c>
      <c r="F477" s="1" t="n">
        <v>3510</v>
      </c>
      <c r="G477" s="4" t="n">
        <v>0</v>
      </c>
      <c r="H477" s="1" t="s">
        <v>380</v>
      </c>
    </row>
    <row r="478" customFormat="false" ht="12.8" hidden="false" customHeight="false" outlineLevel="0" collapsed="false">
      <c r="A478" s="1" t="s">
        <v>8</v>
      </c>
      <c r="B478" s="1" t="n">
        <v>19</v>
      </c>
      <c r="C478" s="1" t="n">
        <v>31</v>
      </c>
      <c r="D478" s="1" t="s">
        <v>211</v>
      </c>
      <c r="E478" s="1" t="s">
        <v>198</v>
      </c>
      <c r="F478" s="1" t="n">
        <v>3510</v>
      </c>
      <c r="G478" s="4" t="n">
        <v>0</v>
      </c>
      <c r="H478" s="1" t="s">
        <v>381</v>
      </c>
    </row>
    <row r="479" customFormat="false" ht="12.8" hidden="false" customHeight="false" outlineLevel="0" collapsed="false">
      <c r="A479" s="1" t="s">
        <v>8</v>
      </c>
      <c r="B479" s="1" t="n">
        <v>19</v>
      </c>
      <c r="C479" s="1" t="n">
        <v>32</v>
      </c>
      <c r="D479" s="1" t="s">
        <v>198</v>
      </c>
      <c r="E479" s="1" t="s">
        <v>206</v>
      </c>
      <c r="F479" s="1" t="n">
        <v>3510</v>
      </c>
      <c r="G479" s="4" t="n">
        <v>1</v>
      </c>
      <c r="H479" s="1" t="s">
        <v>382</v>
      </c>
    </row>
    <row r="480" customFormat="false" ht="12.8" hidden="false" customHeight="false" outlineLevel="0" collapsed="false">
      <c r="A480" s="1" t="s">
        <v>8</v>
      </c>
      <c r="B480" s="1" t="n">
        <v>19</v>
      </c>
      <c r="C480" s="1" t="n">
        <v>33</v>
      </c>
      <c r="D480" s="1" t="s">
        <v>206</v>
      </c>
      <c r="E480" s="1" t="s">
        <v>211</v>
      </c>
      <c r="F480" s="1" t="n">
        <v>3510</v>
      </c>
      <c r="G480" s="4" t="n">
        <v>0</v>
      </c>
      <c r="H480" s="1" t="s">
        <v>380</v>
      </c>
    </row>
    <row r="481" customFormat="false" ht="12.8" hidden="false" customHeight="false" outlineLevel="0" collapsed="false">
      <c r="A481" s="1" t="s">
        <v>8</v>
      </c>
      <c r="B481" s="1" t="n">
        <v>19</v>
      </c>
      <c r="C481" s="1" t="n">
        <v>34</v>
      </c>
      <c r="D481" s="1" t="s">
        <v>211</v>
      </c>
      <c r="E481" s="1" t="s">
        <v>198</v>
      </c>
      <c r="F481" s="1" t="n">
        <v>3510</v>
      </c>
      <c r="G481" s="4" t="n">
        <v>1</v>
      </c>
      <c r="H481" s="1" t="s">
        <v>388</v>
      </c>
    </row>
    <row r="482" customFormat="false" ht="12.8" hidden="false" customHeight="false" outlineLevel="0" collapsed="false">
      <c r="A482" s="1" t="s">
        <v>8</v>
      </c>
      <c r="B482" s="1" t="n">
        <v>19</v>
      </c>
      <c r="C482" s="1" t="n">
        <v>35</v>
      </c>
      <c r="F482" s="1" t="n">
        <v>3510</v>
      </c>
      <c r="G482" s="4" t="n">
        <v>0</v>
      </c>
      <c r="H482" s="1" t="s">
        <v>377</v>
      </c>
    </row>
    <row r="483" customFormat="false" ht="12.8" hidden="false" customHeight="false" outlineLevel="0" collapsed="false">
      <c r="A483" s="1" t="s">
        <v>8</v>
      </c>
      <c r="B483" s="1" t="n">
        <v>29</v>
      </c>
      <c r="C483" s="1" t="n">
        <v>1</v>
      </c>
      <c r="F483" s="1" t="n">
        <v>3350</v>
      </c>
      <c r="G483" s="4" t="n">
        <v>0</v>
      </c>
      <c r="H483" s="1" t="s">
        <v>360</v>
      </c>
    </row>
    <row r="484" customFormat="false" ht="12.8" hidden="false" customHeight="false" outlineLevel="0" collapsed="false">
      <c r="A484" s="1" t="s">
        <v>8</v>
      </c>
      <c r="B484" s="1" t="n">
        <v>29</v>
      </c>
      <c r="C484" s="1" t="n">
        <v>2</v>
      </c>
      <c r="D484" s="1" t="s">
        <v>201</v>
      </c>
      <c r="E484" s="1" t="s">
        <v>213</v>
      </c>
      <c r="F484" s="1" t="n">
        <v>3350</v>
      </c>
      <c r="G484" s="4" t="n">
        <v>0</v>
      </c>
      <c r="H484" s="1" t="s">
        <v>389</v>
      </c>
    </row>
    <row r="485" customFormat="false" ht="12.8" hidden="false" customHeight="false" outlineLevel="0" collapsed="false">
      <c r="A485" s="1" t="s">
        <v>8</v>
      </c>
      <c r="B485" s="1" t="n">
        <v>29</v>
      </c>
      <c r="C485" s="1" t="n">
        <v>3</v>
      </c>
      <c r="D485" s="1" t="s">
        <v>213</v>
      </c>
      <c r="E485" s="1" t="s">
        <v>206</v>
      </c>
      <c r="F485" s="1" t="n">
        <v>3350</v>
      </c>
      <c r="G485" s="4" t="n">
        <v>0</v>
      </c>
      <c r="H485" s="1" t="s">
        <v>390</v>
      </c>
    </row>
    <row r="486" customFormat="false" ht="12.8" hidden="false" customHeight="false" outlineLevel="0" collapsed="false">
      <c r="A486" s="1" t="s">
        <v>8</v>
      </c>
      <c r="B486" s="1" t="n">
        <v>29</v>
      </c>
      <c r="C486" s="1" t="n">
        <v>4</v>
      </c>
      <c r="D486" s="1" t="s">
        <v>206</v>
      </c>
      <c r="E486" s="1" t="s">
        <v>213</v>
      </c>
      <c r="F486" s="1" t="n">
        <v>3350</v>
      </c>
      <c r="G486" s="4" t="n">
        <v>0</v>
      </c>
      <c r="H486" s="1" t="s">
        <v>391</v>
      </c>
    </row>
    <row r="487" customFormat="false" ht="12.8" hidden="false" customHeight="false" outlineLevel="0" collapsed="false">
      <c r="A487" s="1" t="s">
        <v>8</v>
      </c>
      <c r="B487" s="1" t="n">
        <v>29</v>
      </c>
      <c r="C487" s="1" t="n">
        <v>5</v>
      </c>
      <c r="D487" s="1" t="s">
        <v>213</v>
      </c>
      <c r="E487" s="1" t="s">
        <v>199</v>
      </c>
      <c r="F487" s="1" t="n">
        <v>3350</v>
      </c>
      <c r="G487" s="4" t="n">
        <v>0</v>
      </c>
      <c r="H487" s="1" t="s">
        <v>392</v>
      </c>
    </row>
    <row r="488" customFormat="false" ht="12.8" hidden="false" customHeight="false" outlineLevel="0" collapsed="false">
      <c r="A488" s="1" t="s">
        <v>8</v>
      </c>
      <c r="B488" s="1" t="n">
        <v>29</v>
      </c>
      <c r="C488" s="1" t="n">
        <v>6</v>
      </c>
      <c r="D488" s="1" t="s">
        <v>199</v>
      </c>
      <c r="E488" s="1" t="s">
        <v>206</v>
      </c>
      <c r="F488" s="1" t="n">
        <v>3350</v>
      </c>
      <c r="G488" s="4" t="n">
        <v>0</v>
      </c>
      <c r="H488" s="1" t="s">
        <v>393</v>
      </c>
    </row>
    <row r="489" customFormat="false" ht="12.8" hidden="false" customHeight="false" outlineLevel="0" collapsed="false">
      <c r="A489" s="1" t="s">
        <v>8</v>
      </c>
      <c r="B489" s="1" t="n">
        <v>29</v>
      </c>
      <c r="C489" s="1" t="n">
        <v>7</v>
      </c>
      <c r="D489" s="1" t="s">
        <v>206</v>
      </c>
      <c r="E489" s="1" t="s">
        <v>213</v>
      </c>
      <c r="F489" s="1" t="n">
        <v>3350</v>
      </c>
      <c r="G489" s="4" t="n">
        <v>0</v>
      </c>
      <c r="H489" s="1" t="s">
        <v>391</v>
      </c>
    </row>
    <row r="490" customFormat="false" ht="12.8" hidden="false" customHeight="false" outlineLevel="0" collapsed="false">
      <c r="A490" s="1" t="s">
        <v>8</v>
      </c>
      <c r="B490" s="1" t="n">
        <v>29</v>
      </c>
      <c r="C490" s="1" t="n">
        <v>8</v>
      </c>
      <c r="D490" s="1" t="s">
        <v>213</v>
      </c>
      <c r="E490" s="1" t="s">
        <v>201</v>
      </c>
      <c r="F490" s="1" t="n">
        <v>3350</v>
      </c>
      <c r="G490" s="4" t="n">
        <v>0</v>
      </c>
      <c r="H490" s="1" t="s">
        <v>394</v>
      </c>
    </row>
    <row r="491" customFormat="false" ht="12.8" hidden="false" customHeight="false" outlineLevel="0" collapsed="false">
      <c r="A491" s="1" t="s">
        <v>8</v>
      </c>
      <c r="B491" s="1" t="n">
        <v>29</v>
      </c>
      <c r="C491" s="1" t="n">
        <v>9</v>
      </c>
      <c r="D491" s="1" t="s">
        <v>201</v>
      </c>
      <c r="E491" s="1" t="s">
        <v>206</v>
      </c>
      <c r="F491" s="1" t="n">
        <v>3350</v>
      </c>
      <c r="G491" s="4" t="n">
        <v>0</v>
      </c>
      <c r="H491" s="1" t="s">
        <v>395</v>
      </c>
    </row>
    <row r="492" customFormat="false" ht="12.8" hidden="false" customHeight="false" outlineLevel="0" collapsed="false">
      <c r="A492" s="1" t="s">
        <v>8</v>
      </c>
      <c r="B492" s="1" t="n">
        <v>29</v>
      </c>
      <c r="C492" s="1" t="n">
        <v>10</v>
      </c>
      <c r="D492" s="1" t="s">
        <v>206</v>
      </c>
      <c r="E492" s="1" t="s">
        <v>213</v>
      </c>
      <c r="F492" s="1" t="n">
        <v>3350</v>
      </c>
      <c r="G492" s="4" t="n">
        <v>0</v>
      </c>
      <c r="H492" s="1" t="s">
        <v>391</v>
      </c>
    </row>
    <row r="493" customFormat="false" ht="12.8" hidden="false" customHeight="false" outlineLevel="0" collapsed="false">
      <c r="A493" s="1" t="s">
        <v>8</v>
      </c>
      <c r="B493" s="1" t="n">
        <v>29</v>
      </c>
      <c r="C493" s="1" t="n">
        <v>11</v>
      </c>
      <c r="D493" s="1" t="s">
        <v>213</v>
      </c>
      <c r="E493" s="1" t="s">
        <v>201</v>
      </c>
      <c r="F493" s="1" t="n">
        <v>3350</v>
      </c>
      <c r="G493" s="4" t="n">
        <v>0</v>
      </c>
      <c r="H493" s="1" t="s">
        <v>394</v>
      </c>
    </row>
    <row r="494" customFormat="false" ht="12.8" hidden="false" customHeight="false" outlineLevel="0" collapsed="false">
      <c r="A494" s="1" t="s">
        <v>8</v>
      </c>
      <c r="B494" s="1" t="n">
        <v>29</v>
      </c>
      <c r="C494" s="1" t="n">
        <v>12</v>
      </c>
      <c r="D494" s="1" t="s">
        <v>201</v>
      </c>
      <c r="E494" s="1" t="s">
        <v>206</v>
      </c>
      <c r="F494" s="1" t="n">
        <v>3350</v>
      </c>
      <c r="G494" s="4" t="n">
        <v>0</v>
      </c>
      <c r="H494" s="1" t="s">
        <v>395</v>
      </c>
    </row>
    <row r="495" customFormat="false" ht="12.8" hidden="false" customHeight="false" outlineLevel="0" collapsed="false">
      <c r="A495" s="1" t="s">
        <v>8</v>
      </c>
      <c r="B495" s="1" t="n">
        <v>29</v>
      </c>
      <c r="C495" s="1" t="n">
        <v>13</v>
      </c>
      <c r="D495" s="1" t="s">
        <v>206</v>
      </c>
      <c r="E495" s="1" t="s">
        <v>213</v>
      </c>
      <c r="F495" s="1" t="n">
        <v>3350</v>
      </c>
      <c r="G495" s="4" t="n">
        <v>0</v>
      </c>
      <c r="H495" s="1" t="s">
        <v>391</v>
      </c>
    </row>
    <row r="496" customFormat="false" ht="12.8" hidden="false" customHeight="false" outlineLevel="0" collapsed="false">
      <c r="A496" s="1" t="s">
        <v>8</v>
      </c>
      <c r="B496" s="1" t="n">
        <v>29</v>
      </c>
      <c r="C496" s="1" t="n">
        <v>14</v>
      </c>
      <c r="D496" s="1" t="s">
        <v>213</v>
      </c>
      <c r="E496" s="1" t="s">
        <v>199</v>
      </c>
      <c r="F496" s="1" t="n">
        <v>3350</v>
      </c>
      <c r="G496" s="4" t="n">
        <v>1</v>
      </c>
      <c r="H496" s="1" t="s">
        <v>396</v>
      </c>
    </row>
    <row r="497" customFormat="false" ht="12.8" hidden="false" customHeight="false" outlineLevel="0" collapsed="false">
      <c r="A497" s="1" t="s">
        <v>8</v>
      </c>
      <c r="B497" s="1" t="n">
        <v>29</v>
      </c>
      <c r="C497" s="1" t="n">
        <v>15</v>
      </c>
      <c r="D497" s="1" t="s">
        <v>199</v>
      </c>
      <c r="E497" s="1" t="s">
        <v>206</v>
      </c>
      <c r="F497" s="1" t="n">
        <v>3350</v>
      </c>
      <c r="G497" s="4" t="n">
        <v>1</v>
      </c>
      <c r="H497" s="1" t="s">
        <v>397</v>
      </c>
    </row>
    <row r="498" customFormat="false" ht="12.8" hidden="false" customHeight="false" outlineLevel="0" collapsed="false">
      <c r="A498" s="1" t="s">
        <v>8</v>
      </c>
      <c r="B498" s="1" t="n">
        <v>29</v>
      </c>
      <c r="C498" s="1" t="n">
        <v>16</v>
      </c>
      <c r="D498" s="1" t="s">
        <v>206</v>
      </c>
      <c r="E498" s="1" t="s">
        <v>213</v>
      </c>
      <c r="F498" s="1" t="n">
        <v>3350</v>
      </c>
      <c r="G498" s="4" t="n">
        <v>0</v>
      </c>
      <c r="H498" s="1" t="s">
        <v>391</v>
      </c>
    </row>
    <row r="499" customFormat="false" ht="12.8" hidden="false" customHeight="false" outlineLevel="0" collapsed="false">
      <c r="A499" s="1" t="s">
        <v>8</v>
      </c>
      <c r="B499" s="1" t="n">
        <v>29</v>
      </c>
      <c r="C499" s="1" t="n">
        <v>17</v>
      </c>
      <c r="D499" s="1" t="s">
        <v>213</v>
      </c>
      <c r="E499" s="1" t="s">
        <v>199</v>
      </c>
      <c r="F499" s="1" t="n">
        <v>3350</v>
      </c>
      <c r="G499" s="4" t="n">
        <v>0</v>
      </c>
      <c r="H499" s="1" t="s">
        <v>392</v>
      </c>
    </row>
    <row r="500" customFormat="false" ht="12.8" hidden="false" customHeight="false" outlineLevel="0" collapsed="false">
      <c r="A500" s="1" t="s">
        <v>8</v>
      </c>
      <c r="B500" s="1" t="n">
        <v>29</v>
      </c>
      <c r="C500" s="1" t="n">
        <v>18</v>
      </c>
      <c r="D500" s="1" t="s">
        <v>199</v>
      </c>
      <c r="E500" s="1" t="s">
        <v>206</v>
      </c>
      <c r="F500" s="1" t="n">
        <v>3350</v>
      </c>
      <c r="G500" s="4" t="n">
        <v>0</v>
      </c>
      <c r="H500" s="1" t="s">
        <v>393</v>
      </c>
    </row>
    <row r="501" customFormat="false" ht="12.8" hidden="false" customHeight="false" outlineLevel="0" collapsed="false">
      <c r="A501" s="1" t="s">
        <v>8</v>
      </c>
      <c r="B501" s="1" t="n">
        <v>29</v>
      </c>
      <c r="C501" s="1" t="n">
        <v>19</v>
      </c>
      <c r="D501" s="1" t="s">
        <v>206</v>
      </c>
      <c r="E501" s="1" t="s">
        <v>213</v>
      </c>
      <c r="F501" s="1" t="n">
        <v>3350</v>
      </c>
      <c r="G501" s="4" t="n">
        <v>0</v>
      </c>
      <c r="H501" s="1" t="s">
        <v>391</v>
      </c>
    </row>
    <row r="502" customFormat="false" ht="12.8" hidden="false" customHeight="false" outlineLevel="0" collapsed="false">
      <c r="A502" s="1" t="s">
        <v>8</v>
      </c>
      <c r="B502" s="1" t="n">
        <v>29</v>
      </c>
      <c r="C502" s="1" t="n">
        <v>20</v>
      </c>
      <c r="D502" s="1" t="s">
        <v>213</v>
      </c>
      <c r="E502" s="1" t="s">
        <v>203</v>
      </c>
      <c r="F502" s="1" t="n">
        <v>3350</v>
      </c>
      <c r="G502" s="4" t="n">
        <v>0</v>
      </c>
      <c r="H502" s="1" t="s">
        <v>398</v>
      </c>
    </row>
    <row r="503" customFormat="false" ht="12.8" hidden="false" customHeight="false" outlineLevel="0" collapsed="false">
      <c r="A503" s="1" t="s">
        <v>8</v>
      </c>
      <c r="B503" s="1" t="n">
        <v>29</v>
      </c>
      <c r="C503" s="1" t="n">
        <v>21</v>
      </c>
      <c r="D503" s="1" t="s">
        <v>203</v>
      </c>
      <c r="E503" s="1" t="s">
        <v>206</v>
      </c>
      <c r="F503" s="1" t="n">
        <v>3350</v>
      </c>
      <c r="G503" s="4" t="n">
        <v>0</v>
      </c>
      <c r="H503" s="1" t="s">
        <v>399</v>
      </c>
    </row>
    <row r="504" customFormat="false" ht="12.8" hidden="false" customHeight="false" outlineLevel="0" collapsed="false">
      <c r="A504" s="1" t="s">
        <v>8</v>
      </c>
      <c r="B504" s="1" t="n">
        <v>29</v>
      </c>
      <c r="C504" s="1" t="n">
        <v>22</v>
      </c>
      <c r="D504" s="1" t="s">
        <v>206</v>
      </c>
      <c r="E504" s="1" t="s">
        <v>201</v>
      </c>
      <c r="F504" s="1" t="n">
        <v>3350</v>
      </c>
      <c r="G504" s="4" t="n">
        <v>0</v>
      </c>
      <c r="H504" s="1" t="s">
        <v>400</v>
      </c>
    </row>
    <row r="505" customFormat="false" ht="12.8" hidden="false" customHeight="false" outlineLevel="0" collapsed="false">
      <c r="A505" s="1" t="s">
        <v>8</v>
      </c>
      <c r="B505" s="1" t="n">
        <v>29</v>
      </c>
      <c r="C505" s="1" t="n">
        <v>23</v>
      </c>
      <c r="D505" s="1" t="s">
        <v>201</v>
      </c>
      <c r="E505" s="1" t="s">
        <v>206</v>
      </c>
      <c r="F505" s="1" t="n">
        <v>3350</v>
      </c>
      <c r="G505" s="4" t="n">
        <v>0</v>
      </c>
      <c r="H505" s="1" t="s">
        <v>395</v>
      </c>
    </row>
    <row r="506" customFormat="false" ht="12.8" hidden="false" customHeight="false" outlineLevel="0" collapsed="false">
      <c r="A506" s="1" t="s">
        <v>8</v>
      </c>
      <c r="B506" s="1" t="n">
        <v>29</v>
      </c>
      <c r="C506" s="1" t="n">
        <v>24</v>
      </c>
      <c r="D506" s="1" t="s">
        <v>206</v>
      </c>
      <c r="E506" s="1" t="s">
        <v>213</v>
      </c>
      <c r="F506" s="1" t="n">
        <v>3350</v>
      </c>
      <c r="G506" s="4" t="n">
        <v>0</v>
      </c>
      <c r="H506" s="1" t="s">
        <v>391</v>
      </c>
    </row>
    <row r="507" customFormat="false" ht="12.8" hidden="false" customHeight="false" outlineLevel="0" collapsed="false">
      <c r="A507" s="1" t="s">
        <v>8</v>
      </c>
      <c r="B507" s="1" t="n">
        <v>29</v>
      </c>
      <c r="C507" s="1" t="n">
        <v>25</v>
      </c>
      <c r="D507" s="1" t="s">
        <v>213</v>
      </c>
      <c r="E507" s="1" t="s">
        <v>203</v>
      </c>
      <c r="F507" s="1" t="n">
        <v>3350</v>
      </c>
      <c r="G507" s="4" t="n">
        <v>0</v>
      </c>
      <c r="H507" s="1" t="s">
        <v>398</v>
      </c>
    </row>
    <row r="508" customFormat="false" ht="12.8" hidden="false" customHeight="false" outlineLevel="0" collapsed="false">
      <c r="A508" s="1" t="s">
        <v>8</v>
      </c>
      <c r="B508" s="1" t="n">
        <v>29</v>
      </c>
      <c r="C508" s="1" t="n">
        <v>26</v>
      </c>
      <c r="D508" s="1" t="s">
        <v>203</v>
      </c>
      <c r="E508" s="1" t="s">
        <v>206</v>
      </c>
      <c r="F508" s="1" t="n">
        <v>3350</v>
      </c>
      <c r="G508" s="4" t="n">
        <v>0</v>
      </c>
      <c r="H508" s="1" t="s">
        <v>399</v>
      </c>
    </row>
    <row r="509" customFormat="false" ht="12.8" hidden="false" customHeight="false" outlineLevel="0" collapsed="false">
      <c r="A509" s="1" t="s">
        <v>8</v>
      </c>
      <c r="B509" s="1" t="n">
        <v>29</v>
      </c>
      <c r="C509" s="1" t="n">
        <v>27</v>
      </c>
      <c r="D509" s="1" t="s">
        <v>206</v>
      </c>
      <c r="E509" s="1" t="s">
        <v>213</v>
      </c>
      <c r="F509" s="1" t="n">
        <v>3350</v>
      </c>
      <c r="G509" s="4" t="n">
        <v>0</v>
      </c>
      <c r="H509" s="1" t="s">
        <v>391</v>
      </c>
    </row>
    <row r="510" customFormat="false" ht="12.8" hidden="false" customHeight="false" outlineLevel="0" collapsed="false">
      <c r="A510" s="1" t="s">
        <v>8</v>
      </c>
      <c r="B510" s="1" t="n">
        <v>29</v>
      </c>
      <c r="C510" s="1" t="n">
        <v>28</v>
      </c>
      <c r="D510" s="1" t="s">
        <v>213</v>
      </c>
      <c r="E510" s="1" t="s">
        <v>199</v>
      </c>
      <c r="F510" s="1" t="n">
        <v>3350</v>
      </c>
      <c r="G510" s="4" t="n">
        <v>1</v>
      </c>
      <c r="H510" s="1" t="s">
        <v>396</v>
      </c>
    </row>
    <row r="511" customFormat="false" ht="12.8" hidden="false" customHeight="false" outlineLevel="0" collapsed="false">
      <c r="A511" s="1" t="s">
        <v>8</v>
      </c>
      <c r="B511" s="1" t="n">
        <v>29</v>
      </c>
      <c r="C511" s="1" t="n">
        <v>29</v>
      </c>
      <c r="D511" s="1" t="s">
        <v>199</v>
      </c>
      <c r="E511" s="1" t="s">
        <v>206</v>
      </c>
      <c r="F511" s="1" t="n">
        <v>3350</v>
      </c>
      <c r="G511" s="4" t="n">
        <v>1</v>
      </c>
      <c r="H511" s="1" t="s">
        <v>397</v>
      </c>
    </row>
    <row r="512" customFormat="false" ht="12.8" hidden="false" customHeight="false" outlineLevel="0" collapsed="false">
      <c r="A512" s="1" t="s">
        <v>8</v>
      </c>
      <c r="B512" s="1" t="n">
        <v>29</v>
      </c>
      <c r="C512" s="1" t="n">
        <v>30</v>
      </c>
      <c r="D512" s="1" t="s">
        <v>206</v>
      </c>
      <c r="E512" s="1" t="s">
        <v>213</v>
      </c>
      <c r="F512" s="1" t="n">
        <v>3350</v>
      </c>
      <c r="G512" s="4" t="n">
        <v>0</v>
      </c>
      <c r="H512" s="1" t="s">
        <v>391</v>
      </c>
    </row>
    <row r="513" customFormat="false" ht="12.8" hidden="false" customHeight="false" outlineLevel="0" collapsed="false">
      <c r="A513" s="1" t="s">
        <v>8</v>
      </c>
      <c r="B513" s="1" t="n">
        <v>29</v>
      </c>
      <c r="C513" s="1" t="n">
        <v>31</v>
      </c>
      <c r="D513" s="1" t="s">
        <v>213</v>
      </c>
      <c r="E513" s="1" t="s">
        <v>199</v>
      </c>
      <c r="F513" s="1" t="n">
        <v>3350</v>
      </c>
      <c r="G513" s="4" t="n">
        <v>0</v>
      </c>
      <c r="H513" s="1" t="s">
        <v>392</v>
      </c>
    </row>
    <row r="514" customFormat="false" ht="12.8" hidden="false" customHeight="false" outlineLevel="0" collapsed="false">
      <c r="A514" s="1" t="s">
        <v>8</v>
      </c>
      <c r="B514" s="1" t="n">
        <v>29</v>
      </c>
      <c r="C514" s="1" t="n">
        <v>32</v>
      </c>
      <c r="D514" s="1" t="s">
        <v>199</v>
      </c>
      <c r="E514" s="1" t="s">
        <v>206</v>
      </c>
      <c r="F514" s="1" t="n">
        <v>3350</v>
      </c>
      <c r="G514" s="4" t="n">
        <v>0</v>
      </c>
      <c r="H514" s="1" t="s">
        <v>393</v>
      </c>
    </row>
    <row r="515" customFormat="false" ht="12.8" hidden="false" customHeight="false" outlineLevel="0" collapsed="false">
      <c r="A515" s="1" t="s">
        <v>8</v>
      </c>
      <c r="B515" s="1" t="n">
        <v>29</v>
      </c>
      <c r="C515" s="1" t="n">
        <v>33</v>
      </c>
      <c r="D515" s="1" t="s">
        <v>206</v>
      </c>
      <c r="E515" s="1" t="s">
        <v>213</v>
      </c>
      <c r="F515" s="1" t="n">
        <v>3350</v>
      </c>
      <c r="G515" s="4" t="n">
        <v>0</v>
      </c>
      <c r="H515" s="1" t="s">
        <v>391</v>
      </c>
    </row>
    <row r="516" customFormat="false" ht="12.8" hidden="false" customHeight="false" outlineLevel="0" collapsed="false">
      <c r="A516" s="1" t="s">
        <v>8</v>
      </c>
      <c r="B516" s="1" t="n">
        <v>29</v>
      </c>
      <c r="C516" s="1" t="n">
        <v>34</v>
      </c>
      <c r="D516" s="1" t="s">
        <v>213</v>
      </c>
      <c r="E516" s="1" t="s">
        <v>199</v>
      </c>
      <c r="F516" s="1" t="n">
        <v>3350</v>
      </c>
      <c r="G516" s="4" t="n">
        <v>2</v>
      </c>
      <c r="H516" s="1" t="s">
        <v>401</v>
      </c>
    </row>
    <row r="517" customFormat="false" ht="12.8" hidden="false" customHeight="false" outlineLevel="0" collapsed="false">
      <c r="A517" s="1" t="s">
        <v>8</v>
      </c>
      <c r="B517" s="1" t="n">
        <v>29</v>
      </c>
      <c r="C517" s="1" t="n">
        <v>35</v>
      </c>
      <c r="F517" s="1" t="n">
        <v>3350</v>
      </c>
      <c r="G517" s="4" t="n">
        <v>0</v>
      </c>
      <c r="H517" s="1" t="s">
        <v>360</v>
      </c>
    </row>
    <row r="518" customFormat="false" ht="12.8" hidden="false" customHeight="false" outlineLevel="0" collapsed="false">
      <c r="A518" s="1" t="s">
        <v>8</v>
      </c>
      <c r="B518" s="1" t="n">
        <v>30</v>
      </c>
      <c r="C518" s="1" t="n">
        <v>1</v>
      </c>
      <c r="F518" s="1" t="n">
        <v>3350</v>
      </c>
      <c r="G518" s="4" t="n">
        <v>0</v>
      </c>
      <c r="H518" s="1" t="s">
        <v>360</v>
      </c>
    </row>
    <row r="519" customFormat="false" ht="12.8" hidden="false" customHeight="false" outlineLevel="0" collapsed="false">
      <c r="A519" s="1" t="s">
        <v>8</v>
      </c>
      <c r="B519" s="1" t="n">
        <v>30</v>
      </c>
      <c r="C519" s="1" t="n">
        <v>2</v>
      </c>
      <c r="D519" s="1" t="s">
        <v>201</v>
      </c>
      <c r="E519" s="1" t="s">
        <v>213</v>
      </c>
      <c r="F519" s="1" t="n">
        <v>3350</v>
      </c>
      <c r="G519" s="4" t="n">
        <v>0</v>
      </c>
      <c r="H519" s="1" t="s">
        <v>389</v>
      </c>
    </row>
    <row r="520" customFormat="false" ht="12.8" hidden="false" customHeight="false" outlineLevel="0" collapsed="false">
      <c r="A520" s="1" t="s">
        <v>8</v>
      </c>
      <c r="B520" s="1" t="n">
        <v>30</v>
      </c>
      <c r="C520" s="1" t="n">
        <v>3</v>
      </c>
      <c r="D520" s="1" t="s">
        <v>213</v>
      </c>
      <c r="E520" s="1" t="s">
        <v>206</v>
      </c>
      <c r="F520" s="1" t="n">
        <v>3350</v>
      </c>
      <c r="G520" s="4" t="n">
        <v>0</v>
      </c>
      <c r="H520" s="1" t="s">
        <v>390</v>
      </c>
    </row>
    <row r="521" customFormat="false" ht="12.8" hidden="false" customHeight="false" outlineLevel="0" collapsed="false">
      <c r="A521" s="1" t="s">
        <v>8</v>
      </c>
      <c r="B521" s="1" t="n">
        <v>30</v>
      </c>
      <c r="C521" s="1" t="n">
        <v>4</v>
      </c>
      <c r="D521" s="1" t="s">
        <v>206</v>
      </c>
      <c r="E521" s="1" t="s">
        <v>199</v>
      </c>
      <c r="F521" s="1" t="n">
        <v>3350</v>
      </c>
      <c r="G521" s="4" t="n">
        <v>0</v>
      </c>
      <c r="H521" s="1" t="s">
        <v>402</v>
      </c>
    </row>
    <row r="522" customFormat="false" ht="12.8" hidden="false" customHeight="false" outlineLevel="0" collapsed="false">
      <c r="A522" s="1" t="s">
        <v>8</v>
      </c>
      <c r="B522" s="1" t="n">
        <v>30</v>
      </c>
      <c r="C522" s="1" t="n">
        <v>5</v>
      </c>
      <c r="D522" s="1" t="s">
        <v>199</v>
      </c>
      <c r="E522" s="1" t="s">
        <v>213</v>
      </c>
      <c r="F522" s="1" t="n">
        <v>3350</v>
      </c>
      <c r="G522" s="4" t="n">
        <v>0</v>
      </c>
      <c r="H522" s="1" t="s">
        <v>403</v>
      </c>
    </row>
    <row r="523" customFormat="false" ht="12.8" hidden="false" customHeight="false" outlineLevel="0" collapsed="false">
      <c r="A523" s="1" t="s">
        <v>8</v>
      </c>
      <c r="B523" s="1" t="n">
        <v>30</v>
      </c>
      <c r="C523" s="1" t="n">
        <v>6</v>
      </c>
      <c r="D523" s="1" t="s">
        <v>213</v>
      </c>
      <c r="E523" s="1" t="s">
        <v>206</v>
      </c>
      <c r="F523" s="1" t="n">
        <v>3350</v>
      </c>
      <c r="G523" s="4" t="n">
        <v>0</v>
      </c>
      <c r="H523" s="1" t="s">
        <v>390</v>
      </c>
    </row>
    <row r="524" customFormat="false" ht="12.8" hidden="false" customHeight="false" outlineLevel="0" collapsed="false">
      <c r="A524" s="1" t="s">
        <v>8</v>
      </c>
      <c r="B524" s="1" t="n">
        <v>30</v>
      </c>
      <c r="C524" s="1" t="n">
        <v>7</v>
      </c>
      <c r="D524" s="1" t="s">
        <v>206</v>
      </c>
      <c r="E524" s="1" t="s">
        <v>201</v>
      </c>
      <c r="F524" s="1" t="n">
        <v>3350</v>
      </c>
      <c r="G524" s="4" t="n">
        <v>0</v>
      </c>
      <c r="H524" s="1" t="s">
        <v>400</v>
      </c>
    </row>
    <row r="525" customFormat="false" ht="12.8" hidden="false" customHeight="false" outlineLevel="0" collapsed="false">
      <c r="A525" s="1" t="s">
        <v>8</v>
      </c>
      <c r="B525" s="1" t="n">
        <v>30</v>
      </c>
      <c r="C525" s="1" t="n">
        <v>8</v>
      </c>
      <c r="D525" s="1" t="s">
        <v>201</v>
      </c>
      <c r="E525" s="1" t="s">
        <v>213</v>
      </c>
      <c r="F525" s="1" t="n">
        <v>3350</v>
      </c>
      <c r="G525" s="4" t="n">
        <v>1</v>
      </c>
      <c r="H525" s="1" t="s">
        <v>404</v>
      </c>
    </row>
    <row r="526" customFormat="false" ht="12.8" hidden="false" customHeight="false" outlineLevel="0" collapsed="false">
      <c r="A526" s="1" t="s">
        <v>8</v>
      </c>
      <c r="B526" s="1" t="n">
        <v>30</v>
      </c>
      <c r="C526" s="1" t="n">
        <v>9</v>
      </c>
      <c r="D526" s="1" t="s">
        <v>213</v>
      </c>
      <c r="E526" s="1" t="s">
        <v>206</v>
      </c>
      <c r="F526" s="1" t="n">
        <v>3350</v>
      </c>
      <c r="G526" s="4" t="n">
        <v>0</v>
      </c>
      <c r="H526" s="1" t="s">
        <v>390</v>
      </c>
    </row>
    <row r="527" customFormat="false" ht="12.8" hidden="false" customHeight="false" outlineLevel="0" collapsed="false">
      <c r="A527" s="1" t="s">
        <v>8</v>
      </c>
      <c r="B527" s="1" t="n">
        <v>30</v>
      </c>
      <c r="C527" s="1" t="n">
        <v>10</v>
      </c>
      <c r="D527" s="1" t="s">
        <v>206</v>
      </c>
      <c r="E527" s="1" t="s">
        <v>201</v>
      </c>
      <c r="F527" s="1" t="n">
        <v>3350</v>
      </c>
      <c r="G527" s="4" t="n">
        <v>0</v>
      </c>
      <c r="H527" s="1" t="s">
        <v>400</v>
      </c>
    </row>
    <row r="528" customFormat="false" ht="12.8" hidden="false" customHeight="false" outlineLevel="0" collapsed="false">
      <c r="A528" s="1" t="s">
        <v>8</v>
      </c>
      <c r="B528" s="1" t="n">
        <v>30</v>
      </c>
      <c r="C528" s="1" t="n">
        <v>11</v>
      </c>
      <c r="D528" s="1" t="s">
        <v>201</v>
      </c>
      <c r="E528" s="1" t="s">
        <v>213</v>
      </c>
      <c r="F528" s="1" t="n">
        <v>3350</v>
      </c>
      <c r="G528" s="4" t="n">
        <v>1</v>
      </c>
      <c r="H528" s="1" t="s">
        <v>404</v>
      </c>
    </row>
    <row r="529" customFormat="false" ht="12.8" hidden="false" customHeight="false" outlineLevel="0" collapsed="false">
      <c r="A529" s="1" t="s">
        <v>8</v>
      </c>
      <c r="B529" s="1" t="n">
        <v>30</v>
      </c>
      <c r="C529" s="1" t="n">
        <v>12</v>
      </c>
      <c r="D529" s="1" t="s">
        <v>213</v>
      </c>
      <c r="E529" s="1" t="s">
        <v>206</v>
      </c>
      <c r="F529" s="1" t="n">
        <v>3350</v>
      </c>
      <c r="G529" s="4" t="n">
        <v>0</v>
      </c>
      <c r="H529" s="1" t="s">
        <v>390</v>
      </c>
    </row>
    <row r="530" customFormat="false" ht="12.8" hidden="false" customHeight="false" outlineLevel="0" collapsed="false">
      <c r="A530" s="1" t="s">
        <v>8</v>
      </c>
      <c r="B530" s="1" t="n">
        <v>30</v>
      </c>
      <c r="C530" s="1" t="n">
        <v>13</v>
      </c>
      <c r="D530" s="1" t="s">
        <v>206</v>
      </c>
      <c r="E530" s="1" t="s">
        <v>199</v>
      </c>
      <c r="F530" s="1" t="n">
        <v>3350</v>
      </c>
      <c r="G530" s="4" t="n">
        <v>1</v>
      </c>
      <c r="H530" s="1" t="s">
        <v>405</v>
      </c>
    </row>
    <row r="531" customFormat="false" ht="12.8" hidden="false" customHeight="false" outlineLevel="0" collapsed="false">
      <c r="A531" s="1" t="s">
        <v>8</v>
      </c>
      <c r="B531" s="1" t="n">
        <v>30</v>
      </c>
      <c r="C531" s="1" t="n">
        <v>14</v>
      </c>
      <c r="D531" s="1" t="s">
        <v>199</v>
      </c>
      <c r="E531" s="1" t="s">
        <v>213</v>
      </c>
      <c r="F531" s="1" t="n">
        <v>3350</v>
      </c>
      <c r="G531" s="4" t="n">
        <v>1</v>
      </c>
      <c r="H531" s="1" t="s">
        <v>406</v>
      </c>
    </row>
    <row r="532" customFormat="false" ht="12.8" hidden="false" customHeight="false" outlineLevel="0" collapsed="false">
      <c r="A532" s="1" t="s">
        <v>8</v>
      </c>
      <c r="B532" s="1" t="n">
        <v>30</v>
      </c>
      <c r="C532" s="1" t="n">
        <v>15</v>
      </c>
      <c r="D532" s="1" t="s">
        <v>213</v>
      </c>
      <c r="E532" s="1" t="s">
        <v>206</v>
      </c>
      <c r="F532" s="1" t="n">
        <v>3350</v>
      </c>
      <c r="G532" s="4" t="n">
        <v>0</v>
      </c>
      <c r="H532" s="1" t="s">
        <v>390</v>
      </c>
    </row>
    <row r="533" customFormat="false" ht="12.8" hidden="false" customHeight="false" outlineLevel="0" collapsed="false">
      <c r="A533" s="1" t="s">
        <v>8</v>
      </c>
      <c r="B533" s="1" t="n">
        <v>30</v>
      </c>
      <c r="C533" s="1" t="n">
        <v>16</v>
      </c>
      <c r="D533" s="1" t="s">
        <v>206</v>
      </c>
      <c r="E533" s="1" t="s">
        <v>199</v>
      </c>
      <c r="F533" s="1" t="n">
        <v>3350</v>
      </c>
      <c r="G533" s="4" t="n">
        <v>0</v>
      </c>
      <c r="H533" s="1" t="s">
        <v>402</v>
      </c>
    </row>
    <row r="534" customFormat="false" ht="12.8" hidden="false" customHeight="false" outlineLevel="0" collapsed="false">
      <c r="A534" s="1" t="s">
        <v>8</v>
      </c>
      <c r="B534" s="1" t="n">
        <v>30</v>
      </c>
      <c r="C534" s="1" t="n">
        <v>17</v>
      </c>
      <c r="D534" s="1" t="s">
        <v>199</v>
      </c>
      <c r="E534" s="1" t="s">
        <v>213</v>
      </c>
      <c r="F534" s="1" t="n">
        <v>3350</v>
      </c>
      <c r="G534" s="4" t="n">
        <v>0</v>
      </c>
      <c r="H534" s="1" t="s">
        <v>403</v>
      </c>
    </row>
    <row r="535" customFormat="false" ht="12.8" hidden="false" customHeight="false" outlineLevel="0" collapsed="false">
      <c r="A535" s="1" t="s">
        <v>8</v>
      </c>
      <c r="B535" s="1" t="n">
        <v>30</v>
      </c>
      <c r="C535" s="1" t="n">
        <v>18</v>
      </c>
      <c r="D535" s="1" t="s">
        <v>213</v>
      </c>
      <c r="E535" s="1" t="s">
        <v>206</v>
      </c>
      <c r="F535" s="1" t="n">
        <v>3350</v>
      </c>
      <c r="G535" s="4" t="n">
        <v>0</v>
      </c>
      <c r="H535" s="1" t="s">
        <v>390</v>
      </c>
    </row>
    <row r="536" customFormat="false" ht="12.8" hidden="false" customHeight="false" outlineLevel="0" collapsed="false">
      <c r="A536" s="1" t="s">
        <v>8</v>
      </c>
      <c r="B536" s="1" t="n">
        <v>30</v>
      </c>
      <c r="C536" s="1" t="n">
        <v>19</v>
      </c>
      <c r="D536" s="1" t="s">
        <v>206</v>
      </c>
      <c r="E536" s="1" t="s">
        <v>203</v>
      </c>
      <c r="F536" s="1" t="n">
        <v>3350</v>
      </c>
      <c r="G536" s="4" t="n">
        <v>0</v>
      </c>
      <c r="H536" s="1" t="s">
        <v>407</v>
      </c>
    </row>
    <row r="537" customFormat="false" ht="12.8" hidden="false" customHeight="false" outlineLevel="0" collapsed="false">
      <c r="A537" s="1" t="s">
        <v>8</v>
      </c>
      <c r="B537" s="1" t="n">
        <v>30</v>
      </c>
      <c r="C537" s="1" t="n">
        <v>20</v>
      </c>
      <c r="D537" s="1" t="s">
        <v>203</v>
      </c>
      <c r="E537" s="1" t="s">
        <v>213</v>
      </c>
      <c r="F537" s="1" t="n">
        <v>3350</v>
      </c>
      <c r="G537" s="4" t="n">
        <v>0</v>
      </c>
      <c r="H537" s="1" t="s">
        <v>408</v>
      </c>
    </row>
    <row r="538" customFormat="false" ht="12.8" hidden="false" customHeight="false" outlineLevel="0" collapsed="false">
      <c r="A538" s="1" t="s">
        <v>8</v>
      </c>
      <c r="B538" s="1" t="n">
        <v>30</v>
      </c>
      <c r="C538" s="1" t="n">
        <v>21</v>
      </c>
      <c r="D538" s="1" t="s">
        <v>213</v>
      </c>
      <c r="E538" s="1" t="s">
        <v>206</v>
      </c>
      <c r="F538" s="1" t="n">
        <v>3350</v>
      </c>
      <c r="G538" s="4" t="n">
        <v>0</v>
      </c>
      <c r="H538" s="1" t="s">
        <v>390</v>
      </c>
    </row>
    <row r="539" customFormat="false" ht="12.8" hidden="false" customHeight="false" outlineLevel="0" collapsed="false">
      <c r="A539" s="1" t="s">
        <v>8</v>
      </c>
      <c r="B539" s="1" t="n">
        <v>30</v>
      </c>
      <c r="C539" s="1" t="n">
        <v>22</v>
      </c>
      <c r="D539" s="1" t="s">
        <v>206</v>
      </c>
      <c r="E539" s="1" t="s">
        <v>201</v>
      </c>
      <c r="F539" s="1" t="n">
        <v>3350</v>
      </c>
      <c r="G539" s="4" t="n">
        <v>0</v>
      </c>
      <c r="H539" s="1" t="s">
        <v>400</v>
      </c>
    </row>
    <row r="540" customFormat="false" ht="12.8" hidden="false" customHeight="false" outlineLevel="0" collapsed="false">
      <c r="A540" s="1" t="s">
        <v>8</v>
      </c>
      <c r="B540" s="1" t="n">
        <v>30</v>
      </c>
      <c r="C540" s="1" t="n">
        <v>23</v>
      </c>
      <c r="D540" s="1" t="s">
        <v>201</v>
      </c>
      <c r="E540" s="1" t="s">
        <v>206</v>
      </c>
      <c r="F540" s="1" t="n">
        <v>3350</v>
      </c>
      <c r="G540" s="4" t="n">
        <v>0</v>
      </c>
      <c r="H540" s="1" t="s">
        <v>395</v>
      </c>
    </row>
    <row r="541" customFormat="false" ht="12.8" hidden="false" customHeight="false" outlineLevel="0" collapsed="false">
      <c r="A541" s="1" t="s">
        <v>8</v>
      </c>
      <c r="B541" s="1" t="n">
        <v>30</v>
      </c>
      <c r="C541" s="1" t="n">
        <v>24</v>
      </c>
      <c r="D541" s="1" t="s">
        <v>206</v>
      </c>
      <c r="E541" s="1" t="s">
        <v>203</v>
      </c>
      <c r="F541" s="1" t="n">
        <v>3350</v>
      </c>
      <c r="G541" s="4" t="n">
        <v>0</v>
      </c>
      <c r="H541" s="1" t="s">
        <v>407</v>
      </c>
    </row>
    <row r="542" customFormat="false" ht="12.8" hidden="false" customHeight="false" outlineLevel="0" collapsed="false">
      <c r="A542" s="1" t="s">
        <v>8</v>
      </c>
      <c r="B542" s="1" t="n">
        <v>30</v>
      </c>
      <c r="C542" s="1" t="n">
        <v>25</v>
      </c>
      <c r="D542" s="1" t="s">
        <v>203</v>
      </c>
      <c r="E542" s="1" t="s">
        <v>213</v>
      </c>
      <c r="F542" s="1" t="n">
        <v>3350</v>
      </c>
      <c r="G542" s="4" t="n">
        <v>0</v>
      </c>
      <c r="H542" s="1" t="s">
        <v>408</v>
      </c>
    </row>
    <row r="543" customFormat="false" ht="12.8" hidden="false" customHeight="false" outlineLevel="0" collapsed="false">
      <c r="A543" s="1" t="s">
        <v>8</v>
      </c>
      <c r="B543" s="1" t="n">
        <v>30</v>
      </c>
      <c r="C543" s="1" t="n">
        <v>26</v>
      </c>
      <c r="D543" s="1" t="s">
        <v>213</v>
      </c>
      <c r="E543" s="1" t="s">
        <v>206</v>
      </c>
      <c r="F543" s="1" t="n">
        <v>3350</v>
      </c>
      <c r="G543" s="4" t="n">
        <v>0</v>
      </c>
      <c r="H543" s="1" t="s">
        <v>390</v>
      </c>
    </row>
    <row r="544" customFormat="false" ht="12.8" hidden="false" customHeight="false" outlineLevel="0" collapsed="false">
      <c r="A544" s="1" t="s">
        <v>8</v>
      </c>
      <c r="B544" s="1" t="n">
        <v>30</v>
      </c>
      <c r="C544" s="1" t="n">
        <v>27</v>
      </c>
      <c r="D544" s="1" t="s">
        <v>206</v>
      </c>
      <c r="E544" s="1" t="s">
        <v>199</v>
      </c>
      <c r="F544" s="1" t="n">
        <v>3350</v>
      </c>
      <c r="G544" s="4" t="n">
        <v>1</v>
      </c>
      <c r="H544" s="1" t="s">
        <v>405</v>
      </c>
    </row>
    <row r="545" customFormat="false" ht="12.8" hidden="false" customHeight="false" outlineLevel="0" collapsed="false">
      <c r="A545" s="1" t="s">
        <v>8</v>
      </c>
      <c r="B545" s="1" t="n">
        <v>30</v>
      </c>
      <c r="C545" s="1" t="n">
        <v>28</v>
      </c>
      <c r="D545" s="1" t="s">
        <v>199</v>
      </c>
      <c r="E545" s="1" t="s">
        <v>213</v>
      </c>
      <c r="F545" s="1" t="n">
        <v>3350</v>
      </c>
      <c r="G545" s="4" t="n">
        <v>1</v>
      </c>
      <c r="H545" s="1" t="s">
        <v>406</v>
      </c>
    </row>
    <row r="546" customFormat="false" ht="12.8" hidden="false" customHeight="false" outlineLevel="0" collapsed="false">
      <c r="A546" s="1" t="s">
        <v>8</v>
      </c>
      <c r="B546" s="1" t="n">
        <v>30</v>
      </c>
      <c r="C546" s="1" t="n">
        <v>29</v>
      </c>
      <c r="D546" s="1" t="s">
        <v>213</v>
      </c>
      <c r="E546" s="1" t="s">
        <v>206</v>
      </c>
      <c r="F546" s="1" t="n">
        <v>3350</v>
      </c>
      <c r="G546" s="4" t="n">
        <v>0</v>
      </c>
      <c r="H546" s="1" t="s">
        <v>390</v>
      </c>
    </row>
    <row r="547" customFormat="false" ht="12.8" hidden="false" customHeight="false" outlineLevel="0" collapsed="false">
      <c r="A547" s="1" t="s">
        <v>8</v>
      </c>
      <c r="B547" s="1" t="n">
        <v>30</v>
      </c>
      <c r="C547" s="1" t="n">
        <v>30</v>
      </c>
      <c r="D547" s="1" t="s">
        <v>206</v>
      </c>
      <c r="E547" s="1" t="s">
        <v>199</v>
      </c>
      <c r="F547" s="1" t="n">
        <v>3350</v>
      </c>
      <c r="G547" s="4" t="n">
        <v>0</v>
      </c>
      <c r="H547" s="1" t="s">
        <v>402</v>
      </c>
    </row>
    <row r="548" customFormat="false" ht="12.8" hidden="false" customHeight="false" outlineLevel="0" collapsed="false">
      <c r="A548" s="1" t="s">
        <v>8</v>
      </c>
      <c r="B548" s="1" t="n">
        <v>30</v>
      </c>
      <c r="C548" s="1" t="n">
        <v>31</v>
      </c>
      <c r="D548" s="1" t="s">
        <v>199</v>
      </c>
      <c r="E548" s="1" t="s">
        <v>213</v>
      </c>
      <c r="F548" s="1" t="n">
        <v>3350</v>
      </c>
      <c r="G548" s="4" t="n">
        <v>0</v>
      </c>
      <c r="H548" s="1" t="s">
        <v>403</v>
      </c>
    </row>
    <row r="549" customFormat="false" ht="12.8" hidden="false" customHeight="false" outlineLevel="0" collapsed="false">
      <c r="A549" s="1" t="s">
        <v>8</v>
      </c>
      <c r="B549" s="1" t="n">
        <v>30</v>
      </c>
      <c r="C549" s="1" t="n">
        <v>32</v>
      </c>
      <c r="D549" s="1" t="s">
        <v>213</v>
      </c>
      <c r="E549" s="1" t="s">
        <v>206</v>
      </c>
      <c r="F549" s="1" t="n">
        <v>3350</v>
      </c>
      <c r="G549" s="4" t="n">
        <v>0</v>
      </c>
      <c r="H549" s="1" t="s">
        <v>390</v>
      </c>
    </row>
    <row r="550" customFormat="false" ht="12.8" hidden="false" customHeight="false" outlineLevel="0" collapsed="false">
      <c r="A550" s="1" t="s">
        <v>8</v>
      </c>
      <c r="B550" s="1" t="n">
        <v>30</v>
      </c>
      <c r="C550" s="1" t="n">
        <v>33</v>
      </c>
      <c r="D550" s="1" t="s">
        <v>206</v>
      </c>
      <c r="E550" s="1" t="s">
        <v>213</v>
      </c>
      <c r="F550" s="1" t="n">
        <v>3350</v>
      </c>
      <c r="G550" s="4" t="n">
        <v>0</v>
      </c>
      <c r="H550" s="1" t="s">
        <v>391</v>
      </c>
    </row>
    <row r="551" customFormat="false" ht="12.8" hidden="false" customHeight="false" outlineLevel="0" collapsed="false">
      <c r="A551" s="1" t="s">
        <v>8</v>
      </c>
      <c r="B551" s="1" t="n">
        <v>30</v>
      </c>
      <c r="C551" s="1" t="n">
        <v>34</v>
      </c>
      <c r="D551" s="1" t="s">
        <v>213</v>
      </c>
      <c r="E551" s="1" t="s">
        <v>199</v>
      </c>
      <c r="F551" s="1" t="n">
        <v>3350</v>
      </c>
      <c r="G551" s="4" t="n">
        <v>2</v>
      </c>
      <c r="H551" s="1" t="s">
        <v>401</v>
      </c>
    </row>
    <row r="552" customFormat="false" ht="12.8" hidden="false" customHeight="false" outlineLevel="0" collapsed="false">
      <c r="A552" s="1" t="s">
        <v>8</v>
      </c>
      <c r="B552" s="1" t="n">
        <v>30</v>
      </c>
      <c r="C552" s="1" t="n">
        <v>35</v>
      </c>
      <c r="F552" s="1" t="n">
        <v>3350</v>
      </c>
      <c r="G552" s="4" t="n">
        <v>0</v>
      </c>
      <c r="H552" s="1" t="s">
        <v>360</v>
      </c>
    </row>
    <row r="553" customFormat="false" ht="12.8" hidden="false" customHeight="false" outlineLevel="0" collapsed="false">
      <c r="A553" s="1" t="s">
        <v>8</v>
      </c>
      <c r="B553" s="1" t="n">
        <v>39</v>
      </c>
      <c r="C553" s="1" t="n">
        <v>1</v>
      </c>
      <c r="F553" s="1" t="n">
        <v>3510</v>
      </c>
      <c r="G553" s="4" t="n">
        <v>0</v>
      </c>
      <c r="H553" s="1" t="s">
        <v>377</v>
      </c>
    </row>
    <row r="554" customFormat="false" ht="12.8" hidden="false" customHeight="false" outlineLevel="0" collapsed="false">
      <c r="A554" s="1" t="s">
        <v>8</v>
      </c>
      <c r="B554" s="1" t="n">
        <v>39</v>
      </c>
      <c r="C554" s="1" t="n">
        <v>2</v>
      </c>
      <c r="D554" s="1" t="s">
        <v>201</v>
      </c>
      <c r="E554" s="1" t="s">
        <v>213</v>
      </c>
      <c r="F554" s="1" t="n">
        <v>3510</v>
      </c>
      <c r="G554" s="4" t="n">
        <v>0</v>
      </c>
      <c r="H554" s="1" t="s">
        <v>409</v>
      </c>
    </row>
    <row r="555" customFormat="false" ht="12.8" hidden="false" customHeight="false" outlineLevel="0" collapsed="false">
      <c r="A555" s="1" t="s">
        <v>8</v>
      </c>
      <c r="B555" s="1" t="n">
        <v>39</v>
      </c>
      <c r="C555" s="1" t="n">
        <v>3</v>
      </c>
      <c r="D555" s="1" t="s">
        <v>213</v>
      </c>
      <c r="E555" s="1" t="s">
        <v>206</v>
      </c>
      <c r="F555" s="1" t="n">
        <v>3510</v>
      </c>
      <c r="G555" s="4" t="n">
        <v>0</v>
      </c>
      <c r="H555" s="1" t="s">
        <v>410</v>
      </c>
    </row>
    <row r="556" customFormat="false" ht="12.8" hidden="false" customHeight="false" outlineLevel="0" collapsed="false">
      <c r="A556" s="1" t="s">
        <v>8</v>
      </c>
      <c r="B556" s="1" t="n">
        <v>39</v>
      </c>
      <c r="C556" s="1" t="n">
        <v>4</v>
      </c>
      <c r="D556" s="1" t="s">
        <v>206</v>
      </c>
      <c r="E556" s="1" t="s">
        <v>213</v>
      </c>
      <c r="F556" s="1" t="n">
        <v>3510</v>
      </c>
      <c r="G556" s="4" t="n">
        <v>0</v>
      </c>
      <c r="H556" s="1" t="s">
        <v>411</v>
      </c>
    </row>
    <row r="557" customFormat="false" ht="12.8" hidden="false" customHeight="false" outlineLevel="0" collapsed="false">
      <c r="A557" s="1" t="s">
        <v>8</v>
      </c>
      <c r="B557" s="1" t="n">
        <v>39</v>
      </c>
      <c r="C557" s="1" t="n">
        <v>5</v>
      </c>
      <c r="D557" s="1" t="s">
        <v>213</v>
      </c>
      <c r="E557" s="1" t="s">
        <v>199</v>
      </c>
      <c r="F557" s="1" t="n">
        <v>3510</v>
      </c>
      <c r="G557" s="4" t="n">
        <v>0</v>
      </c>
      <c r="H557" s="1" t="s">
        <v>412</v>
      </c>
    </row>
    <row r="558" customFormat="false" ht="12.8" hidden="false" customHeight="false" outlineLevel="0" collapsed="false">
      <c r="A558" s="1" t="s">
        <v>8</v>
      </c>
      <c r="B558" s="1" t="n">
        <v>39</v>
      </c>
      <c r="C558" s="1" t="n">
        <v>6</v>
      </c>
      <c r="D558" s="1" t="s">
        <v>199</v>
      </c>
      <c r="E558" s="1" t="s">
        <v>206</v>
      </c>
      <c r="F558" s="1" t="n">
        <v>3510</v>
      </c>
      <c r="G558" s="4" t="n">
        <v>0</v>
      </c>
      <c r="H558" s="1" t="s">
        <v>413</v>
      </c>
    </row>
    <row r="559" customFormat="false" ht="12.8" hidden="false" customHeight="false" outlineLevel="0" collapsed="false">
      <c r="A559" s="1" t="s">
        <v>8</v>
      </c>
      <c r="B559" s="1" t="n">
        <v>39</v>
      </c>
      <c r="C559" s="1" t="n">
        <v>7</v>
      </c>
      <c r="D559" s="1" t="s">
        <v>206</v>
      </c>
      <c r="E559" s="1" t="s">
        <v>213</v>
      </c>
      <c r="F559" s="1" t="n">
        <v>3510</v>
      </c>
      <c r="G559" s="4" t="n">
        <v>0</v>
      </c>
      <c r="H559" s="1" t="s">
        <v>411</v>
      </c>
    </row>
    <row r="560" customFormat="false" ht="12.8" hidden="false" customHeight="false" outlineLevel="0" collapsed="false">
      <c r="A560" s="1" t="s">
        <v>8</v>
      </c>
      <c r="B560" s="1" t="n">
        <v>39</v>
      </c>
      <c r="C560" s="1" t="n">
        <v>8</v>
      </c>
      <c r="D560" s="1" t="s">
        <v>213</v>
      </c>
      <c r="E560" s="1" t="s">
        <v>201</v>
      </c>
      <c r="F560" s="1" t="n">
        <v>3510</v>
      </c>
      <c r="G560" s="4" t="n">
        <v>0</v>
      </c>
      <c r="H560" s="1" t="s">
        <v>414</v>
      </c>
    </row>
    <row r="561" customFormat="false" ht="12.8" hidden="false" customHeight="false" outlineLevel="0" collapsed="false">
      <c r="A561" s="1" t="s">
        <v>8</v>
      </c>
      <c r="B561" s="1" t="n">
        <v>39</v>
      </c>
      <c r="C561" s="1" t="n">
        <v>9</v>
      </c>
      <c r="D561" s="1" t="s">
        <v>201</v>
      </c>
      <c r="E561" s="1" t="s">
        <v>206</v>
      </c>
      <c r="F561" s="1" t="n">
        <v>3510</v>
      </c>
      <c r="G561" s="4" t="n">
        <v>0</v>
      </c>
      <c r="H561" s="1" t="s">
        <v>415</v>
      </c>
    </row>
    <row r="562" customFormat="false" ht="12.8" hidden="false" customHeight="false" outlineLevel="0" collapsed="false">
      <c r="A562" s="1" t="s">
        <v>8</v>
      </c>
      <c r="B562" s="1" t="n">
        <v>39</v>
      </c>
      <c r="C562" s="1" t="n">
        <v>10</v>
      </c>
      <c r="D562" s="1" t="s">
        <v>206</v>
      </c>
      <c r="E562" s="1" t="s">
        <v>213</v>
      </c>
      <c r="F562" s="1" t="n">
        <v>3510</v>
      </c>
      <c r="G562" s="4" t="n">
        <v>0</v>
      </c>
      <c r="H562" s="1" t="s">
        <v>411</v>
      </c>
    </row>
    <row r="563" customFormat="false" ht="12.8" hidden="false" customHeight="false" outlineLevel="0" collapsed="false">
      <c r="A563" s="1" t="s">
        <v>8</v>
      </c>
      <c r="B563" s="1" t="n">
        <v>39</v>
      </c>
      <c r="C563" s="1" t="n">
        <v>11</v>
      </c>
      <c r="D563" s="1" t="s">
        <v>213</v>
      </c>
      <c r="E563" s="1" t="s">
        <v>201</v>
      </c>
      <c r="F563" s="1" t="n">
        <v>3510</v>
      </c>
      <c r="G563" s="4" t="n">
        <v>0</v>
      </c>
      <c r="H563" s="1" t="s">
        <v>414</v>
      </c>
    </row>
    <row r="564" customFormat="false" ht="12.8" hidden="false" customHeight="false" outlineLevel="0" collapsed="false">
      <c r="A564" s="1" t="s">
        <v>8</v>
      </c>
      <c r="B564" s="1" t="n">
        <v>39</v>
      </c>
      <c r="C564" s="1" t="n">
        <v>12</v>
      </c>
      <c r="D564" s="1" t="s">
        <v>201</v>
      </c>
      <c r="E564" s="1" t="s">
        <v>206</v>
      </c>
      <c r="F564" s="1" t="n">
        <v>3510</v>
      </c>
      <c r="G564" s="4" t="n">
        <v>0</v>
      </c>
      <c r="H564" s="1" t="s">
        <v>415</v>
      </c>
    </row>
    <row r="565" customFormat="false" ht="12.8" hidden="false" customHeight="false" outlineLevel="0" collapsed="false">
      <c r="A565" s="1" t="s">
        <v>8</v>
      </c>
      <c r="B565" s="1" t="n">
        <v>39</v>
      </c>
      <c r="C565" s="1" t="n">
        <v>13</v>
      </c>
      <c r="D565" s="1" t="s">
        <v>206</v>
      </c>
      <c r="E565" s="1" t="s">
        <v>213</v>
      </c>
      <c r="F565" s="1" t="n">
        <v>3510</v>
      </c>
      <c r="G565" s="4" t="n">
        <v>0</v>
      </c>
      <c r="H565" s="1" t="s">
        <v>411</v>
      </c>
    </row>
    <row r="566" customFormat="false" ht="12.8" hidden="false" customHeight="false" outlineLevel="0" collapsed="false">
      <c r="A566" s="1" t="s">
        <v>8</v>
      </c>
      <c r="B566" s="1" t="n">
        <v>39</v>
      </c>
      <c r="C566" s="1" t="n">
        <v>14</v>
      </c>
      <c r="D566" s="1" t="s">
        <v>213</v>
      </c>
      <c r="E566" s="1" t="s">
        <v>199</v>
      </c>
      <c r="F566" s="1" t="n">
        <v>3510</v>
      </c>
      <c r="G566" s="4" t="n">
        <v>1</v>
      </c>
      <c r="H566" s="1" t="s">
        <v>416</v>
      </c>
    </row>
    <row r="567" customFormat="false" ht="12.8" hidden="false" customHeight="false" outlineLevel="0" collapsed="false">
      <c r="A567" s="1" t="s">
        <v>8</v>
      </c>
      <c r="B567" s="1" t="n">
        <v>39</v>
      </c>
      <c r="C567" s="1" t="n">
        <v>15</v>
      </c>
      <c r="D567" s="1" t="s">
        <v>199</v>
      </c>
      <c r="E567" s="1" t="s">
        <v>206</v>
      </c>
      <c r="F567" s="1" t="n">
        <v>3510</v>
      </c>
      <c r="G567" s="4" t="n">
        <v>1</v>
      </c>
      <c r="H567" s="1" t="s">
        <v>417</v>
      </c>
    </row>
    <row r="568" customFormat="false" ht="12.8" hidden="false" customHeight="false" outlineLevel="0" collapsed="false">
      <c r="A568" s="1" t="s">
        <v>8</v>
      </c>
      <c r="B568" s="1" t="n">
        <v>39</v>
      </c>
      <c r="C568" s="1" t="n">
        <v>16</v>
      </c>
      <c r="D568" s="1" t="s">
        <v>206</v>
      </c>
      <c r="E568" s="1" t="s">
        <v>213</v>
      </c>
      <c r="F568" s="1" t="n">
        <v>3510</v>
      </c>
      <c r="G568" s="4" t="n">
        <v>0</v>
      </c>
      <c r="H568" s="1" t="s">
        <v>411</v>
      </c>
    </row>
    <row r="569" customFormat="false" ht="12.8" hidden="false" customHeight="false" outlineLevel="0" collapsed="false">
      <c r="A569" s="1" t="s">
        <v>8</v>
      </c>
      <c r="B569" s="1" t="n">
        <v>39</v>
      </c>
      <c r="C569" s="1" t="n">
        <v>17</v>
      </c>
      <c r="D569" s="1" t="s">
        <v>213</v>
      </c>
      <c r="E569" s="1" t="s">
        <v>199</v>
      </c>
      <c r="F569" s="1" t="n">
        <v>3510</v>
      </c>
      <c r="G569" s="4" t="n">
        <v>0</v>
      </c>
      <c r="H569" s="1" t="s">
        <v>412</v>
      </c>
    </row>
    <row r="570" customFormat="false" ht="12.8" hidden="false" customHeight="false" outlineLevel="0" collapsed="false">
      <c r="A570" s="1" t="s">
        <v>8</v>
      </c>
      <c r="B570" s="1" t="n">
        <v>39</v>
      </c>
      <c r="C570" s="1" t="n">
        <v>18</v>
      </c>
      <c r="D570" s="1" t="s">
        <v>199</v>
      </c>
      <c r="E570" s="1" t="s">
        <v>206</v>
      </c>
      <c r="F570" s="1" t="n">
        <v>3510</v>
      </c>
      <c r="G570" s="4" t="n">
        <v>0</v>
      </c>
      <c r="H570" s="1" t="s">
        <v>413</v>
      </c>
    </row>
    <row r="571" customFormat="false" ht="12.8" hidden="false" customHeight="false" outlineLevel="0" collapsed="false">
      <c r="A571" s="1" t="s">
        <v>8</v>
      </c>
      <c r="B571" s="1" t="n">
        <v>39</v>
      </c>
      <c r="C571" s="1" t="n">
        <v>19</v>
      </c>
      <c r="D571" s="1" t="s">
        <v>206</v>
      </c>
      <c r="E571" s="1" t="s">
        <v>213</v>
      </c>
      <c r="F571" s="1" t="n">
        <v>3510</v>
      </c>
      <c r="G571" s="4" t="n">
        <v>0</v>
      </c>
      <c r="H571" s="1" t="s">
        <v>411</v>
      </c>
    </row>
    <row r="572" customFormat="false" ht="12.8" hidden="false" customHeight="false" outlineLevel="0" collapsed="false">
      <c r="A572" s="1" t="s">
        <v>8</v>
      </c>
      <c r="B572" s="1" t="n">
        <v>39</v>
      </c>
      <c r="C572" s="1" t="n">
        <v>20</v>
      </c>
      <c r="D572" s="1" t="s">
        <v>213</v>
      </c>
      <c r="E572" s="1" t="s">
        <v>203</v>
      </c>
      <c r="F572" s="1" t="n">
        <v>3510</v>
      </c>
      <c r="G572" s="4" t="n">
        <v>0</v>
      </c>
      <c r="H572" s="1" t="s">
        <v>418</v>
      </c>
    </row>
    <row r="573" customFormat="false" ht="12.8" hidden="false" customHeight="false" outlineLevel="0" collapsed="false">
      <c r="A573" s="1" t="s">
        <v>8</v>
      </c>
      <c r="B573" s="1" t="n">
        <v>39</v>
      </c>
      <c r="C573" s="1" t="n">
        <v>21</v>
      </c>
      <c r="D573" s="1" t="s">
        <v>203</v>
      </c>
      <c r="E573" s="1" t="s">
        <v>206</v>
      </c>
      <c r="F573" s="1" t="n">
        <v>3510</v>
      </c>
      <c r="G573" s="4" t="n">
        <v>0</v>
      </c>
      <c r="H573" s="1" t="s">
        <v>419</v>
      </c>
    </row>
    <row r="574" customFormat="false" ht="12.8" hidden="false" customHeight="false" outlineLevel="0" collapsed="false">
      <c r="A574" s="1" t="s">
        <v>8</v>
      </c>
      <c r="B574" s="1" t="n">
        <v>39</v>
      </c>
      <c r="C574" s="1" t="n">
        <v>22</v>
      </c>
      <c r="D574" s="1" t="s">
        <v>206</v>
      </c>
      <c r="E574" s="1" t="s">
        <v>201</v>
      </c>
      <c r="F574" s="1" t="n">
        <v>3510</v>
      </c>
      <c r="G574" s="4" t="n">
        <v>0</v>
      </c>
      <c r="H574" s="1" t="s">
        <v>420</v>
      </c>
    </row>
    <row r="575" customFormat="false" ht="12.8" hidden="false" customHeight="false" outlineLevel="0" collapsed="false">
      <c r="A575" s="1" t="s">
        <v>8</v>
      </c>
      <c r="B575" s="1" t="n">
        <v>39</v>
      </c>
      <c r="C575" s="1" t="n">
        <v>23</v>
      </c>
      <c r="D575" s="1" t="s">
        <v>201</v>
      </c>
      <c r="E575" s="1" t="s">
        <v>206</v>
      </c>
      <c r="F575" s="1" t="n">
        <v>3510</v>
      </c>
      <c r="G575" s="4" t="n">
        <v>0</v>
      </c>
      <c r="H575" s="1" t="s">
        <v>415</v>
      </c>
    </row>
    <row r="576" customFormat="false" ht="12.8" hidden="false" customHeight="false" outlineLevel="0" collapsed="false">
      <c r="A576" s="1" t="s">
        <v>8</v>
      </c>
      <c r="B576" s="1" t="n">
        <v>39</v>
      </c>
      <c r="C576" s="1" t="n">
        <v>24</v>
      </c>
      <c r="D576" s="1" t="s">
        <v>206</v>
      </c>
      <c r="E576" s="1" t="s">
        <v>213</v>
      </c>
      <c r="F576" s="1" t="n">
        <v>3510</v>
      </c>
      <c r="G576" s="4" t="n">
        <v>0</v>
      </c>
      <c r="H576" s="1" t="s">
        <v>411</v>
      </c>
    </row>
    <row r="577" customFormat="false" ht="12.8" hidden="false" customHeight="false" outlineLevel="0" collapsed="false">
      <c r="A577" s="1" t="s">
        <v>8</v>
      </c>
      <c r="B577" s="1" t="n">
        <v>39</v>
      </c>
      <c r="C577" s="1" t="n">
        <v>25</v>
      </c>
      <c r="D577" s="1" t="s">
        <v>213</v>
      </c>
      <c r="E577" s="1" t="s">
        <v>203</v>
      </c>
      <c r="F577" s="1" t="n">
        <v>3510</v>
      </c>
      <c r="G577" s="4" t="n">
        <v>0</v>
      </c>
      <c r="H577" s="1" t="s">
        <v>418</v>
      </c>
    </row>
    <row r="578" customFormat="false" ht="12.8" hidden="false" customHeight="false" outlineLevel="0" collapsed="false">
      <c r="A578" s="1" t="s">
        <v>8</v>
      </c>
      <c r="B578" s="1" t="n">
        <v>39</v>
      </c>
      <c r="C578" s="1" t="n">
        <v>26</v>
      </c>
      <c r="D578" s="1" t="s">
        <v>203</v>
      </c>
      <c r="E578" s="1" t="s">
        <v>206</v>
      </c>
      <c r="F578" s="1" t="n">
        <v>3510</v>
      </c>
      <c r="G578" s="4" t="n">
        <v>0</v>
      </c>
      <c r="H578" s="1" t="s">
        <v>419</v>
      </c>
    </row>
    <row r="579" customFormat="false" ht="12.8" hidden="false" customHeight="false" outlineLevel="0" collapsed="false">
      <c r="A579" s="1" t="s">
        <v>8</v>
      </c>
      <c r="B579" s="1" t="n">
        <v>39</v>
      </c>
      <c r="C579" s="1" t="n">
        <v>27</v>
      </c>
      <c r="D579" s="1" t="s">
        <v>206</v>
      </c>
      <c r="E579" s="1" t="s">
        <v>213</v>
      </c>
      <c r="F579" s="1" t="n">
        <v>3510</v>
      </c>
      <c r="G579" s="4" t="n">
        <v>0</v>
      </c>
      <c r="H579" s="1" t="s">
        <v>411</v>
      </c>
    </row>
    <row r="580" customFormat="false" ht="12.8" hidden="false" customHeight="false" outlineLevel="0" collapsed="false">
      <c r="A580" s="1" t="s">
        <v>8</v>
      </c>
      <c r="B580" s="1" t="n">
        <v>39</v>
      </c>
      <c r="C580" s="1" t="n">
        <v>28</v>
      </c>
      <c r="D580" s="1" t="s">
        <v>213</v>
      </c>
      <c r="E580" s="1" t="s">
        <v>199</v>
      </c>
      <c r="F580" s="1" t="n">
        <v>3510</v>
      </c>
      <c r="G580" s="4" t="n">
        <v>1</v>
      </c>
      <c r="H580" s="1" t="s">
        <v>416</v>
      </c>
    </row>
    <row r="581" customFormat="false" ht="12.8" hidden="false" customHeight="false" outlineLevel="0" collapsed="false">
      <c r="A581" s="1" t="s">
        <v>8</v>
      </c>
      <c r="B581" s="1" t="n">
        <v>39</v>
      </c>
      <c r="C581" s="1" t="n">
        <v>29</v>
      </c>
      <c r="D581" s="1" t="s">
        <v>199</v>
      </c>
      <c r="E581" s="1" t="s">
        <v>206</v>
      </c>
      <c r="F581" s="1" t="n">
        <v>3510</v>
      </c>
      <c r="G581" s="4" t="n">
        <v>1</v>
      </c>
      <c r="H581" s="1" t="s">
        <v>417</v>
      </c>
    </row>
    <row r="582" customFormat="false" ht="12.8" hidden="false" customHeight="false" outlineLevel="0" collapsed="false">
      <c r="A582" s="1" t="s">
        <v>8</v>
      </c>
      <c r="B582" s="1" t="n">
        <v>39</v>
      </c>
      <c r="C582" s="1" t="n">
        <v>30</v>
      </c>
      <c r="D582" s="1" t="s">
        <v>206</v>
      </c>
      <c r="E582" s="1" t="s">
        <v>213</v>
      </c>
      <c r="F582" s="1" t="n">
        <v>3510</v>
      </c>
      <c r="G582" s="4" t="n">
        <v>0</v>
      </c>
      <c r="H582" s="1" t="s">
        <v>411</v>
      </c>
    </row>
    <row r="583" customFormat="false" ht="12.8" hidden="false" customHeight="false" outlineLevel="0" collapsed="false">
      <c r="A583" s="1" t="s">
        <v>8</v>
      </c>
      <c r="B583" s="1" t="n">
        <v>39</v>
      </c>
      <c r="C583" s="1" t="n">
        <v>31</v>
      </c>
      <c r="D583" s="1" t="s">
        <v>213</v>
      </c>
      <c r="E583" s="1" t="s">
        <v>199</v>
      </c>
      <c r="F583" s="1" t="n">
        <v>3510</v>
      </c>
      <c r="G583" s="4" t="n">
        <v>0</v>
      </c>
      <c r="H583" s="1" t="s">
        <v>412</v>
      </c>
    </row>
    <row r="584" customFormat="false" ht="12.8" hidden="false" customHeight="false" outlineLevel="0" collapsed="false">
      <c r="A584" s="1" t="s">
        <v>8</v>
      </c>
      <c r="B584" s="1" t="n">
        <v>39</v>
      </c>
      <c r="C584" s="1" t="n">
        <v>32</v>
      </c>
      <c r="D584" s="1" t="s">
        <v>199</v>
      </c>
      <c r="E584" s="1" t="s">
        <v>206</v>
      </c>
      <c r="F584" s="1" t="n">
        <v>3510</v>
      </c>
      <c r="G584" s="4" t="n">
        <v>0</v>
      </c>
      <c r="H584" s="1" t="s">
        <v>413</v>
      </c>
    </row>
    <row r="585" customFormat="false" ht="12.8" hidden="false" customHeight="false" outlineLevel="0" collapsed="false">
      <c r="A585" s="1" t="s">
        <v>8</v>
      </c>
      <c r="B585" s="1" t="n">
        <v>39</v>
      </c>
      <c r="C585" s="1" t="n">
        <v>33</v>
      </c>
      <c r="D585" s="1" t="s">
        <v>206</v>
      </c>
      <c r="E585" s="1" t="s">
        <v>213</v>
      </c>
      <c r="F585" s="1" t="n">
        <v>3510</v>
      </c>
      <c r="G585" s="4" t="n">
        <v>0</v>
      </c>
      <c r="H585" s="1" t="s">
        <v>411</v>
      </c>
    </row>
    <row r="586" customFormat="false" ht="12.8" hidden="false" customHeight="false" outlineLevel="0" collapsed="false">
      <c r="A586" s="1" t="s">
        <v>8</v>
      </c>
      <c r="B586" s="1" t="n">
        <v>39</v>
      </c>
      <c r="C586" s="1" t="n">
        <v>34</v>
      </c>
      <c r="D586" s="1" t="s">
        <v>213</v>
      </c>
      <c r="E586" s="1" t="s">
        <v>199</v>
      </c>
      <c r="F586" s="1" t="n">
        <v>3510</v>
      </c>
      <c r="G586" s="4" t="n">
        <v>2</v>
      </c>
      <c r="H586" s="1" t="s">
        <v>421</v>
      </c>
    </row>
    <row r="587" customFormat="false" ht="12.8" hidden="false" customHeight="false" outlineLevel="0" collapsed="false">
      <c r="A587" s="1" t="s">
        <v>8</v>
      </c>
      <c r="B587" s="1" t="n">
        <v>39</v>
      </c>
      <c r="C587" s="1" t="n">
        <v>35</v>
      </c>
      <c r="F587" s="1" t="n">
        <v>3510</v>
      </c>
      <c r="G587" s="4" t="n">
        <v>0</v>
      </c>
      <c r="H587" s="1" t="s">
        <v>377</v>
      </c>
    </row>
    <row r="588" customFormat="false" ht="12.8" hidden="false" customHeight="false" outlineLevel="0" collapsed="false">
      <c r="A588" s="1" t="s">
        <v>8</v>
      </c>
      <c r="B588" s="1" t="n">
        <v>57</v>
      </c>
      <c r="C588" s="1" t="n">
        <v>1</v>
      </c>
      <c r="F588" s="1" t="n">
        <v>3930</v>
      </c>
      <c r="G588" s="4" t="n">
        <v>0</v>
      </c>
      <c r="H588" s="1" t="s">
        <v>422</v>
      </c>
    </row>
    <row r="589" customFormat="false" ht="12.8" hidden="false" customHeight="false" outlineLevel="0" collapsed="false">
      <c r="A589" s="1" t="s">
        <v>8</v>
      </c>
      <c r="B589" s="1" t="n">
        <v>57</v>
      </c>
      <c r="C589" s="1" t="n">
        <v>2</v>
      </c>
      <c r="D589" s="1" t="s">
        <v>201</v>
      </c>
      <c r="E589" s="1" t="s">
        <v>213</v>
      </c>
      <c r="F589" s="1" t="n">
        <v>3930</v>
      </c>
      <c r="G589" s="4" t="n">
        <v>0</v>
      </c>
      <c r="H589" s="1" t="s">
        <v>423</v>
      </c>
    </row>
    <row r="590" customFormat="false" ht="12.8" hidden="false" customHeight="false" outlineLevel="0" collapsed="false">
      <c r="A590" s="1" t="s">
        <v>8</v>
      </c>
      <c r="B590" s="1" t="n">
        <v>57</v>
      </c>
      <c r="C590" s="1" t="n">
        <v>3</v>
      </c>
      <c r="D590" s="1" t="s">
        <v>213</v>
      </c>
      <c r="E590" s="1" t="s">
        <v>206</v>
      </c>
      <c r="F590" s="1" t="n">
        <v>3930</v>
      </c>
      <c r="G590" s="4" t="n">
        <v>0</v>
      </c>
      <c r="H590" s="1" t="s">
        <v>424</v>
      </c>
    </row>
    <row r="591" customFormat="false" ht="12.8" hidden="false" customHeight="false" outlineLevel="0" collapsed="false">
      <c r="A591" s="1" t="s">
        <v>8</v>
      </c>
      <c r="B591" s="1" t="n">
        <v>57</v>
      </c>
      <c r="C591" s="1" t="n">
        <v>4</v>
      </c>
      <c r="D591" s="1" t="s">
        <v>206</v>
      </c>
      <c r="E591" s="1" t="s">
        <v>213</v>
      </c>
      <c r="F591" s="1" t="n">
        <v>3930</v>
      </c>
      <c r="G591" s="4" t="n">
        <v>0</v>
      </c>
      <c r="H591" s="1" t="s">
        <v>425</v>
      </c>
    </row>
    <row r="592" customFormat="false" ht="12.8" hidden="false" customHeight="false" outlineLevel="0" collapsed="false">
      <c r="A592" s="1" t="s">
        <v>8</v>
      </c>
      <c r="B592" s="1" t="n">
        <v>57</v>
      </c>
      <c r="C592" s="1" t="n">
        <v>5</v>
      </c>
      <c r="D592" s="1" t="s">
        <v>213</v>
      </c>
      <c r="E592" s="1" t="s">
        <v>199</v>
      </c>
      <c r="F592" s="1" t="n">
        <v>3930</v>
      </c>
      <c r="G592" s="4" t="n">
        <v>0</v>
      </c>
      <c r="H592" s="1" t="s">
        <v>426</v>
      </c>
    </row>
    <row r="593" customFormat="false" ht="12.8" hidden="false" customHeight="false" outlineLevel="0" collapsed="false">
      <c r="A593" s="1" t="s">
        <v>8</v>
      </c>
      <c r="B593" s="1" t="n">
        <v>57</v>
      </c>
      <c r="C593" s="1" t="n">
        <v>6</v>
      </c>
      <c r="D593" s="1" t="s">
        <v>199</v>
      </c>
      <c r="E593" s="1" t="s">
        <v>206</v>
      </c>
      <c r="F593" s="1" t="n">
        <v>3930</v>
      </c>
      <c r="G593" s="4" t="n">
        <v>0</v>
      </c>
      <c r="H593" s="1" t="s">
        <v>427</v>
      </c>
    </row>
    <row r="594" customFormat="false" ht="12.8" hidden="false" customHeight="false" outlineLevel="0" collapsed="false">
      <c r="A594" s="1" t="s">
        <v>8</v>
      </c>
      <c r="B594" s="1" t="n">
        <v>57</v>
      </c>
      <c r="C594" s="1" t="n">
        <v>7</v>
      </c>
      <c r="D594" s="1" t="s">
        <v>206</v>
      </c>
      <c r="E594" s="1" t="s">
        <v>213</v>
      </c>
      <c r="F594" s="1" t="n">
        <v>3930</v>
      </c>
      <c r="G594" s="4" t="n">
        <v>0</v>
      </c>
      <c r="H594" s="1" t="s">
        <v>425</v>
      </c>
    </row>
    <row r="595" customFormat="false" ht="12.8" hidden="false" customHeight="false" outlineLevel="0" collapsed="false">
      <c r="A595" s="1" t="s">
        <v>8</v>
      </c>
      <c r="B595" s="1" t="n">
        <v>57</v>
      </c>
      <c r="C595" s="1" t="n">
        <v>8</v>
      </c>
      <c r="D595" s="1" t="s">
        <v>213</v>
      </c>
      <c r="E595" s="1" t="s">
        <v>201</v>
      </c>
      <c r="F595" s="1" t="n">
        <v>3930</v>
      </c>
      <c r="G595" s="4" t="n">
        <v>0</v>
      </c>
      <c r="H595" s="1" t="s">
        <v>428</v>
      </c>
    </row>
    <row r="596" customFormat="false" ht="12.8" hidden="false" customHeight="false" outlineLevel="0" collapsed="false">
      <c r="A596" s="1" t="s">
        <v>8</v>
      </c>
      <c r="B596" s="1" t="n">
        <v>57</v>
      </c>
      <c r="C596" s="1" t="n">
        <v>9</v>
      </c>
      <c r="D596" s="1" t="s">
        <v>201</v>
      </c>
      <c r="E596" s="1" t="s">
        <v>206</v>
      </c>
      <c r="F596" s="1" t="n">
        <v>3930</v>
      </c>
      <c r="G596" s="4" t="n">
        <v>0</v>
      </c>
      <c r="H596" s="1" t="s">
        <v>429</v>
      </c>
    </row>
    <row r="597" customFormat="false" ht="12.8" hidden="false" customHeight="false" outlineLevel="0" collapsed="false">
      <c r="A597" s="1" t="s">
        <v>8</v>
      </c>
      <c r="B597" s="1" t="n">
        <v>57</v>
      </c>
      <c r="C597" s="1" t="n">
        <v>10</v>
      </c>
      <c r="D597" s="1" t="s">
        <v>206</v>
      </c>
      <c r="E597" s="1" t="s">
        <v>213</v>
      </c>
      <c r="F597" s="1" t="n">
        <v>3930</v>
      </c>
      <c r="G597" s="4" t="n">
        <v>0</v>
      </c>
      <c r="H597" s="1" t="s">
        <v>425</v>
      </c>
    </row>
    <row r="598" customFormat="false" ht="12.8" hidden="false" customHeight="false" outlineLevel="0" collapsed="false">
      <c r="A598" s="1" t="s">
        <v>8</v>
      </c>
      <c r="B598" s="1" t="n">
        <v>57</v>
      </c>
      <c r="C598" s="1" t="n">
        <v>11</v>
      </c>
      <c r="D598" s="1" t="s">
        <v>213</v>
      </c>
      <c r="E598" s="1" t="s">
        <v>201</v>
      </c>
      <c r="F598" s="1" t="n">
        <v>3930</v>
      </c>
      <c r="G598" s="4" t="n">
        <v>0</v>
      </c>
      <c r="H598" s="1" t="s">
        <v>428</v>
      </c>
    </row>
    <row r="599" customFormat="false" ht="12.8" hidden="false" customHeight="false" outlineLevel="0" collapsed="false">
      <c r="A599" s="1" t="s">
        <v>8</v>
      </c>
      <c r="B599" s="1" t="n">
        <v>57</v>
      </c>
      <c r="C599" s="1" t="n">
        <v>12</v>
      </c>
      <c r="D599" s="1" t="s">
        <v>201</v>
      </c>
      <c r="E599" s="1" t="s">
        <v>206</v>
      </c>
      <c r="F599" s="1" t="n">
        <v>3930</v>
      </c>
      <c r="G599" s="4" t="n">
        <v>0</v>
      </c>
      <c r="H599" s="1" t="s">
        <v>429</v>
      </c>
    </row>
    <row r="600" customFormat="false" ht="12.8" hidden="false" customHeight="false" outlineLevel="0" collapsed="false">
      <c r="A600" s="1" t="s">
        <v>8</v>
      </c>
      <c r="B600" s="1" t="n">
        <v>57</v>
      </c>
      <c r="C600" s="1" t="n">
        <v>13</v>
      </c>
      <c r="D600" s="1" t="s">
        <v>206</v>
      </c>
      <c r="E600" s="1" t="s">
        <v>213</v>
      </c>
      <c r="F600" s="1" t="n">
        <v>3930</v>
      </c>
      <c r="G600" s="4" t="n">
        <v>1</v>
      </c>
      <c r="H600" s="1" t="s">
        <v>430</v>
      </c>
    </row>
    <row r="601" customFormat="false" ht="12.8" hidden="false" customHeight="false" outlineLevel="0" collapsed="false">
      <c r="A601" s="1" t="s">
        <v>8</v>
      </c>
      <c r="B601" s="1" t="n">
        <v>57</v>
      </c>
      <c r="C601" s="1" t="n">
        <v>14</v>
      </c>
      <c r="D601" s="1" t="s">
        <v>213</v>
      </c>
      <c r="E601" s="1" t="s">
        <v>197</v>
      </c>
      <c r="F601" s="1" t="n">
        <v>3930</v>
      </c>
      <c r="G601" s="4" t="n">
        <v>0</v>
      </c>
      <c r="H601" s="1" t="s">
        <v>431</v>
      </c>
    </row>
    <row r="602" customFormat="false" ht="12.8" hidden="false" customHeight="false" outlineLevel="0" collapsed="false">
      <c r="A602" s="1" t="s">
        <v>8</v>
      </c>
      <c r="B602" s="1" t="n">
        <v>57</v>
      </c>
      <c r="C602" s="1" t="n">
        <v>15</v>
      </c>
      <c r="D602" s="1" t="s">
        <v>197</v>
      </c>
      <c r="E602" s="1" t="s">
        <v>206</v>
      </c>
      <c r="F602" s="1" t="n">
        <v>3930</v>
      </c>
      <c r="G602" s="4" t="n">
        <v>0</v>
      </c>
      <c r="H602" s="1" t="s">
        <v>432</v>
      </c>
    </row>
    <row r="603" customFormat="false" ht="12.8" hidden="false" customHeight="false" outlineLevel="0" collapsed="false">
      <c r="A603" s="1" t="s">
        <v>8</v>
      </c>
      <c r="B603" s="1" t="n">
        <v>57</v>
      </c>
      <c r="C603" s="1" t="n">
        <v>16</v>
      </c>
      <c r="D603" s="1" t="s">
        <v>206</v>
      </c>
      <c r="E603" s="1" t="s">
        <v>213</v>
      </c>
      <c r="F603" s="1" t="n">
        <v>3930</v>
      </c>
      <c r="G603" s="4" t="n">
        <v>0</v>
      </c>
      <c r="H603" s="1" t="s">
        <v>425</v>
      </c>
    </row>
    <row r="604" customFormat="false" ht="12.8" hidden="false" customHeight="false" outlineLevel="0" collapsed="false">
      <c r="A604" s="1" t="s">
        <v>8</v>
      </c>
      <c r="B604" s="1" t="n">
        <v>57</v>
      </c>
      <c r="C604" s="1" t="n">
        <v>17</v>
      </c>
      <c r="D604" s="1" t="s">
        <v>213</v>
      </c>
      <c r="E604" s="1" t="s">
        <v>199</v>
      </c>
      <c r="F604" s="1" t="n">
        <v>3930</v>
      </c>
      <c r="G604" s="4" t="n">
        <v>0</v>
      </c>
      <c r="H604" s="1" t="s">
        <v>426</v>
      </c>
    </row>
    <row r="605" customFormat="false" ht="12.8" hidden="false" customHeight="false" outlineLevel="0" collapsed="false">
      <c r="A605" s="1" t="s">
        <v>8</v>
      </c>
      <c r="B605" s="1" t="n">
        <v>57</v>
      </c>
      <c r="C605" s="1" t="n">
        <v>18</v>
      </c>
      <c r="D605" s="1" t="s">
        <v>199</v>
      </c>
      <c r="E605" s="1" t="s">
        <v>206</v>
      </c>
      <c r="F605" s="1" t="n">
        <v>3930</v>
      </c>
      <c r="G605" s="4" t="n">
        <v>1</v>
      </c>
      <c r="H605" s="1" t="s">
        <v>433</v>
      </c>
    </row>
    <row r="606" customFormat="false" ht="12.8" hidden="false" customHeight="false" outlineLevel="0" collapsed="false">
      <c r="A606" s="1" t="s">
        <v>8</v>
      </c>
      <c r="B606" s="1" t="n">
        <v>57</v>
      </c>
      <c r="C606" s="1" t="n">
        <v>19</v>
      </c>
      <c r="D606" s="1" t="s">
        <v>206</v>
      </c>
      <c r="E606" s="1" t="s">
        <v>213</v>
      </c>
      <c r="F606" s="1" t="n">
        <v>3930</v>
      </c>
      <c r="G606" s="4" t="n">
        <v>0</v>
      </c>
      <c r="H606" s="1" t="s">
        <v>425</v>
      </c>
    </row>
    <row r="607" customFormat="false" ht="12.8" hidden="false" customHeight="false" outlineLevel="0" collapsed="false">
      <c r="A607" s="1" t="s">
        <v>8</v>
      </c>
      <c r="B607" s="1" t="n">
        <v>57</v>
      </c>
      <c r="C607" s="1" t="n">
        <v>20</v>
      </c>
      <c r="D607" s="1" t="s">
        <v>213</v>
      </c>
      <c r="E607" s="1" t="s">
        <v>203</v>
      </c>
      <c r="F607" s="1" t="n">
        <v>3930</v>
      </c>
      <c r="G607" s="4" t="n">
        <v>0</v>
      </c>
      <c r="H607" s="1" t="s">
        <v>434</v>
      </c>
    </row>
    <row r="608" customFormat="false" ht="12.8" hidden="false" customHeight="false" outlineLevel="0" collapsed="false">
      <c r="A608" s="1" t="s">
        <v>8</v>
      </c>
      <c r="B608" s="1" t="n">
        <v>57</v>
      </c>
      <c r="C608" s="1" t="n">
        <v>21</v>
      </c>
      <c r="D608" s="1" t="s">
        <v>203</v>
      </c>
      <c r="E608" s="1" t="s">
        <v>206</v>
      </c>
      <c r="F608" s="1" t="n">
        <v>3930</v>
      </c>
      <c r="G608" s="4" t="n">
        <v>0</v>
      </c>
      <c r="H608" s="1" t="s">
        <v>435</v>
      </c>
    </row>
    <row r="609" customFormat="false" ht="12.8" hidden="false" customHeight="false" outlineLevel="0" collapsed="false">
      <c r="A609" s="1" t="s">
        <v>8</v>
      </c>
      <c r="B609" s="1" t="n">
        <v>57</v>
      </c>
      <c r="C609" s="1" t="n">
        <v>22</v>
      </c>
      <c r="D609" s="1" t="s">
        <v>206</v>
      </c>
      <c r="E609" s="1" t="s">
        <v>201</v>
      </c>
      <c r="F609" s="1" t="n">
        <v>3930</v>
      </c>
      <c r="G609" s="4" t="n">
        <v>0</v>
      </c>
      <c r="H609" s="1" t="s">
        <v>436</v>
      </c>
    </row>
    <row r="610" customFormat="false" ht="12.8" hidden="false" customHeight="false" outlineLevel="0" collapsed="false">
      <c r="A610" s="1" t="s">
        <v>8</v>
      </c>
      <c r="B610" s="1" t="n">
        <v>57</v>
      </c>
      <c r="C610" s="1" t="n">
        <v>23</v>
      </c>
      <c r="D610" s="1" t="s">
        <v>201</v>
      </c>
      <c r="E610" s="1" t="s">
        <v>206</v>
      </c>
      <c r="F610" s="1" t="n">
        <v>3930</v>
      </c>
      <c r="G610" s="4" t="n">
        <v>0</v>
      </c>
      <c r="H610" s="1" t="s">
        <v>429</v>
      </c>
    </row>
    <row r="611" customFormat="false" ht="12.8" hidden="false" customHeight="false" outlineLevel="0" collapsed="false">
      <c r="A611" s="1" t="s">
        <v>8</v>
      </c>
      <c r="B611" s="1" t="n">
        <v>57</v>
      </c>
      <c r="C611" s="1" t="n">
        <v>24</v>
      </c>
      <c r="D611" s="1" t="s">
        <v>206</v>
      </c>
      <c r="E611" s="1" t="s">
        <v>213</v>
      </c>
      <c r="F611" s="1" t="n">
        <v>3930</v>
      </c>
      <c r="G611" s="4" t="n">
        <v>0</v>
      </c>
      <c r="H611" s="1" t="s">
        <v>425</v>
      </c>
    </row>
    <row r="612" customFormat="false" ht="12.8" hidden="false" customHeight="false" outlineLevel="0" collapsed="false">
      <c r="A612" s="1" t="s">
        <v>8</v>
      </c>
      <c r="B612" s="1" t="n">
        <v>57</v>
      </c>
      <c r="C612" s="1" t="n">
        <v>25</v>
      </c>
      <c r="D612" s="1" t="s">
        <v>213</v>
      </c>
      <c r="E612" s="1" t="s">
        <v>203</v>
      </c>
      <c r="F612" s="1" t="n">
        <v>3930</v>
      </c>
      <c r="G612" s="4" t="n">
        <v>0</v>
      </c>
      <c r="H612" s="1" t="s">
        <v>434</v>
      </c>
    </row>
    <row r="613" customFormat="false" ht="12.8" hidden="false" customHeight="false" outlineLevel="0" collapsed="false">
      <c r="A613" s="1" t="s">
        <v>8</v>
      </c>
      <c r="B613" s="1" t="n">
        <v>57</v>
      </c>
      <c r="C613" s="1" t="n">
        <v>26</v>
      </c>
      <c r="D613" s="1" t="s">
        <v>203</v>
      </c>
      <c r="E613" s="1" t="s">
        <v>206</v>
      </c>
      <c r="F613" s="1" t="n">
        <v>3930</v>
      </c>
      <c r="G613" s="4" t="n">
        <v>0</v>
      </c>
      <c r="H613" s="1" t="s">
        <v>435</v>
      </c>
    </row>
    <row r="614" customFormat="false" ht="12.8" hidden="false" customHeight="false" outlineLevel="0" collapsed="false">
      <c r="A614" s="1" t="s">
        <v>8</v>
      </c>
      <c r="B614" s="1" t="n">
        <v>57</v>
      </c>
      <c r="C614" s="1" t="n">
        <v>27</v>
      </c>
      <c r="D614" s="1" t="s">
        <v>206</v>
      </c>
      <c r="E614" s="1" t="s">
        <v>213</v>
      </c>
      <c r="F614" s="1" t="n">
        <v>3930</v>
      </c>
      <c r="G614" s="4" t="n">
        <v>1</v>
      </c>
      <c r="H614" s="1" t="s">
        <v>430</v>
      </c>
    </row>
    <row r="615" customFormat="false" ht="12.8" hidden="false" customHeight="false" outlineLevel="0" collapsed="false">
      <c r="A615" s="1" t="s">
        <v>8</v>
      </c>
      <c r="B615" s="1" t="n">
        <v>57</v>
      </c>
      <c r="C615" s="1" t="n">
        <v>28</v>
      </c>
      <c r="D615" s="1" t="s">
        <v>213</v>
      </c>
      <c r="E615" s="1" t="s">
        <v>197</v>
      </c>
      <c r="F615" s="1" t="n">
        <v>3930</v>
      </c>
      <c r="G615" s="4" t="n">
        <v>0</v>
      </c>
      <c r="H615" s="1" t="s">
        <v>431</v>
      </c>
    </row>
    <row r="616" customFormat="false" ht="12.8" hidden="false" customHeight="false" outlineLevel="0" collapsed="false">
      <c r="A616" s="1" t="s">
        <v>8</v>
      </c>
      <c r="B616" s="1" t="n">
        <v>57</v>
      </c>
      <c r="C616" s="1" t="n">
        <v>29</v>
      </c>
      <c r="D616" s="1" t="s">
        <v>197</v>
      </c>
      <c r="E616" s="1" t="s">
        <v>206</v>
      </c>
      <c r="F616" s="1" t="n">
        <v>3930</v>
      </c>
      <c r="G616" s="4" t="n">
        <v>0</v>
      </c>
      <c r="H616" s="1" t="s">
        <v>432</v>
      </c>
    </row>
    <row r="617" customFormat="false" ht="12.8" hidden="false" customHeight="false" outlineLevel="0" collapsed="false">
      <c r="A617" s="1" t="s">
        <v>8</v>
      </c>
      <c r="B617" s="1" t="n">
        <v>57</v>
      </c>
      <c r="C617" s="1" t="n">
        <v>30</v>
      </c>
      <c r="D617" s="1" t="s">
        <v>206</v>
      </c>
      <c r="E617" s="1" t="s">
        <v>213</v>
      </c>
      <c r="F617" s="1" t="n">
        <v>3930</v>
      </c>
      <c r="G617" s="4" t="n">
        <v>0</v>
      </c>
      <c r="H617" s="1" t="s">
        <v>425</v>
      </c>
    </row>
    <row r="618" customFormat="false" ht="12.8" hidden="false" customHeight="false" outlineLevel="0" collapsed="false">
      <c r="A618" s="1" t="s">
        <v>8</v>
      </c>
      <c r="B618" s="1" t="n">
        <v>57</v>
      </c>
      <c r="C618" s="1" t="n">
        <v>31</v>
      </c>
      <c r="D618" s="1" t="s">
        <v>213</v>
      </c>
      <c r="E618" s="1" t="s">
        <v>199</v>
      </c>
      <c r="F618" s="1" t="n">
        <v>3930</v>
      </c>
      <c r="G618" s="4" t="n">
        <v>0</v>
      </c>
      <c r="H618" s="1" t="s">
        <v>426</v>
      </c>
    </row>
    <row r="619" customFormat="false" ht="12.8" hidden="false" customHeight="false" outlineLevel="0" collapsed="false">
      <c r="A619" s="1" t="s">
        <v>8</v>
      </c>
      <c r="B619" s="1" t="n">
        <v>57</v>
      </c>
      <c r="C619" s="1" t="n">
        <v>32</v>
      </c>
      <c r="D619" s="1" t="s">
        <v>199</v>
      </c>
      <c r="E619" s="1" t="s">
        <v>206</v>
      </c>
      <c r="F619" s="1" t="n">
        <v>3930</v>
      </c>
      <c r="G619" s="4" t="n">
        <v>0</v>
      </c>
      <c r="H619" s="1" t="s">
        <v>427</v>
      </c>
    </row>
    <row r="620" customFormat="false" ht="12.8" hidden="false" customHeight="false" outlineLevel="0" collapsed="false">
      <c r="A620" s="1" t="s">
        <v>8</v>
      </c>
      <c r="B620" s="1" t="n">
        <v>57</v>
      </c>
      <c r="C620" s="1" t="n">
        <v>33</v>
      </c>
      <c r="D620" s="1" t="s">
        <v>206</v>
      </c>
      <c r="E620" s="1" t="s">
        <v>213</v>
      </c>
      <c r="F620" s="1" t="n">
        <v>3930</v>
      </c>
      <c r="G620" s="4" t="n">
        <v>0</v>
      </c>
      <c r="H620" s="1" t="s">
        <v>425</v>
      </c>
    </row>
    <row r="621" customFormat="false" ht="12.8" hidden="false" customHeight="false" outlineLevel="0" collapsed="false">
      <c r="A621" s="1" t="s">
        <v>8</v>
      </c>
      <c r="B621" s="1" t="n">
        <v>57</v>
      </c>
      <c r="C621" s="1" t="n">
        <v>34</v>
      </c>
      <c r="D621" s="1" t="s">
        <v>213</v>
      </c>
      <c r="E621" s="1" t="s">
        <v>199</v>
      </c>
      <c r="F621" s="1" t="n">
        <v>3930</v>
      </c>
      <c r="G621" s="4" t="n">
        <v>1</v>
      </c>
      <c r="H621" s="1" t="s">
        <v>437</v>
      </c>
    </row>
    <row r="622" customFormat="false" ht="12.8" hidden="false" customHeight="false" outlineLevel="0" collapsed="false">
      <c r="A622" s="1" t="s">
        <v>8</v>
      </c>
      <c r="B622" s="1" t="n">
        <v>57</v>
      </c>
      <c r="C622" s="1" t="n">
        <v>35</v>
      </c>
      <c r="F622" s="1" t="n">
        <v>3930</v>
      </c>
      <c r="G622" s="4" t="n">
        <v>0</v>
      </c>
      <c r="H622" s="1" t="s">
        <v>422</v>
      </c>
    </row>
    <row r="623" customFormat="false" ht="12.8" hidden="false" customHeight="false" outlineLevel="0" collapsed="false">
      <c r="A623" s="1" t="s">
        <v>9</v>
      </c>
      <c r="B623" s="1" t="n">
        <v>2</v>
      </c>
      <c r="C623" s="1" t="n">
        <v>1</v>
      </c>
      <c r="F623" s="1" t="n">
        <v>3350</v>
      </c>
      <c r="G623" s="4" t="n">
        <v>0</v>
      </c>
      <c r="H623" s="1" t="s">
        <v>360</v>
      </c>
    </row>
    <row r="624" customFormat="false" ht="12.8" hidden="false" customHeight="false" outlineLevel="0" collapsed="false">
      <c r="A624" s="1" t="s">
        <v>9</v>
      </c>
      <c r="B624" s="1" t="n">
        <v>2</v>
      </c>
      <c r="C624" s="1" t="n">
        <v>2</v>
      </c>
      <c r="D624" s="1" t="s">
        <v>200</v>
      </c>
      <c r="E624" s="1" t="s">
        <v>211</v>
      </c>
      <c r="F624" s="1" t="n">
        <v>3350</v>
      </c>
      <c r="G624" s="4" t="n">
        <v>0</v>
      </c>
      <c r="H624" s="1" t="s">
        <v>361</v>
      </c>
    </row>
    <row r="625" customFormat="false" ht="12.8" hidden="false" customHeight="false" outlineLevel="0" collapsed="false">
      <c r="A625" s="1" t="s">
        <v>9</v>
      </c>
      <c r="B625" s="1" t="n">
        <v>2</v>
      </c>
      <c r="C625" s="1" t="n">
        <v>3</v>
      </c>
      <c r="D625" s="1" t="s">
        <v>211</v>
      </c>
      <c r="E625" s="1" t="s">
        <v>206</v>
      </c>
      <c r="F625" s="1" t="n">
        <v>3350</v>
      </c>
      <c r="G625" s="4" t="n">
        <v>0</v>
      </c>
      <c r="H625" s="1" t="s">
        <v>362</v>
      </c>
    </row>
    <row r="626" customFormat="false" ht="12.8" hidden="false" customHeight="false" outlineLevel="0" collapsed="false">
      <c r="A626" s="1" t="s">
        <v>9</v>
      </c>
      <c r="B626" s="1" t="n">
        <v>2</v>
      </c>
      <c r="C626" s="1" t="n">
        <v>4</v>
      </c>
      <c r="D626" s="1" t="s">
        <v>206</v>
      </c>
      <c r="E626" s="1" t="s">
        <v>200</v>
      </c>
      <c r="F626" s="1" t="n">
        <v>3350</v>
      </c>
      <c r="G626" s="4" t="n">
        <v>2</v>
      </c>
      <c r="H626" s="1" t="s">
        <v>365</v>
      </c>
    </row>
    <row r="627" customFormat="false" ht="12.8" hidden="false" customHeight="false" outlineLevel="0" collapsed="false">
      <c r="A627" s="1" t="s">
        <v>9</v>
      </c>
      <c r="B627" s="1" t="n">
        <v>2</v>
      </c>
      <c r="C627" s="1" t="n">
        <v>5</v>
      </c>
      <c r="D627" s="1" t="s">
        <v>200</v>
      </c>
      <c r="E627" s="1" t="s">
        <v>211</v>
      </c>
      <c r="F627" s="1" t="n">
        <v>3350</v>
      </c>
      <c r="G627" s="4" t="n">
        <v>1</v>
      </c>
      <c r="H627" s="1" t="s">
        <v>366</v>
      </c>
    </row>
    <row r="628" customFormat="false" ht="12.8" hidden="false" customHeight="false" outlineLevel="0" collapsed="false">
      <c r="A628" s="1" t="s">
        <v>9</v>
      </c>
      <c r="B628" s="1" t="n">
        <v>2</v>
      </c>
      <c r="C628" s="1" t="n">
        <v>6</v>
      </c>
      <c r="D628" s="1" t="s">
        <v>211</v>
      </c>
      <c r="E628" s="1" t="s">
        <v>206</v>
      </c>
      <c r="F628" s="1" t="n">
        <v>3350</v>
      </c>
      <c r="G628" s="4" t="n">
        <v>0</v>
      </c>
      <c r="H628" s="1" t="s">
        <v>362</v>
      </c>
    </row>
    <row r="629" customFormat="false" ht="12.8" hidden="false" customHeight="false" outlineLevel="0" collapsed="false">
      <c r="A629" s="1" t="s">
        <v>9</v>
      </c>
      <c r="B629" s="1" t="n">
        <v>2</v>
      </c>
      <c r="C629" s="1" t="n">
        <v>7</v>
      </c>
      <c r="D629" s="1" t="s">
        <v>206</v>
      </c>
      <c r="E629" s="1" t="s">
        <v>200</v>
      </c>
      <c r="F629" s="1" t="n">
        <v>3350</v>
      </c>
      <c r="G629" s="4" t="n">
        <v>2</v>
      </c>
      <c r="H629" s="1" t="s">
        <v>365</v>
      </c>
    </row>
    <row r="630" customFormat="false" ht="12.8" hidden="false" customHeight="false" outlineLevel="0" collapsed="false">
      <c r="A630" s="1" t="s">
        <v>9</v>
      </c>
      <c r="B630" s="1" t="n">
        <v>2</v>
      </c>
      <c r="C630" s="1" t="n">
        <v>8</v>
      </c>
      <c r="D630" s="1" t="s">
        <v>200</v>
      </c>
      <c r="E630" s="1" t="s">
        <v>211</v>
      </c>
      <c r="F630" s="1" t="n">
        <v>3350</v>
      </c>
      <c r="G630" s="4" t="n">
        <v>1</v>
      </c>
      <c r="H630" s="1" t="s">
        <v>366</v>
      </c>
    </row>
    <row r="631" customFormat="false" ht="12.8" hidden="false" customHeight="false" outlineLevel="0" collapsed="false">
      <c r="A631" s="1" t="s">
        <v>9</v>
      </c>
      <c r="B631" s="1" t="n">
        <v>2</v>
      </c>
      <c r="C631" s="1" t="n">
        <v>9</v>
      </c>
      <c r="D631" s="1" t="s">
        <v>211</v>
      </c>
      <c r="E631" s="1" t="s">
        <v>206</v>
      </c>
      <c r="F631" s="1" t="n">
        <v>3350</v>
      </c>
      <c r="G631" s="4" t="n">
        <v>0</v>
      </c>
      <c r="H631" s="1" t="s">
        <v>362</v>
      </c>
    </row>
    <row r="632" customFormat="false" ht="12.8" hidden="false" customHeight="false" outlineLevel="0" collapsed="false">
      <c r="A632" s="1" t="s">
        <v>9</v>
      </c>
      <c r="B632" s="1" t="n">
        <v>2</v>
      </c>
      <c r="C632" s="1" t="n">
        <v>10</v>
      </c>
      <c r="D632" s="1" t="s">
        <v>206</v>
      </c>
      <c r="E632" s="1" t="s">
        <v>200</v>
      </c>
      <c r="F632" s="1" t="n">
        <v>3350</v>
      </c>
      <c r="G632" s="4" t="n">
        <v>2</v>
      </c>
      <c r="H632" s="1" t="s">
        <v>365</v>
      </c>
    </row>
    <row r="633" customFormat="false" ht="12.8" hidden="false" customHeight="false" outlineLevel="0" collapsed="false">
      <c r="A633" s="1" t="s">
        <v>9</v>
      </c>
      <c r="B633" s="1" t="n">
        <v>2</v>
      </c>
      <c r="C633" s="1" t="n">
        <v>11</v>
      </c>
      <c r="D633" s="1" t="s">
        <v>200</v>
      </c>
      <c r="E633" s="1" t="s">
        <v>211</v>
      </c>
      <c r="F633" s="1" t="n">
        <v>3350</v>
      </c>
      <c r="G633" s="4" t="n">
        <v>1</v>
      </c>
      <c r="H633" s="1" t="s">
        <v>366</v>
      </c>
    </row>
    <row r="634" customFormat="false" ht="12.8" hidden="false" customHeight="false" outlineLevel="0" collapsed="false">
      <c r="A634" s="1" t="s">
        <v>9</v>
      </c>
      <c r="B634" s="1" t="n">
        <v>2</v>
      </c>
      <c r="C634" s="1" t="n">
        <v>12</v>
      </c>
      <c r="D634" s="1" t="s">
        <v>211</v>
      </c>
      <c r="E634" s="1" t="s">
        <v>206</v>
      </c>
      <c r="F634" s="1" t="n">
        <v>3350</v>
      </c>
      <c r="G634" s="4" t="n">
        <v>0</v>
      </c>
      <c r="H634" s="1" t="s">
        <v>362</v>
      </c>
    </row>
    <row r="635" customFormat="false" ht="12.8" hidden="false" customHeight="false" outlineLevel="0" collapsed="false">
      <c r="A635" s="1" t="s">
        <v>9</v>
      </c>
      <c r="B635" s="1" t="n">
        <v>2</v>
      </c>
      <c r="C635" s="1" t="n">
        <v>13</v>
      </c>
      <c r="D635" s="1" t="s">
        <v>206</v>
      </c>
      <c r="E635" s="1" t="s">
        <v>200</v>
      </c>
      <c r="F635" s="1" t="n">
        <v>3350</v>
      </c>
      <c r="G635" s="4" t="n">
        <v>2</v>
      </c>
      <c r="H635" s="1" t="s">
        <v>365</v>
      </c>
    </row>
    <row r="636" customFormat="false" ht="12.8" hidden="false" customHeight="false" outlineLevel="0" collapsed="false">
      <c r="A636" s="1" t="s">
        <v>9</v>
      </c>
      <c r="B636" s="1" t="n">
        <v>2</v>
      </c>
      <c r="C636" s="1" t="n">
        <v>14</v>
      </c>
      <c r="D636" s="1" t="s">
        <v>200</v>
      </c>
      <c r="E636" s="1" t="s">
        <v>211</v>
      </c>
      <c r="F636" s="1" t="n">
        <v>3350</v>
      </c>
      <c r="G636" s="4" t="n">
        <v>1</v>
      </c>
      <c r="H636" s="1" t="s">
        <v>366</v>
      </c>
    </row>
    <row r="637" customFormat="false" ht="12.8" hidden="false" customHeight="false" outlineLevel="0" collapsed="false">
      <c r="A637" s="1" t="s">
        <v>9</v>
      </c>
      <c r="B637" s="1" t="n">
        <v>2</v>
      </c>
      <c r="C637" s="1" t="n">
        <v>15</v>
      </c>
      <c r="D637" s="1" t="s">
        <v>211</v>
      </c>
      <c r="E637" s="1" t="s">
        <v>206</v>
      </c>
      <c r="F637" s="1" t="n">
        <v>3350</v>
      </c>
      <c r="G637" s="4" t="n">
        <v>0</v>
      </c>
      <c r="H637" s="1" t="s">
        <v>362</v>
      </c>
    </row>
    <row r="638" customFormat="false" ht="12.8" hidden="false" customHeight="false" outlineLevel="0" collapsed="false">
      <c r="A638" s="1" t="s">
        <v>9</v>
      </c>
      <c r="B638" s="1" t="n">
        <v>2</v>
      </c>
      <c r="C638" s="1" t="n">
        <v>16</v>
      </c>
      <c r="D638" s="1" t="s">
        <v>206</v>
      </c>
      <c r="E638" s="1" t="s">
        <v>200</v>
      </c>
      <c r="F638" s="1" t="n">
        <v>3350</v>
      </c>
      <c r="G638" s="4" t="n">
        <v>2</v>
      </c>
      <c r="H638" s="1" t="s">
        <v>365</v>
      </c>
    </row>
    <row r="639" customFormat="false" ht="12.8" hidden="false" customHeight="false" outlineLevel="0" collapsed="false">
      <c r="A639" s="1" t="s">
        <v>9</v>
      </c>
      <c r="B639" s="1" t="n">
        <v>2</v>
      </c>
      <c r="C639" s="1" t="n">
        <v>17</v>
      </c>
      <c r="D639" s="1" t="s">
        <v>200</v>
      </c>
      <c r="E639" s="1" t="s">
        <v>211</v>
      </c>
      <c r="F639" s="1" t="n">
        <v>3350</v>
      </c>
      <c r="G639" s="4" t="n">
        <v>1</v>
      </c>
      <c r="H639" s="1" t="s">
        <v>366</v>
      </c>
    </row>
    <row r="640" customFormat="false" ht="12.8" hidden="false" customHeight="false" outlineLevel="0" collapsed="false">
      <c r="A640" s="1" t="s">
        <v>9</v>
      </c>
      <c r="B640" s="1" t="n">
        <v>2</v>
      </c>
      <c r="C640" s="1" t="n">
        <v>18</v>
      </c>
      <c r="D640" s="1" t="s">
        <v>211</v>
      </c>
      <c r="E640" s="1" t="s">
        <v>206</v>
      </c>
      <c r="F640" s="1" t="n">
        <v>3350</v>
      </c>
      <c r="G640" s="4" t="n">
        <v>0</v>
      </c>
      <c r="H640" s="1" t="s">
        <v>362</v>
      </c>
    </row>
    <row r="641" customFormat="false" ht="12.8" hidden="false" customHeight="false" outlineLevel="0" collapsed="false">
      <c r="A641" s="1" t="s">
        <v>9</v>
      </c>
      <c r="B641" s="1" t="n">
        <v>2</v>
      </c>
      <c r="C641" s="1" t="n">
        <v>19</v>
      </c>
      <c r="D641" s="1" t="s">
        <v>206</v>
      </c>
      <c r="E641" s="1" t="s">
        <v>198</v>
      </c>
      <c r="F641" s="1" t="n">
        <v>3350</v>
      </c>
      <c r="G641" s="4" t="n">
        <v>3</v>
      </c>
      <c r="H641" s="1" t="s">
        <v>363</v>
      </c>
    </row>
    <row r="642" customFormat="false" ht="12.8" hidden="false" customHeight="false" outlineLevel="0" collapsed="false">
      <c r="A642" s="1" t="s">
        <v>9</v>
      </c>
      <c r="B642" s="1" t="n">
        <v>2</v>
      </c>
      <c r="C642" s="1" t="n">
        <v>20</v>
      </c>
      <c r="D642" s="1" t="s">
        <v>198</v>
      </c>
      <c r="E642" s="1" t="s">
        <v>211</v>
      </c>
      <c r="F642" s="1" t="n">
        <v>3350</v>
      </c>
      <c r="G642" s="4" t="n">
        <v>0</v>
      </c>
      <c r="H642" s="1" t="s">
        <v>364</v>
      </c>
    </row>
    <row r="643" customFormat="false" ht="12.8" hidden="false" customHeight="false" outlineLevel="0" collapsed="false">
      <c r="A643" s="1" t="s">
        <v>9</v>
      </c>
      <c r="B643" s="1" t="n">
        <v>2</v>
      </c>
      <c r="C643" s="1" t="n">
        <v>21</v>
      </c>
      <c r="D643" s="1" t="s">
        <v>211</v>
      </c>
      <c r="E643" s="1" t="s">
        <v>206</v>
      </c>
      <c r="F643" s="1" t="n">
        <v>3350</v>
      </c>
      <c r="G643" s="4" t="n">
        <v>0</v>
      </c>
      <c r="H643" s="1" t="s">
        <v>362</v>
      </c>
    </row>
    <row r="644" customFormat="false" ht="12.8" hidden="false" customHeight="false" outlineLevel="0" collapsed="false">
      <c r="A644" s="1" t="s">
        <v>9</v>
      </c>
      <c r="B644" s="1" t="n">
        <v>2</v>
      </c>
      <c r="C644" s="1" t="n">
        <v>22</v>
      </c>
      <c r="D644" s="1" t="s">
        <v>206</v>
      </c>
      <c r="E644" s="1" t="s">
        <v>200</v>
      </c>
      <c r="F644" s="1" t="n">
        <v>3350</v>
      </c>
      <c r="G644" s="4" t="n">
        <v>2</v>
      </c>
      <c r="H644" s="1" t="s">
        <v>365</v>
      </c>
    </row>
    <row r="645" customFormat="false" ht="12.8" hidden="false" customHeight="false" outlineLevel="0" collapsed="false">
      <c r="A645" s="1" t="s">
        <v>9</v>
      </c>
      <c r="B645" s="1" t="n">
        <v>2</v>
      </c>
      <c r="C645" s="1" t="n">
        <v>23</v>
      </c>
      <c r="D645" s="1" t="s">
        <v>200</v>
      </c>
      <c r="E645" s="1" t="s">
        <v>211</v>
      </c>
      <c r="F645" s="1" t="n">
        <v>3350</v>
      </c>
      <c r="G645" s="4" t="n">
        <v>1</v>
      </c>
      <c r="H645" s="1" t="s">
        <v>366</v>
      </c>
    </row>
    <row r="646" customFormat="false" ht="12.8" hidden="false" customHeight="false" outlineLevel="0" collapsed="false">
      <c r="A646" s="1" t="s">
        <v>9</v>
      </c>
      <c r="B646" s="1" t="n">
        <v>2</v>
      </c>
      <c r="C646" s="1" t="n">
        <v>24</v>
      </c>
      <c r="D646" s="1" t="s">
        <v>211</v>
      </c>
      <c r="E646" s="1" t="s">
        <v>206</v>
      </c>
      <c r="F646" s="1" t="n">
        <v>3350</v>
      </c>
      <c r="G646" s="4" t="n">
        <v>0</v>
      </c>
      <c r="H646" s="1" t="s">
        <v>362</v>
      </c>
    </row>
    <row r="647" customFormat="false" ht="12.8" hidden="false" customHeight="false" outlineLevel="0" collapsed="false">
      <c r="A647" s="1" t="s">
        <v>9</v>
      </c>
      <c r="B647" s="1" t="n">
        <v>2</v>
      </c>
      <c r="C647" s="1" t="n">
        <v>25</v>
      </c>
      <c r="D647" s="1" t="s">
        <v>206</v>
      </c>
      <c r="E647" s="1" t="s">
        <v>200</v>
      </c>
      <c r="F647" s="1" t="n">
        <v>3350</v>
      </c>
      <c r="G647" s="4" t="n">
        <v>2</v>
      </c>
      <c r="H647" s="1" t="s">
        <v>365</v>
      </c>
    </row>
    <row r="648" customFormat="false" ht="12.8" hidden="false" customHeight="false" outlineLevel="0" collapsed="false">
      <c r="A648" s="1" t="s">
        <v>9</v>
      </c>
      <c r="B648" s="1" t="n">
        <v>2</v>
      </c>
      <c r="C648" s="1" t="n">
        <v>26</v>
      </c>
      <c r="D648" s="1" t="s">
        <v>200</v>
      </c>
      <c r="E648" s="1" t="s">
        <v>211</v>
      </c>
      <c r="F648" s="1" t="n">
        <v>3350</v>
      </c>
      <c r="G648" s="4" t="n">
        <v>1</v>
      </c>
      <c r="H648" s="1" t="s">
        <v>366</v>
      </c>
    </row>
    <row r="649" customFormat="false" ht="12.8" hidden="false" customHeight="false" outlineLevel="0" collapsed="false">
      <c r="A649" s="1" t="s">
        <v>9</v>
      </c>
      <c r="B649" s="1" t="n">
        <v>2</v>
      </c>
      <c r="C649" s="1" t="n">
        <v>27</v>
      </c>
      <c r="D649" s="1" t="s">
        <v>211</v>
      </c>
      <c r="E649" s="1" t="s">
        <v>206</v>
      </c>
      <c r="F649" s="1" t="n">
        <v>3350</v>
      </c>
      <c r="G649" s="4" t="n">
        <v>0</v>
      </c>
      <c r="H649" s="1" t="s">
        <v>362</v>
      </c>
    </row>
    <row r="650" customFormat="false" ht="12.8" hidden="false" customHeight="false" outlineLevel="0" collapsed="false">
      <c r="A650" s="1" t="s">
        <v>9</v>
      </c>
      <c r="B650" s="1" t="n">
        <v>2</v>
      </c>
      <c r="C650" s="1" t="n">
        <v>28</v>
      </c>
      <c r="D650" s="1" t="s">
        <v>206</v>
      </c>
      <c r="E650" s="1" t="s">
        <v>200</v>
      </c>
      <c r="F650" s="1" t="n">
        <v>3350</v>
      </c>
      <c r="G650" s="4" t="n">
        <v>2</v>
      </c>
      <c r="H650" s="1" t="s">
        <v>365</v>
      </c>
    </row>
    <row r="651" customFormat="false" ht="12.8" hidden="false" customHeight="false" outlineLevel="0" collapsed="false">
      <c r="A651" s="1" t="s">
        <v>9</v>
      </c>
      <c r="B651" s="1" t="n">
        <v>2</v>
      </c>
      <c r="C651" s="1" t="n">
        <v>29</v>
      </c>
      <c r="D651" s="1" t="s">
        <v>200</v>
      </c>
      <c r="E651" s="1" t="s">
        <v>211</v>
      </c>
      <c r="F651" s="1" t="n">
        <v>3350</v>
      </c>
      <c r="G651" s="4" t="n">
        <v>1</v>
      </c>
      <c r="H651" s="1" t="s">
        <v>366</v>
      </c>
    </row>
    <row r="652" customFormat="false" ht="12.8" hidden="false" customHeight="false" outlineLevel="0" collapsed="false">
      <c r="A652" s="1" t="s">
        <v>9</v>
      </c>
      <c r="B652" s="1" t="n">
        <v>2</v>
      </c>
      <c r="C652" s="1" t="n">
        <v>30</v>
      </c>
      <c r="D652" s="1" t="s">
        <v>211</v>
      </c>
      <c r="E652" s="1" t="s">
        <v>206</v>
      </c>
      <c r="F652" s="1" t="n">
        <v>3350</v>
      </c>
      <c r="G652" s="4" t="n">
        <v>0</v>
      </c>
      <c r="H652" s="1" t="s">
        <v>362</v>
      </c>
    </row>
    <row r="653" customFormat="false" ht="12.8" hidden="false" customHeight="false" outlineLevel="0" collapsed="false">
      <c r="A653" s="1" t="s">
        <v>9</v>
      </c>
      <c r="B653" s="1" t="n">
        <v>2</v>
      </c>
      <c r="C653" s="1" t="n">
        <v>31</v>
      </c>
      <c r="D653" s="1" t="s">
        <v>206</v>
      </c>
      <c r="E653" s="1" t="s">
        <v>198</v>
      </c>
      <c r="F653" s="1" t="n">
        <v>3350</v>
      </c>
      <c r="G653" s="4" t="n">
        <v>3</v>
      </c>
      <c r="H653" s="1" t="s">
        <v>363</v>
      </c>
    </row>
    <row r="654" customFormat="false" ht="12.8" hidden="false" customHeight="false" outlineLevel="0" collapsed="false">
      <c r="A654" s="1" t="s">
        <v>9</v>
      </c>
      <c r="B654" s="1" t="n">
        <v>2</v>
      </c>
      <c r="C654" s="1" t="n">
        <v>32</v>
      </c>
      <c r="D654" s="1" t="s">
        <v>198</v>
      </c>
      <c r="E654" s="1" t="s">
        <v>211</v>
      </c>
      <c r="F654" s="1" t="n">
        <v>3350</v>
      </c>
      <c r="G654" s="4" t="n">
        <v>0</v>
      </c>
      <c r="H654" s="1" t="s">
        <v>364</v>
      </c>
    </row>
    <row r="655" customFormat="false" ht="12.8" hidden="false" customHeight="false" outlineLevel="0" collapsed="false">
      <c r="A655" s="1" t="s">
        <v>9</v>
      </c>
      <c r="B655" s="1" t="n">
        <v>2</v>
      </c>
      <c r="C655" s="1" t="n">
        <v>33</v>
      </c>
      <c r="D655" s="1" t="s">
        <v>211</v>
      </c>
      <c r="E655" s="1" t="s">
        <v>206</v>
      </c>
      <c r="F655" s="1" t="n">
        <v>3350</v>
      </c>
      <c r="G655" s="4" t="n">
        <v>0</v>
      </c>
      <c r="H655" s="1" t="s">
        <v>362</v>
      </c>
    </row>
    <row r="656" customFormat="false" ht="12.8" hidden="false" customHeight="false" outlineLevel="0" collapsed="false">
      <c r="A656" s="1" t="s">
        <v>9</v>
      </c>
      <c r="B656" s="1" t="n">
        <v>2</v>
      </c>
      <c r="C656" s="1" t="n">
        <v>34</v>
      </c>
      <c r="D656" s="1" t="s">
        <v>206</v>
      </c>
      <c r="E656" s="1" t="s">
        <v>211</v>
      </c>
      <c r="F656" s="1" t="n">
        <v>3350</v>
      </c>
      <c r="G656" s="4" t="n">
        <v>0</v>
      </c>
      <c r="H656" s="1" t="s">
        <v>370</v>
      </c>
    </row>
    <row r="657" customFormat="false" ht="12.8" hidden="false" customHeight="false" outlineLevel="0" collapsed="false">
      <c r="A657" s="1" t="s">
        <v>9</v>
      </c>
      <c r="B657" s="1" t="n">
        <v>2</v>
      </c>
      <c r="C657" s="1" t="n">
        <v>35</v>
      </c>
      <c r="D657" s="1" t="s">
        <v>211</v>
      </c>
      <c r="E657" s="1" t="s">
        <v>200</v>
      </c>
      <c r="F657" s="1" t="n">
        <v>3350</v>
      </c>
      <c r="G657" s="4" t="n">
        <v>1</v>
      </c>
      <c r="H657" s="1" t="s">
        <v>438</v>
      </c>
    </row>
    <row r="658" customFormat="false" ht="12.8" hidden="false" customHeight="false" outlineLevel="0" collapsed="false">
      <c r="A658" s="1" t="s">
        <v>9</v>
      </c>
      <c r="B658" s="1" t="n">
        <v>2</v>
      </c>
      <c r="C658" s="1" t="n">
        <v>36</v>
      </c>
      <c r="F658" s="1" t="n">
        <v>3350</v>
      </c>
      <c r="G658" s="4" t="n">
        <v>0</v>
      </c>
      <c r="H658" s="1" t="s">
        <v>360</v>
      </c>
    </row>
    <row r="659" customFormat="false" ht="12.8" hidden="false" customHeight="false" outlineLevel="0" collapsed="false">
      <c r="A659" s="1" t="s">
        <v>9</v>
      </c>
      <c r="B659" s="1" t="n">
        <v>3</v>
      </c>
      <c r="C659" s="1" t="n">
        <v>1</v>
      </c>
      <c r="F659" s="1" t="n">
        <v>3350</v>
      </c>
      <c r="G659" s="4" t="n">
        <v>0</v>
      </c>
      <c r="H659" s="1" t="s">
        <v>360</v>
      </c>
    </row>
    <row r="660" customFormat="false" ht="12.8" hidden="false" customHeight="false" outlineLevel="0" collapsed="false">
      <c r="A660" s="1" t="s">
        <v>9</v>
      </c>
      <c r="B660" s="1" t="n">
        <v>3</v>
      </c>
      <c r="C660" s="1" t="n">
        <v>2</v>
      </c>
      <c r="D660" s="1" t="s">
        <v>200</v>
      </c>
      <c r="E660" s="1" t="s">
        <v>211</v>
      </c>
      <c r="F660" s="1" t="n">
        <v>3350</v>
      </c>
      <c r="G660" s="4" t="n">
        <v>0</v>
      </c>
      <c r="H660" s="1" t="s">
        <v>361</v>
      </c>
    </row>
    <row r="661" customFormat="false" ht="12.8" hidden="false" customHeight="false" outlineLevel="0" collapsed="false">
      <c r="A661" s="1" t="s">
        <v>9</v>
      </c>
      <c r="B661" s="1" t="n">
        <v>3</v>
      </c>
      <c r="C661" s="1" t="n">
        <v>3</v>
      </c>
      <c r="D661" s="1" t="s">
        <v>211</v>
      </c>
      <c r="E661" s="1" t="s">
        <v>206</v>
      </c>
      <c r="F661" s="1" t="n">
        <v>3350</v>
      </c>
      <c r="G661" s="4" t="n">
        <v>0</v>
      </c>
      <c r="H661" s="1" t="s">
        <v>362</v>
      </c>
    </row>
    <row r="662" customFormat="false" ht="12.8" hidden="false" customHeight="false" outlineLevel="0" collapsed="false">
      <c r="A662" s="1" t="s">
        <v>9</v>
      </c>
      <c r="B662" s="1" t="n">
        <v>3</v>
      </c>
      <c r="C662" s="1" t="n">
        <v>4</v>
      </c>
      <c r="D662" s="1" t="s">
        <v>206</v>
      </c>
      <c r="E662" s="1" t="s">
        <v>211</v>
      </c>
      <c r="F662" s="1" t="n">
        <v>3350</v>
      </c>
      <c r="G662" s="4" t="n">
        <v>0</v>
      </c>
      <c r="H662" s="1" t="s">
        <v>370</v>
      </c>
    </row>
    <row r="663" customFormat="false" ht="12.8" hidden="false" customHeight="false" outlineLevel="0" collapsed="false">
      <c r="A663" s="1" t="s">
        <v>9</v>
      </c>
      <c r="B663" s="1" t="n">
        <v>3</v>
      </c>
      <c r="C663" s="1" t="n">
        <v>5</v>
      </c>
      <c r="D663" s="1" t="s">
        <v>211</v>
      </c>
      <c r="E663" s="1" t="s">
        <v>200</v>
      </c>
      <c r="F663" s="1" t="n">
        <v>3350</v>
      </c>
      <c r="G663" s="4" t="n">
        <v>0</v>
      </c>
      <c r="H663" s="1" t="s">
        <v>374</v>
      </c>
    </row>
    <row r="664" customFormat="false" ht="12.8" hidden="false" customHeight="false" outlineLevel="0" collapsed="false">
      <c r="A664" s="1" t="s">
        <v>9</v>
      </c>
      <c r="B664" s="1" t="n">
        <v>3</v>
      </c>
      <c r="C664" s="1" t="n">
        <v>6</v>
      </c>
      <c r="D664" s="1" t="s">
        <v>200</v>
      </c>
      <c r="E664" s="1" t="s">
        <v>206</v>
      </c>
      <c r="F664" s="1" t="n">
        <v>3350</v>
      </c>
      <c r="G664" s="4" t="n">
        <v>1</v>
      </c>
      <c r="H664" s="1" t="s">
        <v>369</v>
      </c>
    </row>
    <row r="665" customFormat="false" ht="12.8" hidden="false" customHeight="false" outlineLevel="0" collapsed="false">
      <c r="A665" s="1" t="s">
        <v>9</v>
      </c>
      <c r="B665" s="1" t="n">
        <v>3</v>
      </c>
      <c r="C665" s="1" t="n">
        <v>7</v>
      </c>
      <c r="D665" s="1" t="s">
        <v>206</v>
      </c>
      <c r="E665" s="1" t="s">
        <v>211</v>
      </c>
      <c r="F665" s="1" t="n">
        <v>3350</v>
      </c>
      <c r="G665" s="4" t="n">
        <v>0</v>
      </c>
      <c r="H665" s="1" t="s">
        <v>370</v>
      </c>
    </row>
    <row r="666" customFormat="false" ht="12.8" hidden="false" customHeight="false" outlineLevel="0" collapsed="false">
      <c r="A666" s="1" t="s">
        <v>9</v>
      </c>
      <c r="B666" s="1" t="n">
        <v>3</v>
      </c>
      <c r="C666" s="1" t="n">
        <v>8</v>
      </c>
      <c r="D666" s="1" t="s">
        <v>211</v>
      </c>
      <c r="E666" s="1" t="s">
        <v>200</v>
      </c>
      <c r="F666" s="1" t="n">
        <v>3350</v>
      </c>
      <c r="G666" s="4" t="n">
        <v>0</v>
      </c>
      <c r="H666" s="1" t="s">
        <v>374</v>
      </c>
    </row>
    <row r="667" customFormat="false" ht="12.8" hidden="false" customHeight="false" outlineLevel="0" collapsed="false">
      <c r="A667" s="1" t="s">
        <v>9</v>
      </c>
      <c r="B667" s="1" t="n">
        <v>3</v>
      </c>
      <c r="C667" s="1" t="n">
        <v>9</v>
      </c>
      <c r="D667" s="1" t="s">
        <v>200</v>
      </c>
      <c r="E667" s="1" t="s">
        <v>206</v>
      </c>
      <c r="F667" s="1" t="n">
        <v>3350</v>
      </c>
      <c r="G667" s="4" t="n">
        <v>1</v>
      </c>
      <c r="H667" s="1" t="s">
        <v>369</v>
      </c>
    </row>
    <row r="668" customFormat="false" ht="12.8" hidden="false" customHeight="false" outlineLevel="0" collapsed="false">
      <c r="A668" s="1" t="s">
        <v>9</v>
      </c>
      <c r="B668" s="1" t="n">
        <v>3</v>
      </c>
      <c r="C668" s="1" t="n">
        <v>10</v>
      </c>
      <c r="D668" s="1" t="s">
        <v>206</v>
      </c>
      <c r="E668" s="1" t="s">
        <v>211</v>
      </c>
      <c r="F668" s="1" t="n">
        <v>3350</v>
      </c>
      <c r="G668" s="4" t="n">
        <v>0</v>
      </c>
      <c r="H668" s="1" t="s">
        <v>370</v>
      </c>
    </row>
    <row r="669" customFormat="false" ht="12.8" hidden="false" customHeight="false" outlineLevel="0" collapsed="false">
      <c r="A669" s="1" t="s">
        <v>9</v>
      </c>
      <c r="B669" s="1" t="n">
        <v>3</v>
      </c>
      <c r="C669" s="1" t="n">
        <v>11</v>
      </c>
      <c r="D669" s="1" t="s">
        <v>211</v>
      </c>
      <c r="E669" s="1" t="s">
        <v>200</v>
      </c>
      <c r="F669" s="1" t="n">
        <v>3350</v>
      </c>
      <c r="G669" s="4" t="n">
        <v>0</v>
      </c>
      <c r="H669" s="1" t="s">
        <v>374</v>
      </c>
    </row>
    <row r="670" customFormat="false" ht="12.8" hidden="false" customHeight="false" outlineLevel="0" collapsed="false">
      <c r="A670" s="1" t="s">
        <v>9</v>
      </c>
      <c r="B670" s="1" t="n">
        <v>3</v>
      </c>
      <c r="C670" s="1" t="n">
        <v>12</v>
      </c>
      <c r="D670" s="1" t="s">
        <v>200</v>
      </c>
      <c r="E670" s="1" t="s">
        <v>206</v>
      </c>
      <c r="F670" s="1" t="n">
        <v>3350</v>
      </c>
      <c r="G670" s="4" t="n">
        <v>1</v>
      </c>
      <c r="H670" s="1" t="s">
        <v>369</v>
      </c>
    </row>
    <row r="671" customFormat="false" ht="12.8" hidden="false" customHeight="false" outlineLevel="0" collapsed="false">
      <c r="A671" s="1" t="s">
        <v>9</v>
      </c>
      <c r="B671" s="1" t="n">
        <v>3</v>
      </c>
      <c r="C671" s="1" t="n">
        <v>13</v>
      </c>
      <c r="D671" s="1" t="s">
        <v>206</v>
      </c>
      <c r="E671" s="1" t="s">
        <v>211</v>
      </c>
      <c r="F671" s="1" t="n">
        <v>3350</v>
      </c>
      <c r="G671" s="4" t="n">
        <v>0</v>
      </c>
      <c r="H671" s="1" t="s">
        <v>370</v>
      </c>
    </row>
    <row r="672" customFormat="false" ht="12.8" hidden="false" customHeight="false" outlineLevel="0" collapsed="false">
      <c r="A672" s="1" t="s">
        <v>9</v>
      </c>
      <c r="B672" s="1" t="n">
        <v>3</v>
      </c>
      <c r="C672" s="1" t="n">
        <v>14</v>
      </c>
      <c r="D672" s="1" t="s">
        <v>211</v>
      </c>
      <c r="E672" s="1" t="s">
        <v>200</v>
      </c>
      <c r="F672" s="1" t="n">
        <v>3350</v>
      </c>
      <c r="G672" s="4" t="n">
        <v>0</v>
      </c>
      <c r="H672" s="1" t="s">
        <v>374</v>
      </c>
    </row>
    <row r="673" customFormat="false" ht="12.8" hidden="false" customHeight="false" outlineLevel="0" collapsed="false">
      <c r="A673" s="1" t="s">
        <v>9</v>
      </c>
      <c r="B673" s="1" t="n">
        <v>3</v>
      </c>
      <c r="C673" s="1" t="n">
        <v>15</v>
      </c>
      <c r="D673" s="1" t="s">
        <v>200</v>
      </c>
      <c r="E673" s="1" t="s">
        <v>206</v>
      </c>
      <c r="F673" s="1" t="n">
        <v>3350</v>
      </c>
      <c r="G673" s="4" t="n">
        <v>1</v>
      </c>
      <c r="H673" s="1" t="s">
        <v>369</v>
      </c>
    </row>
    <row r="674" customFormat="false" ht="12.8" hidden="false" customHeight="false" outlineLevel="0" collapsed="false">
      <c r="A674" s="1" t="s">
        <v>9</v>
      </c>
      <c r="B674" s="1" t="n">
        <v>3</v>
      </c>
      <c r="C674" s="1" t="n">
        <v>16</v>
      </c>
      <c r="D674" s="1" t="s">
        <v>206</v>
      </c>
      <c r="E674" s="1" t="s">
        <v>211</v>
      </c>
      <c r="F674" s="1" t="n">
        <v>3350</v>
      </c>
      <c r="G674" s="4" t="n">
        <v>0</v>
      </c>
      <c r="H674" s="1" t="s">
        <v>370</v>
      </c>
    </row>
    <row r="675" customFormat="false" ht="12.8" hidden="false" customHeight="false" outlineLevel="0" collapsed="false">
      <c r="A675" s="1" t="s">
        <v>9</v>
      </c>
      <c r="B675" s="1" t="n">
        <v>3</v>
      </c>
      <c r="C675" s="1" t="n">
        <v>17</v>
      </c>
      <c r="D675" s="1" t="s">
        <v>211</v>
      </c>
      <c r="E675" s="1" t="s">
        <v>200</v>
      </c>
      <c r="F675" s="1" t="n">
        <v>3350</v>
      </c>
      <c r="G675" s="4" t="n">
        <v>0</v>
      </c>
      <c r="H675" s="1" t="s">
        <v>374</v>
      </c>
    </row>
    <row r="676" customFormat="false" ht="12.8" hidden="false" customHeight="false" outlineLevel="0" collapsed="false">
      <c r="A676" s="1" t="s">
        <v>9</v>
      </c>
      <c r="B676" s="1" t="n">
        <v>3</v>
      </c>
      <c r="C676" s="1" t="n">
        <v>18</v>
      </c>
      <c r="D676" s="1" t="s">
        <v>200</v>
      </c>
      <c r="E676" s="1" t="s">
        <v>206</v>
      </c>
      <c r="F676" s="1" t="n">
        <v>3350</v>
      </c>
      <c r="G676" s="4" t="n">
        <v>1</v>
      </c>
      <c r="H676" s="1" t="s">
        <v>369</v>
      </c>
    </row>
    <row r="677" customFormat="false" ht="12.8" hidden="false" customHeight="false" outlineLevel="0" collapsed="false">
      <c r="A677" s="1" t="s">
        <v>9</v>
      </c>
      <c r="B677" s="1" t="n">
        <v>3</v>
      </c>
      <c r="C677" s="1" t="n">
        <v>19</v>
      </c>
      <c r="D677" s="1" t="s">
        <v>206</v>
      </c>
      <c r="E677" s="1" t="s">
        <v>211</v>
      </c>
      <c r="F677" s="1" t="n">
        <v>3350</v>
      </c>
      <c r="G677" s="4" t="n">
        <v>0</v>
      </c>
      <c r="H677" s="1" t="s">
        <v>370</v>
      </c>
    </row>
    <row r="678" customFormat="false" ht="12.8" hidden="false" customHeight="false" outlineLevel="0" collapsed="false">
      <c r="A678" s="1" t="s">
        <v>9</v>
      </c>
      <c r="B678" s="1" t="n">
        <v>3</v>
      </c>
      <c r="C678" s="1" t="n">
        <v>20</v>
      </c>
      <c r="D678" s="1" t="s">
        <v>211</v>
      </c>
      <c r="E678" s="1" t="s">
        <v>198</v>
      </c>
      <c r="F678" s="1" t="n">
        <v>3350</v>
      </c>
      <c r="G678" s="4" t="n">
        <v>1</v>
      </c>
      <c r="H678" s="1" t="s">
        <v>372</v>
      </c>
    </row>
    <row r="679" customFormat="false" ht="12.8" hidden="false" customHeight="false" outlineLevel="0" collapsed="false">
      <c r="A679" s="1" t="s">
        <v>9</v>
      </c>
      <c r="B679" s="1" t="n">
        <v>3</v>
      </c>
      <c r="C679" s="1" t="n">
        <v>21</v>
      </c>
      <c r="D679" s="1" t="s">
        <v>198</v>
      </c>
      <c r="E679" s="1" t="s">
        <v>206</v>
      </c>
      <c r="F679" s="1" t="n">
        <v>3350</v>
      </c>
      <c r="G679" s="4" t="n">
        <v>1</v>
      </c>
      <c r="H679" s="1" t="s">
        <v>373</v>
      </c>
    </row>
    <row r="680" customFormat="false" ht="12.8" hidden="false" customHeight="false" outlineLevel="0" collapsed="false">
      <c r="A680" s="1" t="s">
        <v>9</v>
      </c>
      <c r="B680" s="1" t="n">
        <v>3</v>
      </c>
      <c r="C680" s="1" t="n">
        <v>22</v>
      </c>
      <c r="D680" s="1" t="s">
        <v>206</v>
      </c>
      <c r="E680" s="1" t="s">
        <v>211</v>
      </c>
      <c r="F680" s="1" t="n">
        <v>3350</v>
      </c>
      <c r="G680" s="4" t="n">
        <v>0</v>
      </c>
      <c r="H680" s="1" t="s">
        <v>370</v>
      </c>
    </row>
    <row r="681" customFormat="false" ht="12.8" hidden="false" customHeight="false" outlineLevel="0" collapsed="false">
      <c r="A681" s="1" t="s">
        <v>9</v>
      </c>
      <c r="B681" s="1" t="n">
        <v>3</v>
      </c>
      <c r="C681" s="1" t="n">
        <v>23</v>
      </c>
      <c r="D681" s="1" t="s">
        <v>211</v>
      </c>
      <c r="E681" s="1" t="s">
        <v>200</v>
      </c>
      <c r="F681" s="1" t="n">
        <v>3350</v>
      </c>
      <c r="G681" s="4" t="n">
        <v>0</v>
      </c>
      <c r="H681" s="1" t="s">
        <v>374</v>
      </c>
    </row>
    <row r="682" customFormat="false" ht="12.8" hidden="false" customHeight="false" outlineLevel="0" collapsed="false">
      <c r="A682" s="1" t="s">
        <v>9</v>
      </c>
      <c r="B682" s="1" t="n">
        <v>3</v>
      </c>
      <c r="C682" s="1" t="n">
        <v>24</v>
      </c>
      <c r="D682" s="1" t="s">
        <v>200</v>
      </c>
      <c r="E682" s="1" t="s">
        <v>206</v>
      </c>
      <c r="F682" s="1" t="n">
        <v>3350</v>
      </c>
      <c r="G682" s="4" t="n">
        <v>1</v>
      </c>
      <c r="H682" s="1" t="s">
        <v>369</v>
      </c>
    </row>
    <row r="683" customFormat="false" ht="12.8" hidden="false" customHeight="false" outlineLevel="0" collapsed="false">
      <c r="A683" s="1" t="s">
        <v>9</v>
      </c>
      <c r="B683" s="1" t="n">
        <v>3</v>
      </c>
      <c r="C683" s="1" t="n">
        <v>25</v>
      </c>
      <c r="D683" s="1" t="s">
        <v>206</v>
      </c>
      <c r="E683" s="1" t="s">
        <v>211</v>
      </c>
      <c r="F683" s="1" t="n">
        <v>3350</v>
      </c>
      <c r="G683" s="4" t="n">
        <v>0</v>
      </c>
      <c r="H683" s="1" t="s">
        <v>370</v>
      </c>
    </row>
    <row r="684" customFormat="false" ht="12.8" hidden="false" customHeight="false" outlineLevel="0" collapsed="false">
      <c r="A684" s="1" t="s">
        <v>9</v>
      </c>
      <c r="B684" s="1" t="n">
        <v>3</v>
      </c>
      <c r="C684" s="1" t="n">
        <v>26</v>
      </c>
      <c r="D684" s="1" t="s">
        <v>211</v>
      </c>
      <c r="E684" s="1" t="s">
        <v>200</v>
      </c>
      <c r="F684" s="1" t="n">
        <v>3350</v>
      </c>
      <c r="G684" s="4" t="n">
        <v>0</v>
      </c>
      <c r="H684" s="1" t="s">
        <v>374</v>
      </c>
    </row>
    <row r="685" customFormat="false" ht="12.8" hidden="false" customHeight="false" outlineLevel="0" collapsed="false">
      <c r="A685" s="1" t="s">
        <v>9</v>
      </c>
      <c r="B685" s="1" t="n">
        <v>3</v>
      </c>
      <c r="C685" s="1" t="n">
        <v>27</v>
      </c>
      <c r="D685" s="1" t="s">
        <v>200</v>
      </c>
      <c r="E685" s="1" t="s">
        <v>206</v>
      </c>
      <c r="F685" s="1" t="n">
        <v>3350</v>
      </c>
      <c r="G685" s="4" t="n">
        <v>1</v>
      </c>
      <c r="H685" s="1" t="s">
        <v>369</v>
      </c>
    </row>
    <row r="686" customFormat="false" ht="12.8" hidden="false" customHeight="false" outlineLevel="0" collapsed="false">
      <c r="A686" s="1" t="s">
        <v>9</v>
      </c>
      <c r="B686" s="1" t="n">
        <v>3</v>
      </c>
      <c r="C686" s="1" t="n">
        <v>28</v>
      </c>
      <c r="D686" s="1" t="s">
        <v>206</v>
      </c>
      <c r="E686" s="1" t="s">
        <v>211</v>
      </c>
      <c r="F686" s="1" t="n">
        <v>3350</v>
      </c>
      <c r="G686" s="4" t="n">
        <v>0</v>
      </c>
      <c r="H686" s="1" t="s">
        <v>370</v>
      </c>
    </row>
    <row r="687" customFormat="false" ht="12.8" hidden="false" customHeight="false" outlineLevel="0" collapsed="false">
      <c r="A687" s="1" t="s">
        <v>9</v>
      </c>
      <c r="B687" s="1" t="n">
        <v>3</v>
      </c>
      <c r="C687" s="1" t="n">
        <v>29</v>
      </c>
      <c r="D687" s="1" t="s">
        <v>211</v>
      </c>
      <c r="E687" s="1" t="s">
        <v>200</v>
      </c>
      <c r="F687" s="1" t="n">
        <v>3350</v>
      </c>
      <c r="G687" s="4" t="n">
        <v>0</v>
      </c>
      <c r="H687" s="1" t="s">
        <v>374</v>
      </c>
    </row>
    <row r="688" customFormat="false" ht="12.8" hidden="false" customHeight="false" outlineLevel="0" collapsed="false">
      <c r="A688" s="1" t="s">
        <v>9</v>
      </c>
      <c r="B688" s="1" t="n">
        <v>3</v>
      </c>
      <c r="C688" s="1" t="n">
        <v>30</v>
      </c>
      <c r="D688" s="1" t="s">
        <v>200</v>
      </c>
      <c r="E688" s="1" t="s">
        <v>206</v>
      </c>
      <c r="F688" s="1" t="n">
        <v>3350</v>
      </c>
      <c r="G688" s="4" t="n">
        <v>1</v>
      </c>
      <c r="H688" s="1" t="s">
        <v>369</v>
      </c>
    </row>
    <row r="689" customFormat="false" ht="12.8" hidden="false" customHeight="false" outlineLevel="0" collapsed="false">
      <c r="A689" s="1" t="s">
        <v>9</v>
      </c>
      <c r="B689" s="1" t="n">
        <v>3</v>
      </c>
      <c r="C689" s="1" t="n">
        <v>31</v>
      </c>
      <c r="D689" s="1" t="s">
        <v>206</v>
      </c>
      <c r="E689" s="1" t="s">
        <v>211</v>
      </c>
      <c r="F689" s="1" t="n">
        <v>3350</v>
      </c>
      <c r="G689" s="4" t="n">
        <v>0</v>
      </c>
      <c r="H689" s="1" t="s">
        <v>370</v>
      </c>
    </row>
    <row r="690" customFormat="false" ht="12.8" hidden="false" customHeight="false" outlineLevel="0" collapsed="false">
      <c r="A690" s="1" t="s">
        <v>9</v>
      </c>
      <c r="B690" s="1" t="n">
        <v>3</v>
      </c>
      <c r="C690" s="1" t="n">
        <v>32</v>
      </c>
      <c r="D690" s="1" t="s">
        <v>211</v>
      </c>
      <c r="E690" s="1" t="s">
        <v>198</v>
      </c>
      <c r="F690" s="1" t="n">
        <v>3350</v>
      </c>
      <c r="G690" s="4" t="n">
        <v>1</v>
      </c>
      <c r="H690" s="1" t="s">
        <v>372</v>
      </c>
    </row>
    <row r="691" customFormat="false" ht="12.8" hidden="false" customHeight="false" outlineLevel="0" collapsed="false">
      <c r="A691" s="1" t="s">
        <v>9</v>
      </c>
      <c r="B691" s="1" t="n">
        <v>3</v>
      </c>
      <c r="C691" s="1" t="n">
        <v>33</v>
      </c>
      <c r="D691" s="1" t="s">
        <v>198</v>
      </c>
      <c r="E691" s="1" t="s">
        <v>206</v>
      </c>
      <c r="F691" s="1" t="n">
        <v>3350</v>
      </c>
      <c r="G691" s="4" t="n">
        <v>1</v>
      </c>
      <c r="H691" s="1" t="s">
        <v>373</v>
      </c>
    </row>
    <row r="692" customFormat="false" ht="12.8" hidden="false" customHeight="false" outlineLevel="0" collapsed="false">
      <c r="A692" s="1" t="s">
        <v>9</v>
      </c>
      <c r="B692" s="1" t="n">
        <v>3</v>
      </c>
      <c r="C692" s="1" t="n">
        <v>34</v>
      </c>
      <c r="D692" s="1" t="s">
        <v>206</v>
      </c>
      <c r="E692" s="1" t="s">
        <v>211</v>
      </c>
      <c r="F692" s="1" t="n">
        <v>3350</v>
      </c>
      <c r="G692" s="4" t="n">
        <v>0</v>
      </c>
      <c r="H692" s="1" t="s">
        <v>370</v>
      </c>
    </row>
    <row r="693" customFormat="false" ht="12.8" hidden="false" customHeight="false" outlineLevel="0" collapsed="false">
      <c r="A693" s="1" t="s">
        <v>9</v>
      </c>
      <c r="B693" s="1" t="n">
        <v>3</v>
      </c>
      <c r="C693" s="1" t="n">
        <v>35</v>
      </c>
      <c r="D693" s="1" t="s">
        <v>211</v>
      </c>
      <c r="E693" s="1" t="s">
        <v>200</v>
      </c>
      <c r="F693" s="1" t="n">
        <v>3350</v>
      </c>
      <c r="G693" s="4" t="n">
        <v>1</v>
      </c>
      <c r="H693" s="1" t="s">
        <v>438</v>
      </c>
    </row>
    <row r="694" customFormat="false" ht="12.8" hidden="false" customHeight="false" outlineLevel="0" collapsed="false">
      <c r="A694" s="1" t="s">
        <v>9</v>
      </c>
      <c r="B694" s="1" t="n">
        <v>3</v>
      </c>
      <c r="C694" s="1" t="n">
        <v>36</v>
      </c>
      <c r="F694" s="1" t="n">
        <v>3350</v>
      </c>
      <c r="G694" s="4" t="n">
        <v>0</v>
      </c>
      <c r="H694" s="1" t="s">
        <v>360</v>
      </c>
    </row>
    <row r="695" customFormat="false" ht="12.8" hidden="false" customHeight="false" outlineLevel="0" collapsed="false">
      <c r="A695" s="1" t="s">
        <v>9</v>
      </c>
      <c r="B695" s="1" t="n">
        <v>19</v>
      </c>
      <c r="C695" s="1" t="n">
        <v>1</v>
      </c>
      <c r="F695" s="1" t="n">
        <v>3510</v>
      </c>
      <c r="G695" s="4" t="n">
        <v>0</v>
      </c>
      <c r="H695" s="1" t="s">
        <v>377</v>
      </c>
    </row>
    <row r="696" customFormat="false" ht="12.8" hidden="false" customHeight="false" outlineLevel="0" collapsed="false">
      <c r="A696" s="1" t="s">
        <v>9</v>
      </c>
      <c r="B696" s="1" t="n">
        <v>19</v>
      </c>
      <c r="C696" s="1" t="n">
        <v>2</v>
      </c>
      <c r="D696" s="1" t="s">
        <v>200</v>
      </c>
      <c r="E696" s="1" t="s">
        <v>211</v>
      </c>
      <c r="F696" s="1" t="n">
        <v>3510</v>
      </c>
      <c r="G696" s="4" t="n">
        <v>0</v>
      </c>
      <c r="H696" s="1" t="s">
        <v>378</v>
      </c>
    </row>
    <row r="697" customFormat="false" ht="12.8" hidden="false" customHeight="false" outlineLevel="0" collapsed="false">
      <c r="A697" s="1" t="s">
        <v>9</v>
      </c>
      <c r="B697" s="1" t="n">
        <v>19</v>
      </c>
      <c r="C697" s="1" t="n">
        <v>3</v>
      </c>
      <c r="D697" s="1" t="s">
        <v>211</v>
      </c>
      <c r="E697" s="1" t="s">
        <v>206</v>
      </c>
      <c r="F697" s="1" t="n">
        <v>3510</v>
      </c>
      <c r="G697" s="4" t="n">
        <v>0</v>
      </c>
      <c r="H697" s="1" t="s">
        <v>379</v>
      </c>
    </row>
    <row r="698" customFormat="false" ht="12.8" hidden="false" customHeight="false" outlineLevel="0" collapsed="false">
      <c r="A698" s="1" t="s">
        <v>9</v>
      </c>
      <c r="B698" s="1" t="n">
        <v>19</v>
      </c>
      <c r="C698" s="1" t="n">
        <v>4</v>
      </c>
      <c r="D698" s="1" t="s">
        <v>206</v>
      </c>
      <c r="E698" s="1" t="s">
        <v>211</v>
      </c>
      <c r="F698" s="1" t="n">
        <v>3510</v>
      </c>
      <c r="G698" s="4" t="n">
        <v>0</v>
      </c>
      <c r="H698" s="1" t="s">
        <v>380</v>
      </c>
    </row>
    <row r="699" customFormat="false" ht="12.8" hidden="false" customHeight="false" outlineLevel="0" collapsed="false">
      <c r="A699" s="1" t="s">
        <v>9</v>
      </c>
      <c r="B699" s="1" t="n">
        <v>19</v>
      </c>
      <c r="C699" s="1" t="n">
        <v>5</v>
      </c>
      <c r="D699" s="1" t="s">
        <v>211</v>
      </c>
      <c r="E699" s="1" t="s">
        <v>200</v>
      </c>
      <c r="F699" s="1" t="n">
        <v>3510</v>
      </c>
      <c r="G699" s="4" t="n">
        <v>0</v>
      </c>
      <c r="H699" s="1" t="s">
        <v>383</v>
      </c>
    </row>
    <row r="700" customFormat="false" ht="12.8" hidden="false" customHeight="false" outlineLevel="0" collapsed="false">
      <c r="A700" s="1" t="s">
        <v>9</v>
      </c>
      <c r="B700" s="1" t="n">
        <v>19</v>
      </c>
      <c r="C700" s="1" t="n">
        <v>6</v>
      </c>
      <c r="D700" s="1" t="s">
        <v>200</v>
      </c>
      <c r="E700" s="1" t="s">
        <v>206</v>
      </c>
      <c r="F700" s="1" t="n">
        <v>3510</v>
      </c>
      <c r="G700" s="4" t="n">
        <v>1</v>
      </c>
      <c r="H700" s="1" t="s">
        <v>384</v>
      </c>
    </row>
    <row r="701" customFormat="false" ht="12.8" hidden="false" customHeight="false" outlineLevel="0" collapsed="false">
      <c r="A701" s="1" t="s">
        <v>9</v>
      </c>
      <c r="B701" s="1" t="n">
        <v>19</v>
      </c>
      <c r="C701" s="1" t="n">
        <v>7</v>
      </c>
      <c r="D701" s="1" t="s">
        <v>206</v>
      </c>
      <c r="E701" s="1" t="s">
        <v>211</v>
      </c>
      <c r="F701" s="1" t="n">
        <v>3510</v>
      </c>
      <c r="G701" s="4" t="n">
        <v>0</v>
      </c>
      <c r="H701" s="1" t="s">
        <v>380</v>
      </c>
    </row>
    <row r="702" customFormat="false" ht="12.8" hidden="false" customHeight="false" outlineLevel="0" collapsed="false">
      <c r="A702" s="1" t="s">
        <v>9</v>
      </c>
      <c r="B702" s="1" t="n">
        <v>19</v>
      </c>
      <c r="C702" s="1" t="n">
        <v>8</v>
      </c>
      <c r="D702" s="1" t="s">
        <v>211</v>
      </c>
      <c r="E702" s="1" t="s">
        <v>200</v>
      </c>
      <c r="F702" s="1" t="n">
        <v>3510</v>
      </c>
      <c r="G702" s="4" t="n">
        <v>0</v>
      </c>
      <c r="H702" s="1" t="s">
        <v>383</v>
      </c>
    </row>
    <row r="703" customFormat="false" ht="12.8" hidden="false" customHeight="false" outlineLevel="0" collapsed="false">
      <c r="A703" s="1" t="s">
        <v>9</v>
      </c>
      <c r="B703" s="1" t="n">
        <v>19</v>
      </c>
      <c r="C703" s="1" t="n">
        <v>9</v>
      </c>
      <c r="D703" s="1" t="s">
        <v>200</v>
      </c>
      <c r="E703" s="1" t="s">
        <v>206</v>
      </c>
      <c r="F703" s="1" t="n">
        <v>3510</v>
      </c>
      <c r="G703" s="4" t="n">
        <v>1</v>
      </c>
      <c r="H703" s="1" t="s">
        <v>384</v>
      </c>
    </row>
    <row r="704" customFormat="false" ht="12.8" hidden="false" customHeight="false" outlineLevel="0" collapsed="false">
      <c r="A704" s="1" t="s">
        <v>9</v>
      </c>
      <c r="B704" s="1" t="n">
        <v>19</v>
      </c>
      <c r="C704" s="1" t="n">
        <v>10</v>
      </c>
      <c r="D704" s="1" t="s">
        <v>206</v>
      </c>
      <c r="E704" s="1" t="s">
        <v>211</v>
      </c>
      <c r="F704" s="1" t="n">
        <v>3510</v>
      </c>
      <c r="G704" s="4" t="n">
        <v>0</v>
      </c>
      <c r="H704" s="1" t="s">
        <v>380</v>
      </c>
    </row>
    <row r="705" customFormat="false" ht="12.8" hidden="false" customHeight="false" outlineLevel="0" collapsed="false">
      <c r="A705" s="1" t="s">
        <v>9</v>
      </c>
      <c r="B705" s="1" t="n">
        <v>19</v>
      </c>
      <c r="C705" s="1" t="n">
        <v>11</v>
      </c>
      <c r="D705" s="1" t="s">
        <v>211</v>
      </c>
      <c r="E705" s="1" t="s">
        <v>200</v>
      </c>
      <c r="F705" s="1" t="n">
        <v>3510</v>
      </c>
      <c r="G705" s="4" t="n">
        <v>0</v>
      </c>
      <c r="H705" s="1" t="s">
        <v>383</v>
      </c>
    </row>
    <row r="706" customFormat="false" ht="12.8" hidden="false" customHeight="false" outlineLevel="0" collapsed="false">
      <c r="A706" s="1" t="s">
        <v>9</v>
      </c>
      <c r="B706" s="1" t="n">
        <v>19</v>
      </c>
      <c r="C706" s="1" t="n">
        <v>12</v>
      </c>
      <c r="D706" s="1" t="s">
        <v>200</v>
      </c>
      <c r="E706" s="1" t="s">
        <v>206</v>
      </c>
      <c r="F706" s="1" t="n">
        <v>3510</v>
      </c>
      <c r="G706" s="4" t="n">
        <v>1</v>
      </c>
      <c r="H706" s="1" t="s">
        <v>384</v>
      </c>
    </row>
    <row r="707" customFormat="false" ht="12.8" hidden="false" customHeight="false" outlineLevel="0" collapsed="false">
      <c r="A707" s="1" t="s">
        <v>9</v>
      </c>
      <c r="B707" s="1" t="n">
        <v>19</v>
      </c>
      <c r="C707" s="1" t="n">
        <v>13</v>
      </c>
      <c r="D707" s="1" t="s">
        <v>206</v>
      </c>
      <c r="E707" s="1" t="s">
        <v>211</v>
      </c>
      <c r="F707" s="1" t="n">
        <v>3510</v>
      </c>
      <c r="G707" s="4" t="n">
        <v>0</v>
      </c>
      <c r="H707" s="1" t="s">
        <v>380</v>
      </c>
    </row>
    <row r="708" customFormat="false" ht="12.8" hidden="false" customHeight="false" outlineLevel="0" collapsed="false">
      <c r="A708" s="1" t="s">
        <v>9</v>
      </c>
      <c r="B708" s="1" t="n">
        <v>19</v>
      </c>
      <c r="C708" s="1" t="n">
        <v>14</v>
      </c>
      <c r="D708" s="1" t="s">
        <v>211</v>
      </c>
      <c r="E708" s="1" t="s">
        <v>200</v>
      </c>
      <c r="F708" s="1" t="n">
        <v>3510</v>
      </c>
      <c r="G708" s="4" t="n">
        <v>0</v>
      </c>
      <c r="H708" s="1" t="s">
        <v>383</v>
      </c>
    </row>
    <row r="709" customFormat="false" ht="12.8" hidden="false" customHeight="false" outlineLevel="0" collapsed="false">
      <c r="A709" s="1" t="s">
        <v>9</v>
      </c>
      <c r="B709" s="1" t="n">
        <v>19</v>
      </c>
      <c r="C709" s="1" t="n">
        <v>15</v>
      </c>
      <c r="D709" s="1" t="s">
        <v>200</v>
      </c>
      <c r="E709" s="1" t="s">
        <v>206</v>
      </c>
      <c r="F709" s="1" t="n">
        <v>3510</v>
      </c>
      <c r="G709" s="4" t="n">
        <v>1</v>
      </c>
      <c r="H709" s="1" t="s">
        <v>384</v>
      </c>
    </row>
    <row r="710" customFormat="false" ht="12.8" hidden="false" customHeight="false" outlineLevel="0" collapsed="false">
      <c r="A710" s="1" t="s">
        <v>9</v>
      </c>
      <c r="B710" s="1" t="n">
        <v>19</v>
      </c>
      <c r="C710" s="1" t="n">
        <v>16</v>
      </c>
      <c r="D710" s="1" t="s">
        <v>206</v>
      </c>
      <c r="E710" s="1" t="s">
        <v>211</v>
      </c>
      <c r="F710" s="1" t="n">
        <v>3510</v>
      </c>
      <c r="G710" s="4" t="n">
        <v>0</v>
      </c>
      <c r="H710" s="1" t="s">
        <v>380</v>
      </c>
    </row>
    <row r="711" customFormat="false" ht="12.8" hidden="false" customHeight="false" outlineLevel="0" collapsed="false">
      <c r="A711" s="1" t="s">
        <v>9</v>
      </c>
      <c r="B711" s="1" t="n">
        <v>19</v>
      </c>
      <c r="C711" s="1" t="n">
        <v>17</v>
      </c>
      <c r="D711" s="1" t="s">
        <v>211</v>
      </c>
      <c r="E711" s="1" t="s">
        <v>200</v>
      </c>
      <c r="F711" s="1" t="n">
        <v>3510</v>
      </c>
      <c r="G711" s="4" t="n">
        <v>0</v>
      </c>
      <c r="H711" s="1" t="s">
        <v>383</v>
      </c>
    </row>
    <row r="712" customFormat="false" ht="12.8" hidden="false" customHeight="false" outlineLevel="0" collapsed="false">
      <c r="A712" s="1" t="s">
        <v>9</v>
      </c>
      <c r="B712" s="1" t="n">
        <v>19</v>
      </c>
      <c r="C712" s="1" t="n">
        <v>18</v>
      </c>
      <c r="D712" s="1" t="s">
        <v>200</v>
      </c>
      <c r="E712" s="1" t="s">
        <v>206</v>
      </c>
      <c r="F712" s="1" t="n">
        <v>3510</v>
      </c>
      <c r="G712" s="4" t="n">
        <v>1</v>
      </c>
      <c r="H712" s="1" t="s">
        <v>384</v>
      </c>
    </row>
    <row r="713" customFormat="false" ht="12.8" hidden="false" customHeight="false" outlineLevel="0" collapsed="false">
      <c r="A713" s="1" t="s">
        <v>9</v>
      </c>
      <c r="B713" s="1" t="n">
        <v>19</v>
      </c>
      <c r="C713" s="1" t="n">
        <v>19</v>
      </c>
      <c r="D713" s="1" t="s">
        <v>206</v>
      </c>
      <c r="E713" s="1" t="s">
        <v>211</v>
      </c>
      <c r="F713" s="1" t="n">
        <v>3510</v>
      </c>
      <c r="G713" s="4" t="n">
        <v>0</v>
      </c>
      <c r="H713" s="1" t="s">
        <v>380</v>
      </c>
    </row>
    <row r="714" customFormat="false" ht="12.8" hidden="false" customHeight="false" outlineLevel="0" collapsed="false">
      <c r="A714" s="1" t="s">
        <v>9</v>
      </c>
      <c r="B714" s="1" t="n">
        <v>19</v>
      </c>
      <c r="C714" s="1" t="n">
        <v>20</v>
      </c>
      <c r="D714" s="1" t="s">
        <v>211</v>
      </c>
      <c r="E714" s="1" t="s">
        <v>198</v>
      </c>
      <c r="F714" s="1" t="n">
        <v>3510</v>
      </c>
      <c r="G714" s="4" t="n">
        <v>0</v>
      </c>
      <c r="H714" s="1" t="s">
        <v>381</v>
      </c>
    </row>
    <row r="715" customFormat="false" ht="12.8" hidden="false" customHeight="false" outlineLevel="0" collapsed="false">
      <c r="A715" s="1" t="s">
        <v>9</v>
      </c>
      <c r="B715" s="1" t="n">
        <v>19</v>
      </c>
      <c r="C715" s="1" t="n">
        <v>21</v>
      </c>
      <c r="D715" s="1" t="s">
        <v>198</v>
      </c>
      <c r="E715" s="1" t="s">
        <v>206</v>
      </c>
      <c r="F715" s="1" t="n">
        <v>3510</v>
      </c>
      <c r="G715" s="4" t="n">
        <v>1</v>
      </c>
      <c r="H715" s="1" t="s">
        <v>382</v>
      </c>
    </row>
    <row r="716" customFormat="false" ht="12.8" hidden="false" customHeight="false" outlineLevel="0" collapsed="false">
      <c r="A716" s="1" t="s">
        <v>9</v>
      </c>
      <c r="B716" s="1" t="n">
        <v>19</v>
      </c>
      <c r="C716" s="1" t="n">
        <v>22</v>
      </c>
      <c r="D716" s="1" t="s">
        <v>206</v>
      </c>
      <c r="E716" s="1" t="s">
        <v>211</v>
      </c>
      <c r="F716" s="1" t="n">
        <v>3510</v>
      </c>
      <c r="G716" s="4" t="n">
        <v>0</v>
      </c>
      <c r="H716" s="1" t="s">
        <v>380</v>
      </c>
    </row>
    <row r="717" customFormat="false" ht="12.8" hidden="false" customHeight="false" outlineLevel="0" collapsed="false">
      <c r="A717" s="1" t="s">
        <v>9</v>
      </c>
      <c r="B717" s="1" t="n">
        <v>19</v>
      </c>
      <c r="C717" s="1" t="n">
        <v>23</v>
      </c>
      <c r="D717" s="1" t="s">
        <v>211</v>
      </c>
      <c r="E717" s="1" t="s">
        <v>200</v>
      </c>
      <c r="F717" s="1" t="n">
        <v>3510</v>
      </c>
      <c r="G717" s="4" t="n">
        <v>0</v>
      </c>
      <c r="H717" s="1" t="s">
        <v>383</v>
      </c>
    </row>
    <row r="718" customFormat="false" ht="12.8" hidden="false" customHeight="false" outlineLevel="0" collapsed="false">
      <c r="A718" s="1" t="s">
        <v>9</v>
      </c>
      <c r="B718" s="1" t="n">
        <v>19</v>
      </c>
      <c r="C718" s="1" t="n">
        <v>24</v>
      </c>
      <c r="D718" s="1" t="s">
        <v>200</v>
      </c>
      <c r="E718" s="1" t="s">
        <v>206</v>
      </c>
      <c r="F718" s="1" t="n">
        <v>3510</v>
      </c>
      <c r="G718" s="4" t="n">
        <v>1</v>
      </c>
      <c r="H718" s="1" t="s">
        <v>384</v>
      </c>
    </row>
    <row r="719" customFormat="false" ht="12.8" hidden="false" customHeight="false" outlineLevel="0" collapsed="false">
      <c r="A719" s="1" t="s">
        <v>9</v>
      </c>
      <c r="B719" s="1" t="n">
        <v>19</v>
      </c>
      <c r="C719" s="1" t="n">
        <v>25</v>
      </c>
      <c r="D719" s="1" t="s">
        <v>206</v>
      </c>
      <c r="E719" s="1" t="s">
        <v>211</v>
      </c>
      <c r="F719" s="1" t="n">
        <v>3510</v>
      </c>
      <c r="G719" s="4" t="n">
        <v>0</v>
      </c>
      <c r="H719" s="1" t="s">
        <v>380</v>
      </c>
    </row>
    <row r="720" customFormat="false" ht="12.8" hidden="false" customHeight="false" outlineLevel="0" collapsed="false">
      <c r="A720" s="1" t="s">
        <v>9</v>
      </c>
      <c r="B720" s="1" t="n">
        <v>19</v>
      </c>
      <c r="C720" s="1" t="n">
        <v>26</v>
      </c>
      <c r="D720" s="1" t="s">
        <v>211</v>
      </c>
      <c r="E720" s="1" t="s">
        <v>200</v>
      </c>
      <c r="F720" s="1" t="n">
        <v>3510</v>
      </c>
      <c r="G720" s="4" t="n">
        <v>0</v>
      </c>
      <c r="H720" s="1" t="s">
        <v>383</v>
      </c>
    </row>
    <row r="721" customFormat="false" ht="12.8" hidden="false" customHeight="false" outlineLevel="0" collapsed="false">
      <c r="A721" s="1" t="s">
        <v>9</v>
      </c>
      <c r="B721" s="1" t="n">
        <v>19</v>
      </c>
      <c r="C721" s="1" t="n">
        <v>27</v>
      </c>
      <c r="D721" s="1" t="s">
        <v>200</v>
      </c>
      <c r="E721" s="1" t="s">
        <v>206</v>
      </c>
      <c r="F721" s="1" t="n">
        <v>3510</v>
      </c>
      <c r="G721" s="4" t="n">
        <v>1</v>
      </c>
      <c r="H721" s="1" t="s">
        <v>384</v>
      </c>
    </row>
    <row r="722" customFormat="false" ht="12.8" hidden="false" customHeight="false" outlineLevel="0" collapsed="false">
      <c r="A722" s="1" t="s">
        <v>9</v>
      </c>
      <c r="B722" s="1" t="n">
        <v>19</v>
      </c>
      <c r="C722" s="1" t="n">
        <v>28</v>
      </c>
      <c r="D722" s="1" t="s">
        <v>206</v>
      </c>
      <c r="E722" s="1" t="s">
        <v>211</v>
      </c>
      <c r="F722" s="1" t="n">
        <v>3510</v>
      </c>
      <c r="G722" s="4" t="n">
        <v>0</v>
      </c>
      <c r="H722" s="1" t="s">
        <v>380</v>
      </c>
    </row>
    <row r="723" customFormat="false" ht="12.8" hidden="false" customHeight="false" outlineLevel="0" collapsed="false">
      <c r="A723" s="1" t="s">
        <v>9</v>
      </c>
      <c r="B723" s="1" t="n">
        <v>19</v>
      </c>
      <c r="C723" s="1" t="n">
        <v>29</v>
      </c>
      <c r="D723" s="1" t="s">
        <v>211</v>
      </c>
      <c r="E723" s="1" t="s">
        <v>200</v>
      </c>
      <c r="F723" s="1" t="n">
        <v>3510</v>
      </c>
      <c r="G723" s="4" t="n">
        <v>0</v>
      </c>
      <c r="H723" s="1" t="s">
        <v>383</v>
      </c>
    </row>
    <row r="724" customFormat="false" ht="12.8" hidden="false" customHeight="false" outlineLevel="0" collapsed="false">
      <c r="A724" s="1" t="s">
        <v>9</v>
      </c>
      <c r="B724" s="1" t="n">
        <v>19</v>
      </c>
      <c r="C724" s="1" t="n">
        <v>30</v>
      </c>
      <c r="D724" s="1" t="s">
        <v>200</v>
      </c>
      <c r="E724" s="1" t="s">
        <v>206</v>
      </c>
      <c r="F724" s="1" t="n">
        <v>3510</v>
      </c>
      <c r="G724" s="4" t="n">
        <v>1</v>
      </c>
      <c r="H724" s="1" t="s">
        <v>384</v>
      </c>
    </row>
    <row r="725" customFormat="false" ht="12.8" hidden="false" customHeight="false" outlineLevel="0" collapsed="false">
      <c r="A725" s="1" t="s">
        <v>9</v>
      </c>
      <c r="B725" s="1" t="n">
        <v>19</v>
      </c>
      <c r="C725" s="1" t="n">
        <v>31</v>
      </c>
      <c r="D725" s="1" t="s">
        <v>206</v>
      </c>
      <c r="E725" s="1" t="s">
        <v>211</v>
      </c>
      <c r="F725" s="1" t="n">
        <v>3510</v>
      </c>
      <c r="G725" s="4" t="n">
        <v>0</v>
      </c>
      <c r="H725" s="1" t="s">
        <v>380</v>
      </c>
    </row>
    <row r="726" customFormat="false" ht="12.8" hidden="false" customHeight="false" outlineLevel="0" collapsed="false">
      <c r="A726" s="1" t="s">
        <v>9</v>
      </c>
      <c r="B726" s="1" t="n">
        <v>19</v>
      </c>
      <c r="C726" s="1" t="n">
        <v>32</v>
      </c>
      <c r="D726" s="1" t="s">
        <v>211</v>
      </c>
      <c r="E726" s="1" t="s">
        <v>198</v>
      </c>
      <c r="F726" s="1" t="n">
        <v>3510</v>
      </c>
      <c r="G726" s="4" t="n">
        <v>0</v>
      </c>
      <c r="H726" s="1" t="s">
        <v>381</v>
      </c>
    </row>
    <row r="727" customFormat="false" ht="12.8" hidden="false" customHeight="false" outlineLevel="0" collapsed="false">
      <c r="A727" s="1" t="s">
        <v>9</v>
      </c>
      <c r="B727" s="1" t="n">
        <v>19</v>
      </c>
      <c r="C727" s="1" t="n">
        <v>33</v>
      </c>
      <c r="D727" s="1" t="s">
        <v>198</v>
      </c>
      <c r="E727" s="1" t="s">
        <v>206</v>
      </c>
      <c r="F727" s="1" t="n">
        <v>3510</v>
      </c>
      <c r="G727" s="4" t="n">
        <v>1</v>
      </c>
      <c r="H727" s="1" t="s">
        <v>382</v>
      </c>
    </row>
    <row r="728" customFormat="false" ht="12.8" hidden="false" customHeight="false" outlineLevel="0" collapsed="false">
      <c r="A728" s="1" t="s">
        <v>9</v>
      </c>
      <c r="B728" s="1" t="n">
        <v>19</v>
      </c>
      <c r="C728" s="1" t="n">
        <v>34</v>
      </c>
      <c r="D728" s="1" t="s">
        <v>206</v>
      </c>
      <c r="E728" s="1" t="s">
        <v>211</v>
      </c>
      <c r="F728" s="1" t="n">
        <v>3510</v>
      </c>
      <c r="G728" s="4" t="n">
        <v>0</v>
      </c>
      <c r="H728" s="1" t="s">
        <v>380</v>
      </c>
    </row>
    <row r="729" customFormat="false" ht="12.8" hidden="false" customHeight="false" outlineLevel="0" collapsed="false">
      <c r="A729" s="1" t="s">
        <v>9</v>
      </c>
      <c r="B729" s="1" t="n">
        <v>19</v>
      </c>
      <c r="C729" s="1" t="n">
        <v>35</v>
      </c>
      <c r="D729" s="1" t="s">
        <v>211</v>
      </c>
      <c r="E729" s="1" t="s">
        <v>200</v>
      </c>
      <c r="F729" s="1" t="n">
        <v>3510</v>
      </c>
      <c r="G729" s="4" t="n">
        <v>1</v>
      </c>
      <c r="H729" s="1" t="s">
        <v>439</v>
      </c>
    </row>
    <row r="730" customFormat="false" ht="12.8" hidden="false" customHeight="false" outlineLevel="0" collapsed="false">
      <c r="A730" s="1" t="s">
        <v>9</v>
      </c>
      <c r="B730" s="1" t="n">
        <v>19</v>
      </c>
      <c r="C730" s="1" t="n">
        <v>36</v>
      </c>
      <c r="F730" s="1" t="n">
        <v>3510</v>
      </c>
      <c r="G730" s="4" t="n">
        <v>0</v>
      </c>
      <c r="H730" s="1" t="s">
        <v>377</v>
      </c>
    </row>
    <row r="731" customFormat="false" ht="12.8" hidden="false" customHeight="false" outlineLevel="0" collapsed="false">
      <c r="A731" s="1" t="s">
        <v>9</v>
      </c>
      <c r="B731" s="1" t="n">
        <v>29</v>
      </c>
      <c r="C731" s="1" t="n">
        <v>1</v>
      </c>
      <c r="F731" s="1" t="n">
        <v>3350</v>
      </c>
      <c r="G731" s="4" t="n">
        <v>0</v>
      </c>
      <c r="H731" s="1" t="s">
        <v>360</v>
      </c>
    </row>
    <row r="732" customFormat="false" ht="12.8" hidden="false" customHeight="false" outlineLevel="0" collapsed="false">
      <c r="A732" s="1" t="s">
        <v>9</v>
      </c>
      <c r="B732" s="1" t="n">
        <v>29</v>
      </c>
      <c r="C732" s="1" t="n">
        <v>2</v>
      </c>
      <c r="D732" s="1" t="s">
        <v>201</v>
      </c>
      <c r="E732" s="1" t="s">
        <v>213</v>
      </c>
      <c r="F732" s="1" t="n">
        <v>3350</v>
      </c>
      <c r="G732" s="4" t="n">
        <v>0</v>
      </c>
      <c r="H732" s="1" t="s">
        <v>389</v>
      </c>
    </row>
    <row r="733" customFormat="false" ht="12.8" hidden="false" customHeight="false" outlineLevel="0" collapsed="false">
      <c r="A733" s="1" t="s">
        <v>9</v>
      </c>
      <c r="B733" s="1" t="n">
        <v>29</v>
      </c>
      <c r="C733" s="1" t="n">
        <v>3</v>
      </c>
      <c r="D733" s="1" t="s">
        <v>213</v>
      </c>
      <c r="E733" s="1" t="s">
        <v>206</v>
      </c>
      <c r="F733" s="1" t="n">
        <v>3350</v>
      </c>
      <c r="G733" s="4" t="n">
        <v>0</v>
      </c>
      <c r="H733" s="1" t="s">
        <v>390</v>
      </c>
    </row>
    <row r="734" customFormat="false" ht="12.8" hidden="false" customHeight="false" outlineLevel="0" collapsed="false">
      <c r="A734" s="1" t="s">
        <v>9</v>
      </c>
      <c r="B734" s="1" t="n">
        <v>29</v>
      </c>
      <c r="C734" s="1" t="n">
        <v>4</v>
      </c>
      <c r="D734" s="1" t="s">
        <v>206</v>
      </c>
      <c r="E734" s="1" t="s">
        <v>213</v>
      </c>
      <c r="F734" s="1" t="n">
        <v>3350</v>
      </c>
      <c r="G734" s="4" t="n">
        <v>0</v>
      </c>
      <c r="H734" s="1" t="s">
        <v>391</v>
      </c>
    </row>
    <row r="735" customFormat="false" ht="12.8" hidden="false" customHeight="false" outlineLevel="0" collapsed="false">
      <c r="A735" s="1" t="s">
        <v>9</v>
      </c>
      <c r="B735" s="1" t="n">
        <v>29</v>
      </c>
      <c r="C735" s="1" t="n">
        <v>5</v>
      </c>
      <c r="D735" s="1" t="s">
        <v>213</v>
      </c>
      <c r="E735" s="1" t="s">
        <v>201</v>
      </c>
      <c r="F735" s="1" t="n">
        <v>3350</v>
      </c>
      <c r="G735" s="4" t="n">
        <v>0</v>
      </c>
      <c r="H735" s="1" t="s">
        <v>394</v>
      </c>
    </row>
    <row r="736" customFormat="false" ht="12.8" hidden="false" customHeight="false" outlineLevel="0" collapsed="false">
      <c r="A736" s="1" t="s">
        <v>9</v>
      </c>
      <c r="B736" s="1" t="n">
        <v>29</v>
      </c>
      <c r="C736" s="1" t="n">
        <v>6</v>
      </c>
      <c r="D736" s="1" t="s">
        <v>201</v>
      </c>
      <c r="E736" s="1" t="s">
        <v>206</v>
      </c>
      <c r="F736" s="1" t="n">
        <v>3350</v>
      </c>
      <c r="G736" s="4" t="n">
        <v>0</v>
      </c>
      <c r="H736" s="1" t="s">
        <v>395</v>
      </c>
    </row>
    <row r="737" customFormat="false" ht="12.8" hidden="false" customHeight="false" outlineLevel="0" collapsed="false">
      <c r="A737" s="1" t="s">
        <v>9</v>
      </c>
      <c r="B737" s="1" t="n">
        <v>29</v>
      </c>
      <c r="C737" s="1" t="n">
        <v>7</v>
      </c>
      <c r="D737" s="1" t="s">
        <v>206</v>
      </c>
      <c r="E737" s="1" t="s">
        <v>213</v>
      </c>
      <c r="F737" s="1" t="n">
        <v>3350</v>
      </c>
      <c r="G737" s="4" t="n">
        <v>0</v>
      </c>
      <c r="H737" s="1" t="s">
        <v>391</v>
      </c>
    </row>
    <row r="738" customFormat="false" ht="12.8" hidden="false" customHeight="false" outlineLevel="0" collapsed="false">
      <c r="A738" s="1" t="s">
        <v>9</v>
      </c>
      <c r="B738" s="1" t="n">
        <v>29</v>
      </c>
      <c r="C738" s="1" t="n">
        <v>8</v>
      </c>
      <c r="D738" s="1" t="s">
        <v>213</v>
      </c>
      <c r="E738" s="1" t="s">
        <v>201</v>
      </c>
      <c r="F738" s="1" t="n">
        <v>3350</v>
      </c>
      <c r="G738" s="4" t="n">
        <v>0</v>
      </c>
      <c r="H738" s="1" t="s">
        <v>394</v>
      </c>
    </row>
    <row r="739" customFormat="false" ht="12.8" hidden="false" customHeight="false" outlineLevel="0" collapsed="false">
      <c r="A739" s="1" t="s">
        <v>9</v>
      </c>
      <c r="B739" s="1" t="n">
        <v>29</v>
      </c>
      <c r="C739" s="1" t="n">
        <v>9</v>
      </c>
      <c r="D739" s="1" t="s">
        <v>201</v>
      </c>
      <c r="E739" s="1" t="s">
        <v>206</v>
      </c>
      <c r="F739" s="1" t="n">
        <v>3350</v>
      </c>
      <c r="G739" s="4" t="n">
        <v>0</v>
      </c>
      <c r="H739" s="1" t="s">
        <v>395</v>
      </c>
    </row>
    <row r="740" customFormat="false" ht="12.8" hidden="false" customHeight="false" outlineLevel="0" collapsed="false">
      <c r="A740" s="1" t="s">
        <v>9</v>
      </c>
      <c r="B740" s="1" t="n">
        <v>29</v>
      </c>
      <c r="C740" s="1" t="n">
        <v>10</v>
      </c>
      <c r="D740" s="1" t="s">
        <v>206</v>
      </c>
      <c r="E740" s="1" t="s">
        <v>213</v>
      </c>
      <c r="F740" s="1" t="n">
        <v>3350</v>
      </c>
      <c r="G740" s="4" t="n">
        <v>0</v>
      </c>
      <c r="H740" s="1" t="s">
        <v>391</v>
      </c>
    </row>
    <row r="741" customFormat="false" ht="12.8" hidden="false" customHeight="false" outlineLevel="0" collapsed="false">
      <c r="A741" s="1" t="s">
        <v>9</v>
      </c>
      <c r="B741" s="1" t="n">
        <v>29</v>
      </c>
      <c r="C741" s="1" t="n">
        <v>11</v>
      </c>
      <c r="D741" s="1" t="s">
        <v>213</v>
      </c>
      <c r="E741" s="1" t="s">
        <v>201</v>
      </c>
      <c r="F741" s="1" t="n">
        <v>3350</v>
      </c>
      <c r="G741" s="4" t="n">
        <v>0</v>
      </c>
      <c r="H741" s="1" t="s">
        <v>394</v>
      </c>
    </row>
    <row r="742" customFormat="false" ht="12.8" hidden="false" customHeight="false" outlineLevel="0" collapsed="false">
      <c r="A742" s="1" t="s">
        <v>9</v>
      </c>
      <c r="B742" s="1" t="n">
        <v>29</v>
      </c>
      <c r="C742" s="1" t="n">
        <v>12</v>
      </c>
      <c r="D742" s="1" t="s">
        <v>201</v>
      </c>
      <c r="E742" s="1" t="s">
        <v>206</v>
      </c>
      <c r="F742" s="1" t="n">
        <v>3350</v>
      </c>
      <c r="G742" s="4" t="n">
        <v>0</v>
      </c>
      <c r="H742" s="1" t="s">
        <v>395</v>
      </c>
    </row>
    <row r="743" customFormat="false" ht="12.8" hidden="false" customHeight="false" outlineLevel="0" collapsed="false">
      <c r="A743" s="1" t="s">
        <v>9</v>
      </c>
      <c r="B743" s="1" t="n">
        <v>29</v>
      </c>
      <c r="C743" s="1" t="n">
        <v>13</v>
      </c>
      <c r="D743" s="1" t="s">
        <v>206</v>
      </c>
      <c r="E743" s="1" t="s">
        <v>213</v>
      </c>
      <c r="F743" s="1" t="n">
        <v>3350</v>
      </c>
      <c r="G743" s="4" t="n">
        <v>0</v>
      </c>
      <c r="H743" s="1" t="s">
        <v>391</v>
      </c>
    </row>
    <row r="744" customFormat="false" ht="12.8" hidden="false" customHeight="false" outlineLevel="0" collapsed="false">
      <c r="A744" s="1" t="s">
        <v>9</v>
      </c>
      <c r="B744" s="1" t="n">
        <v>29</v>
      </c>
      <c r="C744" s="1" t="n">
        <v>14</v>
      </c>
      <c r="D744" s="1" t="s">
        <v>213</v>
      </c>
      <c r="E744" s="1" t="s">
        <v>201</v>
      </c>
      <c r="F744" s="1" t="n">
        <v>3350</v>
      </c>
      <c r="G744" s="4" t="n">
        <v>0</v>
      </c>
      <c r="H744" s="1" t="s">
        <v>394</v>
      </c>
    </row>
    <row r="745" customFormat="false" ht="12.8" hidden="false" customHeight="false" outlineLevel="0" collapsed="false">
      <c r="A745" s="1" t="s">
        <v>9</v>
      </c>
      <c r="B745" s="1" t="n">
        <v>29</v>
      </c>
      <c r="C745" s="1" t="n">
        <v>15</v>
      </c>
      <c r="D745" s="1" t="s">
        <v>201</v>
      </c>
      <c r="E745" s="1" t="s">
        <v>206</v>
      </c>
      <c r="F745" s="1" t="n">
        <v>3350</v>
      </c>
      <c r="G745" s="4" t="n">
        <v>0</v>
      </c>
      <c r="H745" s="1" t="s">
        <v>395</v>
      </c>
    </row>
    <row r="746" customFormat="false" ht="12.8" hidden="false" customHeight="false" outlineLevel="0" collapsed="false">
      <c r="A746" s="1" t="s">
        <v>9</v>
      </c>
      <c r="B746" s="1" t="n">
        <v>29</v>
      </c>
      <c r="C746" s="1" t="n">
        <v>16</v>
      </c>
      <c r="D746" s="1" t="s">
        <v>206</v>
      </c>
      <c r="E746" s="1" t="s">
        <v>213</v>
      </c>
      <c r="F746" s="1" t="n">
        <v>3350</v>
      </c>
      <c r="G746" s="4" t="n">
        <v>0</v>
      </c>
      <c r="H746" s="1" t="s">
        <v>391</v>
      </c>
    </row>
    <row r="747" customFormat="false" ht="12.8" hidden="false" customHeight="false" outlineLevel="0" collapsed="false">
      <c r="A747" s="1" t="s">
        <v>9</v>
      </c>
      <c r="B747" s="1" t="n">
        <v>29</v>
      </c>
      <c r="C747" s="1" t="n">
        <v>17</v>
      </c>
      <c r="D747" s="1" t="s">
        <v>213</v>
      </c>
      <c r="E747" s="1" t="s">
        <v>201</v>
      </c>
      <c r="F747" s="1" t="n">
        <v>3350</v>
      </c>
      <c r="G747" s="4" t="n">
        <v>0</v>
      </c>
      <c r="H747" s="1" t="s">
        <v>394</v>
      </c>
    </row>
    <row r="748" customFormat="false" ht="12.8" hidden="false" customHeight="false" outlineLevel="0" collapsed="false">
      <c r="A748" s="1" t="s">
        <v>9</v>
      </c>
      <c r="B748" s="1" t="n">
        <v>29</v>
      </c>
      <c r="C748" s="1" t="n">
        <v>18</v>
      </c>
      <c r="D748" s="1" t="s">
        <v>201</v>
      </c>
      <c r="E748" s="1" t="s">
        <v>206</v>
      </c>
      <c r="F748" s="1" t="n">
        <v>3350</v>
      </c>
      <c r="G748" s="4" t="n">
        <v>0</v>
      </c>
      <c r="H748" s="1" t="s">
        <v>395</v>
      </c>
    </row>
    <row r="749" customFormat="false" ht="12.8" hidden="false" customHeight="false" outlineLevel="0" collapsed="false">
      <c r="A749" s="1" t="s">
        <v>9</v>
      </c>
      <c r="B749" s="1" t="n">
        <v>29</v>
      </c>
      <c r="C749" s="1" t="n">
        <v>19</v>
      </c>
      <c r="D749" s="1" t="s">
        <v>206</v>
      </c>
      <c r="E749" s="1" t="s">
        <v>213</v>
      </c>
      <c r="F749" s="1" t="n">
        <v>3350</v>
      </c>
      <c r="G749" s="4" t="n">
        <v>0</v>
      </c>
      <c r="H749" s="1" t="s">
        <v>391</v>
      </c>
    </row>
    <row r="750" customFormat="false" ht="12.8" hidden="false" customHeight="false" outlineLevel="0" collapsed="false">
      <c r="A750" s="1" t="s">
        <v>9</v>
      </c>
      <c r="B750" s="1" t="n">
        <v>29</v>
      </c>
      <c r="C750" s="1" t="n">
        <v>20</v>
      </c>
      <c r="D750" s="1" t="s">
        <v>213</v>
      </c>
      <c r="E750" s="1" t="s">
        <v>199</v>
      </c>
      <c r="F750" s="1" t="n">
        <v>3350</v>
      </c>
      <c r="G750" s="4" t="n">
        <v>0</v>
      </c>
      <c r="H750" s="1" t="s">
        <v>392</v>
      </c>
    </row>
    <row r="751" customFormat="false" ht="12.8" hidden="false" customHeight="false" outlineLevel="0" collapsed="false">
      <c r="A751" s="1" t="s">
        <v>9</v>
      </c>
      <c r="B751" s="1" t="n">
        <v>29</v>
      </c>
      <c r="C751" s="1" t="n">
        <v>21</v>
      </c>
      <c r="D751" s="1" t="s">
        <v>199</v>
      </c>
      <c r="E751" s="1" t="s">
        <v>206</v>
      </c>
      <c r="F751" s="1" t="n">
        <v>3350</v>
      </c>
      <c r="G751" s="4" t="n">
        <v>0</v>
      </c>
      <c r="H751" s="1" t="s">
        <v>393</v>
      </c>
    </row>
    <row r="752" customFormat="false" ht="12.8" hidden="false" customHeight="false" outlineLevel="0" collapsed="false">
      <c r="A752" s="1" t="s">
        <v>9</v>
      </c>
      <c r="B752" s="1" t="n">
        <v>29</v>
      </c>
      <c r="C752" s="1" t="n">
        <v>22</v>
      </c>
      <c r="D752" s="1" t="s">
        <v>206</v>
      </c>
      <c r="E752" s="1" t="s">
        <v>213</v>
      </c>
      <c r="F752" s="1" t="n">
        <v>3350</v>
      </c>
      <c r="G752" s="4" t="n">
        <v>0</v>
      </c>
      <c r="H752" s="1" t="s">
        <v>391</v>
      </c>
    </row>
    <row r="753" customFormat="false" ht="12.8" hidden="false" customHeight="false" outlineLevel="0" collapsed="false">
      <c r="A753" s="1" t="s">
        <v>9</v>
      </c>
      <c r="B753" s="1" t="n">
        <v>29</v>
      </c>
      <c r="C753" s="1" t="n">
        <v>23</v>
      </c>
      <c r="D753" s="1" t="s">
        <v>213</v>
      </c>
      <c r="E753" s="1" t="s">
        <v>201</v>
      </c>
      <c r="F753" s="1" t="n">
        <v>3350</v>
      </c>
      <c r="G753" s="4" t="n">
        <v>0</v>
      </c>
      <c r="H753" s="1" t="s">
        <v>394</v>
      </c>
    </row>
    <row r="754" customFormat="false" ht="12.8" hidden="false" customHeight="false" outlineLevel="0" collapsed="false">
      <c r="A754" s="1" t="s">
        <v>9</v>
      </c>
      <c r="B754" s="1" t="n">
        <v>29</v>
      </c>
      <c r="C754" s="1" t="n">
        <v>24</v>
      </c>
      <c r="D754" s="1" t="s">
        <v>201</v>
      </c>
      <c r="E754" s="1" t="s">
        <v>206</v>
      </c>
      <c r="F754" s="1" t="n">
        <v>3350</v>
      </c>
      <c r="G754" s="4" t="n">
        <v>0</v>
      </c>
      <c r="H754" s="1" t="s">
        <v>395</v>
      </c>
    </row>
    <row r="755" customFormat="false" ht="12.8" hidden="false" customHeight="false" outlineLevel="0" collapsed="false">
      <c r="A755" s="1" t="s">
        <v>9</v>
      </c>
      <c r="B755" s="1" t="n">
        <v>29</v>
      </c>
      <c r="C755" s="1" t="n">
        <v>25</v>
      </c>
      <c r="D755" s="1" t="s">
        <v>206</v>
      </c>
      <c r="E755" s="1" t="s">
        <v>213</v>
      </c>
      <c r="F755" s="1" t="n">
        <v>3350</v>
      </c>
      <c r="G755" s="4" t="n">
        <v>0</v>
      </c>
      <c r="H755" s="1" t="s">
        <v>391</v>
      </c>
    </row>
    <row r="756" customFormat="false" ht="12.8" hidden="false" customHeight="false" outlineLevel="0" collapsed="false">
      <c r="A756" s="1" t="s">
        <v>9</v>
      </c>
      <c r="B756" s="1" t="n">
        <v>29</v>
      </c>
      <c r="C756" s="1" t="n">
        <v>26</v>
      </c>
      <c r="D756" s="1" t="s">
        <v>213</v>
      </c>
      <c r="E756" s="1" t="s">
        <v>201</v>
      </c>
      <c r="F756" s="1" t="n">
        <v>3350</v>
      </c>
      <c r="G756" s="4" t="n">
        <v>0</v>
      </c>
      <c r="H756" s="1" t="s">
        <v>394</v>
      </c>
    </row>
    <row r="757" customFormat="false" ht="12.8" hidden="false" customHeight="false" outlineLevel="0" collapsed="false">
      <c r="A757" s="1" t="s">
        <v>9</v>
      </c>
      <c r="B757" s="1" t="n">
        <v>29</v>
      </c>
      <c r="C757" s="1" t="n">
        <v>27</v>
      </c>
      <c r="D757" s="1" t="s">
        <v>201</v>
      </c>
      <c r="E757" s="1" t="s">
        <v>206</v>
      </c>
      <c r="F757" s="1" t="n">
        <v>3350</v>
      </c>
      <c r="G757" s="4" t="n">
        <v>0</v>
      </c>
      <c r="H757" s="1" t="s">
        <v>395</v>
      </c>
    </row>
    <row r="758" customFormat="false" ht="12.8" hidden="false" customHeight="false" outlineLevel="0" collapsed="false">
      <c r="A758" s="1" t="s">
        <v>9</v>
      </c>
      <c r="B758" s="1" t="n">
        <v>29</v>
      </c>
      <c r="C758" s="1" t="n">
        <v>28</v>
      </c>
      <c r="D758" s="1" t="s">
        <v>206</v>
      </c>
      <c r="E758" s="1" t="s">
        <v>213</v>
      </c>
      <c r="F758" s="1" t="n">
        <v>3350</v>
      </c>
      <c r="G758" s="4" t="n">
        <v>0</v>
      </c>
      <c r="H758" s="1" t="s">
        <v>391</v>
      </c>
    </row>
    <row r="759" customFormat="false" ht="12.8" hidden="false" customHeight="false" outlineLevel="0" collapsed="false">
      <c r="A759" s="1" t="s">
        <v>9</v>
      </c>
      <c r="B759" s="1" t="n">
        <v>29</v>
      </c>
      <c r="C759" s="1" t="n">
        <v>29</v>
      </c>
      <c r="D759" s="1" t="s">
        <v>213</v>
      </c>
      <c r="E759" s="1" t="s">
        <v>201</v>
      </c>
      <c r="F759" s="1" t="n">
        <v>3350</v>
      </c>
      <c r="G759" s="4" t="n">
        <v>0</v>
      </c>
      <c r="H759" s="1" t="s">
        <v>394</v>
      </c>
    </row>
    <row r="760" customFormat="false" ht="12.8" hidden="false" customHeight="false" outlineLevel="0" collapsed="false">
      <c r="A760" s="1" t="s">
        <v>9</v>
      </c>
      <c r="B760" s="1" t="n">
        <v>29</v>
      </c>
      <c r="C760" s="1" t="n">
        <v>30</v>
      </c>
      <c r="D760" s="1" t="s">
        <v>201</v>
      </c>
      <c r="E760" s="1" t="s">
        <v>206</v>
      </c>
      <c r="F760" s="1" t="n">
        <v>3350</v>
      </c>
      <c r="G760" s="4" t="n">
        <v>0</v>
      </c>
      <c r="H760" s="1" t="s">
        <v>395</v>
      </c>
    </row>
    <row r="761" customFormat="false" ht="12.8" hidden="false" customHeight="false" outlineLevel="0" collapsed="false">
      <c r="A761" s="1" t="s">
        <v>9</v>
      </c>
      <c r="B761" s="1" t="n">
        <v>29</v>
      </c>
      <c r="C761" s="1" t="n">
        <v>31</v>
      </c>
      <c r="D761" s="1" t="s">
        <v>206</v>
      </c>
      <c r="E761" s="1" t="s">
        <v>213</v>
      </c>
      <c r="F761" s="1" t="n">
        <v>3350</v>
      </c>
      <c r="G761" s="4" t="n">
        <v>0</v>
      </c>
      <c r="H761" s="1" t="s">
        <v>391</v>
      </c>
    </row>
    <row r="762" customFormat="false" ht="12.8" hidden="false" customHeight="false" outlineLevel="0" collapsed="false">
      <c r="A762" s="1" t="s">
        <v>9</v>
      </c>
      <c r="B762" s="1" t="n">
        <v>29</v>
      </c>
      <c r="C762" s="1" t="n">
        <v>32</v>
      </c>
      <c r="D762" s="1" t="s">
        <v>213</v>
      </c>
      <c r="E762" s="1" t="s">
        <v>199</v>
      </c>
      <c r="F762" s="1" t="n">
        <v>3350</v>
      </c>
      <c r="G762" s="4" t="n">
        <v>0</v>
      </c>
      <c r="H762" s="1" t="s">
        <v>392</v>
      </c>
    </row>
    <row r="763" customFormat="false" ht="12.8" hidden="false" customHeight="false" outlineLevel="0" collapsed="false">
      <c r="A763" s="1" t="s">
        <v>9</v>
      </c>
      <c r="B763" s="1" t="n">
        <v>29</v>
      </c>
      <c r="C763" s="1" t="n">
        <v>33</v>
      </c>
      <c r="D763" s="1" t="s">
        <v>199</v>
      </c>
      <c r="E763" s="1" t="s">
        <v>206</v>
      </c>
      <c r="F763" s="1" t="n">
        <v>3350</v>
      </c>
      <c r="G763" s="4" t="n">
        <v>0</v>
      </c>
      <c r="H763" s="1" t="s">
        <v>393</v>
      </c>
    </row>
    <row r="764" customFormat="false" ht="12.8" hidden="false" customHeight="false" outlineLevel="0" collapsed="false">
      <c r="A764" s="1" t="s">
        <v>9</v>
      </c>
      <c r="B764" s="1" t="n">
        <v>29</v>
      </c>
      <c r="C764" s="1" t="n">
        <v>34</v>
      </c>
      <c r="D764" s="1" t="s">
        <v>206</v>
      </c>
      <c r="E764" s="1" t="s">
        <v>213</v>
      </c>
      <c r="F764" s="1" t="n">
        <v>3350</v>
      </c>
      <c r="G764" s="4" t="n">
        <v>0</v>
      </c>
      <c r="H764" s="1" t="s">
        <v>391</v>
      </c>
    </row>
    <row r="765" customFormat="false" ht="12.8" hidden="false" customHeight="false" outlineLevel="0" collapsed="false">
      <c r="A765" s="1" t="s">
        <v>9</v>
      </c>
      <c r="B765" s="1" t="n">
        <v>29</v>
      </c>
      <c r="C765" s="1" t="n">
        <v>35</v>
      </c>
      <c r="D765" s="1" t="s">
        <v>213</v>
      </c>
      <c r="E765" s="1" t="s">
        <v>201</v>
      </c>
      <c r="F765" s="1" t="n">
        <v>3350</v>
      </c>
      <c r="G765" s="4" t="n">
        <v>1</v>
      </c>
      <c r="H765" s="1" t="s">
        <v>440</v>
      </c>
    </row>
    <row r="766" customFormat="false" ht="12.8" hidden="false" customHeight="false" outlineLevel="0" collapsed="false">
      <c r="A766" s="1" t="s">
        <v>9</v>
      </c>
      <c r="B766" s="1" t="n">
        <v>29</v>
      </c>
      <c r="C766" s="1" t="n">
        <v>36</v>
      </c>
      <c r="F766" s="1" t="n">
        <v>3350</v>
      </c>
      <c r="G766" s="4" t="n">
        <v>0</v>
      </c>
      <c r="H766" s="1" t="s">
        <v>360</v>
      </c>
    </row>
    <row r="767" customFormat="false" ht="12.8" hidden="false" customHeight="false" outlineLevel="0" collapsed="false">
      <c r="A767" s="1" t="s">
        <v>9</v>
      </c>
      <c r="B767" s="1" t="n">
        <v>30</v>
      </c>
      <c r="C767" s="1" t="n">
        <v>1</v>
      </c>
      <c r="F767" s="1" t="n">
        <v>3350</v>
      </c>
      <c r="G767" s="4" t="n">
        <v>0</v>
      </c>
      <c r="H767" s="1" t="s">
        <v>360</v>
      </c>
    </row>
    <row r="768" customFormat="false" ht="12.8" hidden="false" customHeight="false" outlineLevel="0" collapsed="false">
      <c r="A768" s="1" t="s">
        <v>9</v>
      </c>
      <c r="B768" s="1" t="n">
        <v>30</v>
      </c>
      <c r="C768" s="1" t="n">
        <v>2</v>
      </c>
      <c r="D768" s="1" t="s">
        <v>201</v>
      </c>
      <c r="E768" s="1" t="s">
        <v>213</v>
      </c>
      <c r="F768" s="1" t="n">
        <v>3350</v>
      </c>
      <c r="G768" s="4" t="n">
        <v>0</v>
      </c>
      <c r="H768" s="1" t="s">
        <v>389</v>
      </c>
    </row>
    <row r="769" customFormat="false" ht="12.8" hidden="false" customHeight="false" outlineLevel="0" collapsed="false">
      <c r="A769" s="1" t="s">
        <v>9</v>
      </c>
      <c r="B769" s="1" t="n">
        <v>30</v>
      </c>
      <c r="C769" s="1" t="n">
        <v>3</v>
      </c>
      <c r="D769" s="1" t="s">
        <v>213</v>
      </c>
      <c r="E769" s="1" t="s">
        <v>206</v>
      </c>
      <c r="F769" s="1" t="n">
        <v>3350</v>
      </c>
      <c r="G769" s="4" t="n">
        <v>0</v>
      </c>
      <c r="H769" s="1" t="s">
        <v>390</v>
      </c>
    </row>
    <row r="770" customFormat="false" ht="12.8" hidden="false" customHeight="false" outlineLevel="0" collapsed="false">
      <c r="A770" s="1" t="s">
        <v>9</v>
      </c>
      <c r="B770" s="1" t="n">
        <v>30</v>
      </c>
      <c r="C770" s="1" t="n">
        <v>4</v>
      </c>
      <c r="D770" s="1" t="s">
        <v>206</v>
      </c>
      <c r="E770" s="1" t="s">
        <v>201</v>
      </c>
      <c r="F770" s="1" t="n">
        <v>3350</v>
      </c>
      <c r="G770" s="4" t="n">
        <v>0</v>
      </c>
      <c r="H770" s="1" t="s">
        <v>400</v>
      </c>
    </row>
    <row r="771" customFormat="false" ht="12.8" hidden="false" customHeight="false" outlineLevel="0" collapsed="false">
      <c r="A771" s="1" t="s">
        <v>9</v>
      </c>
      <c r="B771" s="1" t="n">
        <v>30</v>
      </c>
      <c r="C771" s="1" t="n">
        <v>5</v>
      </c>
      <c r="D771" s="1" t="s">
        <v>201</v>
      </c>
      <c r="E771" s="1" t="s">
        <v>213</v>
      </c>
      <c r="F771" s="1" t="n">
        <v>3350</v>
      </c>
      <c r="G771" s="4" t="n">
        <v>1</v>
      </c>
      <c r="H771" s="1" t="s">
        <v>404</v>
      </c>
    </row>
    <row r="772" customFormat="false" ht="12.8" hidden="false" customHeight="false" outlineLevel="0" collapsed="false">
      <c r="A772" s="1" t="s">
        <v>9</v>
      </c>
      <c r="B772" s="1" t="n">
        <v>30</v>
      </c>
      <c r="C772" s="1" t="n">
        <v>6</v>
      </c>
      <c r="D772" s="1" t="s">
        <v>213</v>
      </c>
      <c r="E772" s="1" t="s">
        <v>206</v>
      </c>
      <c r="F772" s="1" t="n">
        <v>3350</v>
      </c>
      <c r="G772" s="4" t="n">
        <v>0</v>
      </c>
      <c r="H772" s="1" t="s">
        <v>390</v>
      </c>
    </row>
    <row r="773" customFormat="false" ht="12.8" hidden="false" customHeight="false" outlineLevel="0" collapsed="false">
      <c r="A773" s="1" t="s">
        <v>9</v>
      </c>
      <c r="B773" s="1" t="n">
        <v>30</v>
      </c>
      <c r="C773" s="1" t="n">
        <v>7</v>
      </c>
      <c r="D773" s="1" t="s">
        <v>206</v>
      </c>
      <c r="E773" s="1" t="s">
        <v>201</v>
      </c>
      <c r="F773" s="1" t="n">
        <v>3350</v>
      </c>
      <c r="G773" s="4" t="n">
        <v>0</v>
      </c>
      <c r="H773" s="1" t="s">
        <v>400</v>
      </c>
    </row>
    <row r="774" customFormat="false" ht="12.8" hidden="false" customHeight="false" outlineLevel="0" collapsed="false">
      <c r="A774" s="1" t="s">
        <v>9</v>
      </c>
      <c r="B774" s="1" t="n">
        <v>30</v>
      </c>
      <c r="C774" s="1" t="n">
        <v>8</v>
      </c>
      <c r="D774" s="1" t="s">
        <v>201</v>
      </c>
      <c r="E774" s="1" t="s">
        <v>213</v>
      </c>
      <c r="F774" s="1" t="n">
        <v>3350</v>
      </c>
      <c r="G774" s="4" t="n">
        <v>1</v>
      </c>
      <c r="H774" s="1" t="s">
        <v>404</v>
      </c>
    </row>
    <row r="775" customFormat="false" ht="12.8" hidden="false" customHeight="false" outlineLevel="0" collapsed="false">
      <c r="A775" s="1" t="s">
        <v>9</v>
      </c>
      <c r="B775" s="1" t="n">
        <v>30</v>
      </c>
      <c r="C775" s="1" t="n">
        <v>9</v>
      </c>
      <c r="D775" s="1" t="s">
        <v>213</v>
      </c>
      <c r="E775" s="1" t="s">
        <v>206</v>
      </c>
      <c r="F775" s="1" t="n">
        <v>3350</v>
      </c>
      <c r="G775" s="4" t="n">
        <v>0</v>
      </c>
      <c r="H775" s="1" t="s">
        <v>390</v>
      </c>
    </row>
    <row r="776" customFormat="false" ht="12.8" hidden="false" customHeight="false" outlineLevel="0" collapsed="false">
      <c r="A776" s="1" t="s">
        <v>9</v>
      </c>
      <c r="B776" s="1" t="n">
        <v>30</v>
      </c>
      <c r="C776" s="1" t="n">
        <v>10</v>
      </c>
      <c r="D776" s="1" t="s">
        <v>206</v>
      </c>
      <c r="E776" s="1" t="s">
        <v>201</v>
      </c>
      <c r="F776" s="1" t="n">
        <v>3350</v>
      </c>
      <c r="G776" s="4" t="n">
        <v>0</v>
      </c>
      <c r="H776" s="1" t="s">
        <v>400</v>
      </c>
    </row>
    <row r="777" customFormat="false" ht="12.8" hidden="false" customHeight="false" outlineLevel="0" collapsed="false">
      <c r="A777" s="1" t="s">
        <v>9</v>
      </c>
      <c r="B777" s="1" t="n">
        <v>30</v>
      </c>
      <c r="C777" s="1" t="n">
        <v>11</v>
      </c>
      <c r="D777" s="1" t="s">
        <v>201</v>
      </c>
      <c r="E777" s="1" t="s">
        <v>213</v>
      </c>
      <c r="F777" s="1" t="n">
        <v>3350</v>
      </c>
      <c r="G777" s="4" t="n">
        <v>1</v>
      </c>
      <c r="H777" s="1" t="s">
        <v>404</v>
      </c>
    </row>
    <row r="778" customFormat="false" ht="12.8" hidden="false" customHeight="false" outlineLevel="0" collapsed="false">
      <c r="A778" s="1" t="s">
        <v>9</v>
      </c>
      <c r="B778" s="1" t="n">
        <v>30</v>
      </c>
      <c r="C778" s="1" t="n">
        <v>12</v>
      </c>
      <c r="D778" s="1" t="s">
        <v>213</v>
      </c>
      <c r="E778" s="1" t="s">
        <v>206</v>
      </c>
      <c r="F778" s="1" t="n">
        <v>3350</v>
      </c>
      <c r="G778" s="4" t="n">
        <v>0</v>
      </c>
      <c r="H778" s="1" t="s">
        <v>390</v>
      </c>
    </row>
    <row r="779" customFormat="false" ht="12.8" hidden="false" customHeight="false" outlineLevel="0" collapsed="false">
      <c r="A779" s="1" t="s">
        <v>9</v>
      </c>
      <c r="B779" s="1" t="n">
        <v>30</v>
      </c>
      <c r="C779" s="1" t="n">
        <v>13</v>
      </c>
      <c r="D779" s="1" t="s">
        <v>206</v>
      </c>
      <c r="E779" s="1" t="s">
        <v>201</v>
      </c>
      <c r="F779" s="1" t="n">
        <v>3350</v>
      </c>
      <c r="G779" s="4" t="n">
        <v>0</v>
      </c>
      <c r="H779" s="1" t="s">
        <v>400</v>
      </c>
    </row>
    <row r="780" customFormat="false" ht="12.8" hidden="false" customHeight="false" outlineLevel="0" collapsed="false">
      <c r="A780" s="1" t="s">
        <v>9</v>
      </c>
      <c r="B780" s="1" t="n">
        <v>30</v>
      </c>
      <c r="C780" s="1" t="n">
        <v>14</v>
      </c>
      <c r="D780" s="1" t="s">
        <v>201</v>
      </c>
      <c r="E780" s="1" t="s">
        <v>213</v>
      </c>
      <c r="F780" s="1" t="n">
        <v>3350</v>
      </c>
      <c r="G780" s="4" t="n">
        <v>1</v>
      </c>
      <c r="H780" s="1" t="s">
        <v>404</v>
      </c>
    </row>
    <row r="781" customFormat="false" ht="12.8" hidden="false" customHeight="false" outlineLevel="0" collapsed="false">
      <c r="A781" s="1" t="s">
        <v>9</v>
      </c>
      <c r="B781" s="1" t="n">
        <v>30</v>
      </c>
      <c r="C781" s="1" t="n">
        <v>15</v>
      </c>
      <c r="D781" s="1" t="s">
        <v>213</v>
      </c>
      <c r="E781" s="1" t="s">
        <v>206</v>
      </c>
      <c r="F781" s="1" t="n">
        <v>3350</v>
      </c>
      <c r="G781" s="4" t="n">
        <v>0</v>
      </c>
      <c r="H781" s="1" t="s">
        <v>390</v>
      </c>
    </row>
    <row r="782" customFormat="false" ht="12.8" hidden="false" customHeight="false" outlineLevel="0" collapsed="false">
      <c r="A782" s="1" t="s">
        <v>9</v>
      </c>
      <c r="B782" s="1" t="n">
        <v>30</v>
      </c>
      <c r="C782" s="1" t="n">
        <v>16</v>
      </c>
      <c r="D782" s="1" t="s">
        <v>206</v>
      </c>
      <c r="E782" s="1" t="s">
        <v>201</v>
      </c>
      <c r="F782" s="1" t="n">
        <v>3350</v>
      </c>
      <c r="G782" s="4" t="n">
        <v>0</v>
      </c>
      <c r="H782" s="1" t="s">
        <v>400</v>
      </c>
    </row>
    <row r="783" customFormat="false" ht="12.8" hidden="false" customHeight="false" outlineLevel="0" collapsed="false">
      <c r="A783" s="1" t="s">
        <v>9</v>
      </c>
      <c r="B783" s="1" t="n">
        <v>30</v>
      </c>
      <c r="C783" s="1" t="n">
        <v>17</v>
      </c>
      <c r="D783" s="1" t="s">
        <v>201</v>
      </c>
      <c r="E783" s="1" t="s">
        <v>213</v>
      </c>
      <c r="F783" s="1" t="n">
        <v>3350</v>
      </c>
      <c r="G783" s="4" t="n">
        <v>1</v>
      </c>
      <c r="H783" s="1" t="s">
        <v>404</v>
      </c>
    </row>
    <row r="784" customFormat="false" ht="12.8" hidden="false" customHeight="false" outlineLevel="0" collapsed="false">
      <c r="A784" s="1" t="s">
        <v>9</v>
      </c>
      <c r="B784" s="1" t="n">
        <v>30</v>
      </c>
      <c r="C784" s="1" t="n">
        <v>18</v>
      </c>
      <c r="D784" s="1" t="s">
        <v>213</v>
      </c>
      <c r="E784" s="1" t="s">
        <v>206</v>
      </c>
      <c r="F784" s="1" t="n">
        <v>3350</v>
      </c>
      <c r="G784" s="4" t="n">
        <v>0</v>
      </c>
      <c r="H784" s="1" t="s">
        <v>390</v>
      </c>
    </row>
    <row r="785" customFormat="false" ht="12.8" hidden="false" customHeight="false" outlineLevel="0" collapsed="false">
      <c r="A785" s="1" t="s">
        <v>9</v>
      </c>
      <c r="B785" s="1" t="n">
        <v>30</v>
      </c>
      <c r="C785" s="1" t="n">
        <v>19</v>
      </c>
      <c r="D785" s="1" t="s">
        <v>206</v>
      </c>
      <c r="E785" s="1" t="s">
        <v>199</v>
      </c>
      <c r="F785" s="1" t="n">
        <v>3350</v>
      </c>
      <c r="G785" s="4" t="n">
        <v>0</v>
      </c>
      <c r="H785" s="1" t="s">
        <v>402</v>
      </c>
    </row>
    <row r="786" customFormat="false" ht="12.8" hidden="false" customHeight="false" outlineLevel="0" collapsed="false">
      <c r="A786" s="1" t="s">
        <v>9</v>
      </c>
      <c r="B786" s="1" t="n">
        <v>30</v>
      </c>
      <c r="C786" s="1" t="n">
        <v>20</v>
      </c>
      <c r="D786" s="1" t="s">
        <v>199</v>
      </c>
      <c r="E786" s="1" t="s">
        <v>213</v>
      </c>
      <c r="F786" s="1" t="n">
        <v>3350</v>
      </c>
      <c r="G786" s="4" t="n">
        <v>0</v>
      </c>
      <c r="H786" s="1" t="s">
        <v>403</v>
      </c>
    </row>
    <row r="787" customFormat="false" ht="12.8" hidden="false" customHeight="false" outlineLevel="0" collapsed="false">
      <c r="A787" s="1" t="s">
        <v>9</v>
      </c>
      <c r="B787" s="1" t="n">
        <v>30</v>
      </c>
      <c r="C787" s="1" t="n">
        <v>21</v>
      </c>
      <c r="D787" s="1" t="s">
        <v>213</v>
      </c>
      <c r="E787" s="1" t="s">
        <v>206</v>
      </c>
      <c r="F787" s="1" t="n">
        <v>3350</v>
      </c>
      <c r="G787" s="4" t="n">
        <v>0</v>
      </c>
      <c r="H787" s="1" t="s">
        <v>390</v>
      </c>
    </row>
    <row r="788" customFormat="false" ht="12.8" hidden="false" customHeight="false" outlineLevel="0" collapsed="false">
      <c r="A788" s="1" t="s">
        <v>9</v>
      </c>
      <c r="B788" s="1" t="n">
        <v>30</v>
      </c>
      <c r="C788" s="1" t="n">
        <v>22</v>
      </c>
      <c r="D788" s="1" t="s">
        <v>206</v>
      </c>
      <c r="E788" s="1" t="s">
        <v>201</v>
      </c>
      <c r="F788" s="1" t="n">
        <v>3350</v>
      </c>
      <c r="G788" s="4" t="n">
        <v>0</v>
      </c>
      <c r="H788" s="1" t="s">
        <v>400</v>
      </c>
    </row>
    <row r="789" customFormat="false" ht="12.8" hidden="false" customHeight="false" outlineLevel="0" collapsed="false">
      <c r="A789" s="1" t="s">
        <v>9</v>
      </c>
      <c r="B789" s="1" t="n">
        <v>30</v>
      </c>
      <c r="C789" s="1" t="n">
        <v>23</v>
      </c>
      <c r="D789" s="1" t="s">
        <v>201</v>
      </c>
      <c r="E789" s="1" t="s">
        <v>213</v>
      </c>
      <c r="F789" s="1" t="n">
        <v>3350</v>
      </c>
      <c r="G789" s="4" t="n">
        <v>1</v>
      </c>
      <c r="H789" s="1" t="s">
        <v>404</v>
      </c>
    </row>
    <row r="790" customFormat="false" ht="12.8" hidden="false" customHeight="false" outlineLevel="0" collapsed="false">
      <c r="A790" s="1" t="s">
        <v>9</v>
      </c>
      <c r="B790" s="1" t="n">
        <v>30</v>
      </c>
      <c r="C790" s="1" t="n">
        <v>24</v>
      </c>
      <c r="D790" s="1" t="s">
        <v>213</v>
      </c>
      <c r="E790" s="1" t="s">
        <v>206</v>
      </c>
      <c r="F790" s="1" t="n">
        <v>3350</v>
      </c>
      <c r="G790" s="4" t="n">
        <v>0</v>
      </c>
      <c r="H790" s="1" t="s">
        <v>390</v>
      </c>
    </row>
    <row r="791" customFormat="false" ht="12.8" hidden="false" customHeight="false" outlineLevel="0" collapsed="false">
      <c r="A791" s="1" t="s">
        <v>9</v>
      </c>
      <c r="B791" s="1" t="n">
        <v>30</v>
      </c>
      <c r="C791" s="1" t="n">
        <v>25</v>
      </c>
      <c r="D791" s="1" t="s">
        <v>206</v>
      </c>
      <c r="E791" s="1" t="s">
        <v>201</v>
      </c>
      <c r="F791" s="1" t="n">
        <v>3350</v>
      </c>
      <c r="G791" s="4" t="n">
        <v>0</v>
      </c>
      <c r="H791" s="1" t="s">
        <v>400</v>
      </c>
    </row>
    <row r="792" customFormat="false" ht="12.8" hidden="false" customHeight="false" outlineLevel="0" collapsed="false">
      <c r="A792" s="1" t="s">
        <v>9</v>
      </c>
      <c r="B792" s="1" t="n">
        <v>30</v>
      </c>
      <c r="C792" s="1" t="n">
        <v>26</v>
      </c>
      <c r="D792" s="1" t="s">
        <v>201</v>
      </c>
      <c r="E792" s="1" t="s">
        <v>213</v>
      </c>
      <c r="F792" s="1" t="n">
        <v>3350</v>
      </c>
      <c r="G792" s="4" t="n">
        <v>1</v>
      </c>
      <c r="H792" s="1" t="s">
        <v>404</v>
      </c>
    </row>
    <row r="793" customFormat="false" ht="12.8" hidden="false" customHeight="false" outlineLevel="0" collapsed="false">
      <c r="A793" s="1" t="s">
        <v>9</v>
      </c>
      <c r="B793" s="1" t="n">
        <v>30</v>
      </c>
      <c r="C793" s="1" t="n">
        <v>27</v>
      </c>
      <c r="D793" s="1" t="s">
        <v>213</v>
      </c>
      <c r="E793" s="1" t="s">
        <v>206</v>
      </c>
      <c r="F793" s="1" t="n">
        <v>3350</v>
      </c>
      <c r="G793" s="4" t="n">
        <v>0</v>
      </c>
      <c r="H793" s="1" t="s">
        <v>390</v>
      </c>
    </row>
    <row r="794" customFormat="false" ht="12.8" hidden="false" customHeight="false" outlineLevel="0" collapsed="false">
      <c r="A794" s="1" t="s">
        <v>9</v>
      </c>
      <c r="B794" s="1" t="n">
        <v>30</v>
      </c>
      <c r="C794" s="1" t="n">
        <v>28</v>
      </c>
      <c r="D794" s="1" t="s">
        <v>206</v>
      </c>
      <c r="E794" s="1" t="s">
        <v>201</v>
      </c>
      <c r="F794" s="1" t="n">
        <v>3350</v>
      </c>
      <c r="G794" s="4" t="n">
        <v>0</v>
      </c>
      <c r="H794" s="1" t="s">
        <v>400</v>
      </c>
    </row>
    <row r="795" customFormat="false" ht="12.8" hidden="false" customHeight="false" outlineLevel="0" collapsed="false">
      <c r="A795" s="1" t="s">
        <v>9</v>
      </c>
      <c r="B795" s="1" t="n">
        <v>30</v>
      </c>
      <c r="C795" s="1" t="n">
        <v>29</v>
      </c>
      <c r="D795" s="1" t="s">
        <v>201</v>
      </c>
      <c r="E795" s="1" t="s">
        <v>213</v>
      </c>
      <c r="F795" s="1" t="n">
        <v>3350</v>
      </c>
      <c r="G795" s="4" t="n">
        <v>1</v>
      </c>
      <c r="H795" s="1" t="s">
        <v>404</v>
      </c>
    </row>
    <row r="796" customFormat="false" ht="12.8" hidden="false" customHeight="false" outlineLevel="0" collapsed="false">
      <c r="A796" s="1" t="s">
        <v>9</v>
      </c>
      <c r="B796" s="1" t="n">
        <v>30</v>
      </c>
      <c r="C796" s="1" t="n">
        <v>30</v>
      </c>
      <c r="D796" s="1" t="s">
        <v>213</v>
      </c>
      <c r="E796" s="1" t="s">
        <v>206</v>
      </c>
      <c r="F796" s="1" t="n">
        <v>3350</v>
      </c>
      <c r="G796" s="4" t="n">
        <v>0</v>
      </c>
      <c r="H796" s="1" t="s">
        <v>390</v>
      </c>
    </row>
    <row r="797" customFormat="false" ht="12.8" hidden="false" customHeight="false" outlineLevel="0" collapsed="false">
      <c r="A797" s="1" t="s">
        <v>9</v>
      </c>
      <c r="B797" s="1" t="n">
        <v>30</v>
      </c>
      <c r="C797" s="1" t="n">
        <v>31</v>
      </c>
      <c r="D797" s="1" t="s">
        <v>206</v>
      </c>
      <c r="E797" s="1" t="s">
        <v>199</v>
      </c>
      <c r="F797" s="1" t="n">
        <v>3350</v>
      </c>
      <c r="G797" s="4" t="n">
        <v>0</v>
      </c>
      <c r="H797" s="1" t="s">
        <v>402</v>
      </c>
    </row>
    <row r="798" customFormat="false" ht="12.8" hidden="false" customHeight="false" outlineLevel="0" collapsed="false">
      <c r="A798" s="1" t="s">
        <v>9</v>
      </c>
      <c r="B798" s="1" t="n">
        <v>30</v>
      </c>
      <c r="C798" s="1" t="n">
        <v>32</v>
      </c>
      <c r="D798" s="1" t="s">
        <v>199</v>
      </c>
      <c r="E798" s="1" t="s">
        <v>213</v>
      </c>
      <c r="F798" s="1" t="n">
        <v>3350</v>
      </c>
      <c r="G798" s="4" t="n">
        <v>0</v>
      </c>
      <c r="H798" s="1" t="s">
        <v>403</v>
      </c>
    </row>
    <row r="799" customFormat="false" ht="12.8" hidden="false" customHeight="false" outlineLevel="0" collapsed="false">
      <c r="A799" s="1" t="s">
        <v>9</v>
      </c>
      <c r="B799" s="1" t="n">
        <v>30</v>
      </c>
      <c r="C799" s="1" t="n">
        <v>33</v>
      </c>
      <c r="D799" s="1" t="s">
        <v>213</v>
      </c>
      <c r="E799" s="1" t="s">
        <v>206</v>
      </c>
      <c r="F799" s="1" t="n">
        <v>3350</v>
      </c>
      <c r="G799" s="4" t="n">
        <v>0</v>
      </c>
      <c r="H799" s="1" t="s">
        <v>390</v>
      </c>
    </row>
    <row r="800" customFormat="false" ht="12.8" hidden="false" customHeight="false" outlineLevel="0" collapsed="false">
      <c r="A800" s="1" t="s">
        <v>9</v>
      </c>
      <c r="B800" s="1" t="n">
        <v>30</v>
      </c>
      <c r="C800" s="1" t="n">
        <v>34</v>
      </c>
      <c r="D800" s="1" t="s">
        <v>206</v>
      </c>
      <c r="E800" s="1" t="s">
        <v>213</v>
      </c>
      <c r="F800" s="1" t="n">
        <v>3350</v>
      </c>
      <c r="G800" s="4" t="n">
        <v>0</v>
      </c>
      <c r="H800" s="1" t="s">
        <v>391</v>
      </c>
    </row>
    <row r="801" customFormat="false" ht="12.8" hidden="false" customHeight="false" outlineLevel="0" collapsed="false">
      <c r="A801" s="1" t="s">
        <v>9</v>
      </c>
      <c r="B801" s="1" t="n">
        <v>30</v>
      </c>
      <c r="C801" s="1" t="n">
        <v>35</v>
      </c>
      <c r="D801" s="1" t="s">
        <v>213</v>
      </c>
      <c r="E801" s="1" t="s">
        <v>201</v>
      </c>
      <c r="F801" s="1" t="n">
        <v>3350</v>
      </c>
      <c r="G801" s="4" t="n">
        <v>1</v>
      </c>
      <c r="H801" s="1" t="s">
        <v>440</v>
      </c>
    </row>
    <row r="802" customFormat="false" ht="12.8" hidden="false" customHeight="false" outlineLevel="0" collapsed="false">
      <c r="A802" s="1" t="s">
        <v>9</v>
      </c>
      <c r="B802" s="1" t="n">
        <v>30</v>
      </c>
      <c r="C802" s="1" t="n">
        <v>36</v>
      </c>
      <c r="F802" s="1" t="n">
        <v>3350</v>
      </c>
      <c r="G802" s="4" t="n">
        <v>0</v>
      </c>
      <c r="H802" s="1" t="s">
        <v>360</v>
      </c>
    </row>
    <row r="803" customFormat="false" ht="12.8" hidden="false" customHeight="false" outlineLevel="0" collapsed="false">
      <c r="A803" s="1" t="s">
        <v>9</v>
      </c>
      <c r="B803" s="1" t="n">
        <v>39</v>
      </c>
      <c r="C803" s="1" t="n">
        <v>1</v>
      </c>
      <c r="F803" s="1" t="n">
        <v>3510</v>
      </c>
      <c r="G803" s="4" t="n">
        <v>0</v>
      </c>
      <c r="H803" s="1" t="s">
        <v>377</v>
      </c>
    </row>
    <row r="804" customFormat="false" ht="12.8" hidden="false" customHeight="false" outlineLevel="0" collapsed="false">
      <c r="A804" s="1" t="s">
        <v>9</v>
      </c>
      <c r="B804" s="1" t="n">
        <v>39</v>
      </c>
      <c r="C804" s="1" t="n">
        <v>2</v>
      </c>
      <c r="D804" s="1" t="s">
        <v>201</v>
      </c>
      <c r="E804" s="1" t="s">
        <v>213</v>
      </c>
      <c r="F804" s="1" t="n">
        <v>3510</v>
      </c>
      <c r="G804" s="4" t="n">
        <v>0</v>
      </c>
      <c r="H804" s="1" t="s">
        <v>409</v>
      </c>
    </row>
    <row r="805" customFormat="false" ht="12.8" hidden="false" customHeight="false" outlineLevel="0" collapsed="false">
      <c r="A805" s="1" t="s">
        <v>9</v>
      </c>
      <c r="B805" s="1" t="n">
        <v>39</v>
      </c>
      <c r="C805" s="1" t="n">
        <v>3</v>
      </c>
      <c r="D805" s="1" t="s">
        <v>213</v>
      </c>
      <c r="E805" s="1" t="s">
        <v>206</v>
      </c>
      <c r="F805" s="1" t="n">
        <v>3510</v>
      </c>
      <c r="G805" s="4" t="n">
        <v>0</v>
      </c>
      <c r="H805" s="1" t="s">
        <v>410</v>
      </c>
    </row>
    <row r="806" customFormat="false" ht="12.8" hidden="false" customHeight="false" outlineLevel="0" collapsed="false">
      <c r="A806" s="1" t="s">
        <v>9</v>
      </c>
      <c r="B806" s="1" t="n">
        <v>39</v>
      </c>
      <c r="C806" s="1" t="n">
        <v>4</v>
      </c>
      <c r="D806" s="1" t="s">
        <v>206</v>
      </c>
      <c r="E806" s="1" t="s">
        <v>213</v>
      </c>
      <c r="F806" s="1" t="n">
        <v>3510</v>
      </c>
      <c r="G806" s="4" t="n">
        <v>0</v>
      </c>
      <c r="H806" s="1" t="s">
        <v>411</v>
      </c>
    </row>
    <row r="807" customFormat="false" ht="12.8" hidden="false" customHeight="false" outlineLevel="0" collapsed="false">
      <c r="A807" s="1" t="s">
        <v>9</v>
      </c>
      <c r="B807" s="1" t="n">
        <v>39</v>
      </c>
      <c r="C807" s="1" t="n">
        <v>5</v>
      </c>
      <c r="D807" s="1" t="s">
        <v>213</v>
      </c>
      <c r="E807" s="1" t="s">
        <v>201</v>
      </c>
      <c r="F807" s="1" t="n">
        <v>3510</v>
      </c>
      <c r="G807" s="4" t="n">
        <v>0</v>
      </c>
      <c r="H807" s="1" t="s">
        <v>414</v>
      </c>
    </row>
    <row r="808" customFormat="false" ht="12.8" hidden="false" customHeight="false" outlineLevel="0" collapsed="false">
      <c r="A808" s="1" t="s">
        <v>9</v>
      </c>
      <c r="B808" s="1" t="n">
        <v>39</v>
      </c>
      <c r="C808" s="1" t="n">
        <v>6</v>
      </c>
      <c r="D808" s="1" t="s">
        <v>201</v>
      </c>
      <c r="E808" s="1" t="s">
        <v>206</v>
      </c>
      <c r="F808" s="1" t="n">
        <v>3510</v>
      </c>
      <c r="G808" s="4" t="n">
        <v>0</v>
      </c>
      <c r="H808" s="1" t="s">
        <v>415</v>
      </c>
    </row>
    <row r="809" customFormat="false" ht="12.8" hidden="false" customHeight="false" outlineLevel="0" collapsed="false">
      <c r="A809" s="1" t="s">
        <v>9</v>
      </c>
      <c r="B809" s="1" t="n">
        <v>39</v>
      </c>
      <c r="C809" s="1" t="n">
        <v>7</v>
      </c>
      <c r="D809" s="1" t="s">
        <v>206</v>
      </c>
      <c r="E809" s="1" t="s">
        <v>213</v>
      </c>
      <c r="F809" s="1" t="n">
        <v>3510</v>
      </c>
      <c r="G809" s="4" t="n">
        <v>0</v>
      </c>
      <c r="H809" s="1" t="s">
        <v>411</v>
      </c>
    </row>
    <row r="810" customFormat="false" ht="12.8" hidden="false" customHeight="false" outlineLevel="0" collapsed="false">
      <c r="A810" s="1" t="s">
        <v>9</v>
      </c>
      <c r="B810" s="1" t="n">
        <v>39</v>
      </c>
      <c r="C810" s="1" t="n">
        <v>8</v>
      </c>
      <c r="D810" s="1" t="s">
        <v>213</v>
      </c>
      <c r="E810" s="1" t="s">
        <v>201</v>
      </c>
      <c r="F810" s="1" t="n">
        <v>3510</v>
      </c>
      <c r="G810" s="4" t="n">
        <v>0</v>
      </c>
      <c r="H810" s="1" t="s">
        <v>414</v>
      </c>
    </row>
    <row r="811" customFormat="false" ht="12.8" hidden="false" customHeight="false" outlineLevel="0" collapsed="false">
      <c r="A811" s="1" t="s">
        <v>9</v>
      </c>
      <c r="B811" s="1" t="n">
        <v>39</v>
      </c>
      <c r="C811" s="1" t="n">
        <v>9</v>
      </c>
      <c r="D811" s="1" t="s">
        <v>201</v>
      </c>
      <c r="E811" s="1" t="s">
        <v>206</v>
      </c>
      <c r="F811" s="1" t="n">
        <v>3510</v>
      </c>
      <c r="G811" s="4" t="n">
        <v>0</v>
      </c>
      <c r="H811" s="1" t="s">
        <v>415</v>
      </c>
    </row>
    <row r="812" customFormat="false" ht="12.8" hidden="false" customHeight="false" outlineLevel="0" collapsed="false">
      <c r="A812" s="1" t="s">
        <v>9</v>
      </c>
      <c r="B812" s="1" t="n">
        <v>39</v>
      </c>
      <c r="C812" s="1" t="n">
        <v>10</v>
      </c>
      <c r="D812" s="1" t="s">
        <v>206</v>
      </c>
      <c r="E812" s="1" t="s">
        <v>213</v>
      </c>
      <c r="F812" s="1" t="n">
        <v>3510</v>
      </c>
      <c r="G812" s="4" t="n">
        <v>0</v>
      </c>
      <c r="H812" s="1" t="s">
        <v>411</v>
      </c>
    </row>
    <row r="813" customFormat="false" ht="12.8" hidden="false" customHeight="false" outlineLevel="0" collapsed="false">
      <c r="A813" s="1" t="s">
        <v>9</v>
      </c>
      <c r="B813" s="1" t="n">
        <v>39</v>
      </c>
      <c r="C813" s="1" t="n">
        <v>11</v>
      </c>
      <c r="D813" s="1" t="s">
        <v>213</v>
      </c>
      <c r="E813" s="1" t="s">
        <v>201</v>
      </c>
      <c r="F813" s="1" t="n">
        <v>3510</v>
      </c>
      <c r="G813" s="4" t="n">
        <v>0</v>
      </c>
      <c r="H813" s="1" t="s">
        <v>414</v>
      </c>
    </row>
    <row r="814" customFormat="false" ht="12.8" hidden="false" customHeight="false" outlineLevel="0" collapsed="false">
      <c r="A814" s="1" t="s">
        <v>9</v>
      </c>
      <c r="B814" s="1" t="n">
        <v>39</v>
      </c>
      <c r="C814" s="1" t="n">
        <v>12</v>
      </c>
      <c r="D814" s="1" t="s">
        <v>201</v>
      </c>
      <c r="E814" s="1" t="s">
        <v>206</v>
      </c>
      <c r="F814" s="1" t="n">
        <v>3510</v>
      </c>
      <c r="G814" s="4" t="n">
        <v>0</v>
      </c>
      <c r="H814" s="1" t="s">
        <v>415</v>
      </c>
    </row>
    <row r="815" customFormat="false" ht="12.8" hidden="false" customHeight="false" outlineLevel="0" collapsed="false">
      <c r="A815" s="1" t="s">
        <v>9</v>
      </c>
      <c r="B815" s="1" t="n">
        <v>39</v>
      </c>
      <c r="C815" s="1" t="n">
        <v>13</v>
      </c>
      <c r="D815" s="1" t="s">
        <v>206</v>
      </c>
      <c r="E815" s="1" t="s">
        <v>213</v>
      </c>
      <c r="F815" s="1" t="n">
        <v>3510</v>
      </c>
      <c r="G815" s="4" t="n">
        <v>0</v>
      </c>
      <c r="H815" s="1" t="s">
        <v>411</v>
      </c>
    </row>
    <row r="816" customFormat="false" ht="12.8" hidden="false" customHeight="false" outlineLevel="0" collapsed="false">
      <c r="A816" s="1" t="s">
        <v>9</v>
      </c>
      <c r="B816" s="1" t="n">
        <v>39</v>
      </c>
      <c r="C816" s="1" t="n">
        <v>14</v>
      </c>
      <c r="D816" s="1" t="s">
        <v>213</v>
      </c>
      <c r="E816" s="1" t="s">
        <v>201</v>
      </c>
      <c r="F816" s="1" t="n">
        <v>3510</v>
      </c>
      <c r="G816" s="4" t="n">
        <v>0</v>
      </c>
      <c r="H816" s="1" t="s">
        <v>414</v>
      </c>
    </row>
    <row r="817" customFormat="false" ht="12.8" hidden="false" customHeight="false" outlineLevel="0" collapsed="false">
      <c r="A817" s="1" t="s">
        <v>9</v>
      </c>
      <c r="B817" s="1" t="n">
        <v>39</v>
      </c>
      <c r="C817" s="1" t="n">
        <v>15</v>
      </c>
      <c r="D817" s="1" t="s">
        <v>201</v>
      </c>
      <c r="E817" s="1" t="s">
        <v>206</v>
      </c>
      <c r="F817" s="1" t="n">
        <v>3510</v>
      </c>
      <c r="G817" s="4" t="n">
        <v>0</v>
      </c>
      <c r="H817" s="1" t="s">
        <v>415</v>
      </c>
    </row>
    <row r="818" customFormat="false" ht="12.8" hidden="false" customHeight="false" outlineLevel="0" collapsed="false">
      <c r="A818" s="1" t="s">
        <v>9</v>
      </c>
      <c r="B818" s="1" t="n">
        <v>39</v>
      </c>
      <c r="C818" s="1" t="n">
        <v>16</v>
      </c>
      <c r="D818" s="1" t="s">
        <v>206</v>
      </c>
      <c r="E818" s="1" t="s">
        <v>213</v>
      </c>
      <c r="F818" s="1" t="n">
        <v>3510</v>
      </c>
      <c r="G818" s="4" t="n">
        <v>0</v>
      </c>
      <c r="H818" s="1" t="s">
        <v>411</v>
      </c>
    </row>
    <row r="819" customFormat="false" ht="12.8" hidden="false" customHeight="false" outlineLevel="0" collapsed="false">
      <c r="A819" s="1" t="s">
        <v>9</v>
      </c>
      <c r="B819" s="1" t="n">
        <v>39</v>
      </c>
      <c r="C819" s="1" t="n">
        <v>17</v>
      </c>
      <c r="D819" s="1" t="s">
        <v>213</v>
      </c>
      <c r="E819" s="1" t="s">
        <v>201</v>
      </c>
      <c r="F819" s="1" t="n">
        <v>3510</v>
      </c>
      <c r="G819" s="4" t="n">
        <v>0</v>
      </c>
      <c r="H819" s="1" t="s">
        <v>414</v>
      </c>
    </row>
    <row r="820" customFormat="false" ht="12.8" hidden="false" customHeight="false" outlineLevel="0" collapsed="false">
      <c r="A820" s="1" t="s">
        <v>9</v>
      </c>
      <c r="B820" s="1" t="n">
        <v>39</v>
      </c>
      <c r="C820" s="1" t="n">
        <v>18</v>
      </c>
      <c r="D820" s="1" t="s">
        <v>201</v>
      </c>
      <c r="E820" s="1" t="s">
        <v>206</v>
      </c>
      <c r="F820" s="1" t="n">
        <v>3510</v>
      </c>
      <c r="G820" s="4" t="n">
        <v>0</v>
      </c>
      <c r="H820" s="1" t="s">
        <v>415</v>
      </c>
    </row>
    <row r="821" customFormat="false" ht="12.8" hidden="false" customHeight="false" outlineLevel="0" collapsed="false">
      <c r="A821" s="1" t="s">
        <v>9</v>
      </c>
      <c r="B821" s="1" t="n">
        <v>39</v>
      </c>
      <c r="C821" s="1" t="n">
        <v>19</v>
      </c>
      <c r="D821" s="1" t="s">
        <v>206</v>
      </c>
      <c r="E821" s="1" t="s">
        <v>213</v>
      </c>
      <c r="F821" s="1" t="n">
        <v>3510</v>
      </c>
      <c r="G821" s="4" t="n">
        <v>0</v>
      </c>
      <c r="H821" s="1" t="s">
        <v>411</v>
      </c>
    </row>
    <row r="822" customFormat="false" ht="12.8" hidden="false" customHeight="false" outlineLevel="0" collapsed="false">
      <c r="A822" s="1" t="s">
        <v>9</v>
      </c>
      <c r="B822" s="1" t="n">
        <v>39</v>
      </c>
      <c r="C822" s="1" t="n">
        <v>20</v>
      </c>
      <c r="D822" s="1" t="s">
        <v>213</v>
      </c>
      <c r="E822" s="1" t="s">
        <v>199</v>
      </c>
      <c r="F822" s="1" t="n">
        <v>3510</v>
      </c>
      <c r="G822" s="4" t="n">
        <v>0</v>
      </c>
      <c r="H822" s="1" t="s">
        <v>412</v>
      </c>
    </row>
    <row r="823" customFormat="false" ht="12.8" hidden="false" customHeight="false" outlineLevel="0" collapsed="false">
      <c r="A823" s="1" t="s">
        <v>9</v>
      </c>
      <c r="B823" s="1" t="n">
        <v>39</v>
      </c>
      <c r="C823" s="1" t="n">
        <v>21</v>
      </c>
      <c r="D823" s="1" t="s">
        <v>199</v>
      </c>
      <c r="E823" s="1" t="s">
        <v>206</v>
      </c>
      <c r="F823" s="1" t="n">
        <v>3510</v>
      </c>
      <c r="G823" s="4" t="n">
        <v>0</v>
      </c>
      <c r="H823" s="1" t="s">
        <v>413</v>
      </c>
    </row>
    <row r="824" customFormat="false" ht="12.8" hidden="false" customHeight="false" outlineLevel="0" collapsed="false">
      <c r="A824" s="1" t="s">
        <v>9</v>
      </c>
      <c r="B824" s="1" t="n">
        <v>39</v>
      </c>
      <c r="C824" s="1" t="n">
        <v>22</v>
      </c>
      <c r="D824" s="1" t="s">
        <v>206</v>
      </c>
      <c r="E824" s="1" t="s">
        <v>213</v>
      </c>
      <c r="F824" s="1" t="n">
        <v>3510</v>
      </c>
      <c r="G824" s="4" t="n">
        <v>0</v>
      </c>
      <c r="H824" s="1" t="s">
        <v>411</v>
      </c>
    </row>
    <row r="825" customFormat="false" ht="12.8" hidden="false" customHeight="false" outlineLevel="0" collapsed="false">
      <c r="A825" s="1" t="s">
        <v>9</v>
      </c>
      <c r="B825" s="1" t="n">
        <v>39</v>
      </c>
      <c r="C825" s="1" t="n">
        <v>23</v>
      </c>
      <c r="D825" s="1" t="s">
        <v>213</v>
      </c>
      <c r="E825" s="1" t="s">
        <v>201</v>
      </c>
      <c r="F825" s="1" t="n">
        <v>3510</v>
      </c>
      <c r="G825" s="4" t="n">
        <v>0</v>
      </c>
      <c r="H825" s="1" t="s">
        <v>414</v>
      </c>
    </row>
    <row r="826" customFormat="false" ht="12.8" hidden="false" customHeight="false" outlineLevel="0" collapsed="false">
      <c r="A826" s="1" t="s">
        <v>9</v>
      </c>
      <c r="B826" s="1" t="n">
        <v>39</v>
      </c>
      <c r="C826" s="1" t="n">
        <v>24</v>
      </c>
      <c r="D826" s="1" t="s">
        <v>201</v>
      </c>
      <c r="E826" s="1" t="s">
        <v>206</v>
      </c>
      <c r="F826" s="1" t="n">
        <v>3510</v>
      </c>
      <c r="G826" s="4" t="n">
        <v>0</v>
      </c>
      <c r="H826" s="1" t="s">
        <v>415</v>
      </c>
    </row>
    <row r="827" customFormat="false" ht="12.8" hidden="false" customHeight="false" outlineLevel="0" collapsed="false">
      <c r="A827" s="1" t="s">
        <v>9</v>
      </c>
      <c r="B827" s="1" t="n">
        <v>39</v>
      </c>
      <c r="C827" s="1" t="n">
        <v>25</v>
      </c>
      <c r="D827" s="1" t="s">
        <v>206</v>
      </c>
      <c r="E827" s="1" t="s">
        <v>213</v>
      </c>
      <c r="F827" s="1" t="n">
        <v>3510</v>
      </c>
      <c r="G827" s="4" t="n">
        <v>0</v>
      </c>
      <c r="H827" s="1" t="s">
        <v>411</v>
      </c>
    </row>
    <row r="828" customFormat="false" ht="12.8" hidden="false" customHeight="false" outlineLevel="0" collapsed="false">
      <c r="A828" s="1" t="s">
        <v>9</v>
      </c>
      <c r="B828" s="1" t="n">
        <v>39</v>
      </c>
      <c r="C828" s="1" t="n">
        <v>26</v>
      </c>
      <c r="D828" s="1" t="s">
        <v>213</v>
      </c>
      <c r="E828" s="1" t="s">
        <v>201</v>
      </c>
      <c r="F828" s="1" t="n">
        <v>3510</v>
      </c>
      <c r="G828" s="4" t="n">
        <v>0</v>
      </c>
      <c r="H828" s="1" t="s">
        <v>414</v>
      </c>
    </row>
    <row r="829" customFormat="false" ht="12.8" hidden="false" customHeight="false" outlineLevel="0" collapsed="false">
      <c r="A829" s="1" t="s">
        <v>9</v>
      </c>
      <c r="B829" s="1" t="n">
        <v>39</v>
      </c>
      <c r="C829" s="1" t="n">
        <v>27</v>
      </c>
      <c r="D829" s="1" t="s">
        <v>201</v>
      </c>
      <c r="E829" s="1" t="s">
        <v>206</v>
      </c>
      <c r="F829" s="1" t="n">
        <v>3510</v>
      </c>
      <c r="G829" s="4" t="n">
        <v>0</v>
      </c>
      <c r="H829" s="1" t="s">
        <v>415</v>
      </c>
    </row>
    <row r="830" customFormat="false" ht="12.8" hidden="false" customHeight="false" outlineLevel="0" collapsed="false">
      <c r="A830" s="1" t="s">
        <v>9</v>
      </c>
      <c r="B830" s="1" t="n">
        <v>39</v>
      </c>
      <c r="C830" s="1" t="n">
        <v>28</v>
      </c>
      <c r="D830" s="1" t="s">
        <v>206</v>
      </c>
      <c r="E830" s="1" t="s">
        <v>213</v>
      </c>
      <c r="F830" s="1" t="n">
        <v>3510</v>
      </c>
      <c r="G830" s="4" t="n">
        <v>0</v>
      </c>
      <c r="H830" s="1" t="s">
        <v>411</v>
      </c>
    </row>
    <row r="831" customFormat="false" ht="12.8" hidden="false" customHeight="false" outlineLevel="0" collapsed="false">
      <c r="A831" s="1" t="s">
        <v>9</v>
      </c>
      <c r="B831" s="1" t="n">
        <v>39</v>
      </c>
      <c r="C831" s="1" t="n">
        <v>29</v>
      </c>
      <c r="D831" s="1" t="s">
        <v>213</v>
      </c>
      <c r="E831" s="1" t="s">
        <v>201</v>
      </c>
      <c r="F831" s="1" t="n">
        <v>3510</v>
      </c>
      <c r="G831" s="4" t="n">
        <v>0</v>
      </c>
      <c r="H831" s="1" t="s">
        <v>414</v>
      </c>
    </row>
    <row r="832" customFormat="false" ht="12.8" hidden="false" customHeight="false" outlineLevel="0" collapsed="false">
      <c r="A832" s="1" t="s">
        <v>9</v>
      </c>
      <c r="B832" s="1" t="n">
        <v>39</v>
      </c>
      <c r="C832" s="1" t="n">
        <v>30</v>
      </c>
      <c r="D832" s="1" t="s">
        <v>201</v>
      </c>
      <c r="E832" s="1" t="s">
        <v>206</v>
      </c>
      <c r="F832" s="1" t="n">
        <v>3510</v>
      </c>
      <c r="G832" s="4" t="n">
        <v>0</v>
      </c>
      <c r="H832" s="1" t="s">
        <v>415</v>
      </c>
    </row>
    <row r="833" customFormat="false" ht="12.8" hidden="false" customHeight="false" outlineLevel="0" collapsed="false">
      <c r="A833" s="1" t="s">
        <v>9</v>
      </c>
      <c r="B833" s="1" t="n">
        <v>39</v>
      </c>
      <c r="C833" s="1" t="n">
        <v>31</v>
      </c>
      <c r="D833" s="1" t="s">
        <v>206</v>
      </c>
      <c r="E833" s="1" t="s">
        <v>213</v>
      </c>
      <c r="F833" s="1" t="n">
        <v>3510</v>
      </c>
      <c r="G833" s="4" t="n">
        <v>0</v>
      </c>
      <c r="H833" s="1" t="s">
        <v>411</v>
      </c>
    </row>
    <row r="834" customFormat="false" ht="12.8" hidden="false" customHeight="false" outlineLevel="0" collapsed="false">
      <c r="A834" s="1" t="s">
        <v>9</v>
      </c>
      <c r="B834" s="1" t="n">
        <v>39</v>
      </c>
      <c r="C834" s="1" t="n">
        <v>32</v>
      </c>
      <c r="D834" s="1" t="s">
        <v>213</v>
      </c>
      <c r="E834" s="1" t="s">
        <v>199</v>
      </c>
      <c r="F834" s="1" t="n">
        <v>3510</v>
      </c>
      <c r="G834" s="4" t="n">
        <v>0</v>
      </c>
      <c r="H834" s="1" t="s">
        <v>412</v>
      </c>
    </row>
    <row r="835" customFormat="false" ht="12.8" hidden="false" customHeight="false" outlineLevel="0" collapsed="false">
      <c r="A835" s="1" t="s">
        <v>9</v>
      </c>
      <c r="B835" s="1" t="n">
        <v>39</v>
      </c>
      <c r="C835" s="1" t="n">
        <v>33</v>
      </c>
      <c r="D835" s="1" t="s">
        <v>199</v>
      </c>
      <c r="E835" s="1" t="s">
        <v>206</v>
      </c>
      <c r="F835" s="1" t="n">
        <v>3510</v>
      </c>
      <c r="G835" s="4" t="n">
        <v>0</v>
      </c>
      <c r="H835" s="1" t="s">
        <v>413</v>
      </c>
    </row>
    <row r="836" customFormat="false" ht="12.8" hidden="false" customHeight="false" outlineLevel="0" collapsed="false">
      <c r="A836" s="1" t="s">
        <v>9</v>
      </c>
      <c r="B836" s="1" t="n">
        <v>39</v>
      </c>
      <c r="C836" s="1" t="n">
        <v>34</v>
      </c>
      <c r="D836" s="1" t="s">
        <v>206</v>
      </c>
      <c r="E836" s="1" t="s">
        <v>213</v>
      </c>
      <c r="F836" s="1" t="n">
        <v>3510</v>
      </c>
      <c r="G836" s="4" t="n">
        <v>0</v>
      </c>
      <c r="H836" s="1" t="s">
        <v>411</v>
      </c>
    </row>
    <row r="837" customFormat="false" ht="12.8" hidden="false" customHeight="false" outlineLevel="0" collapsed="false">
      <c r="A837" s="1" t="s">
        <v>9</v>
      </c>
      <c r="B837" s="1" t="n">
        <v>39</v>
      </c>
      <c r="C837" s="1" t="n">
        <v>35</v>
      </c>
      <c r="D837" s="1" t="s">
        <v>213</v>
      </c>
      <c r="E837" s="1" t="s">
        <v>201</v>
      </c>
      <c r="F837" s="1" t="n">
        <v>3510</v>
      </c>
      <c r="G837" s="4" t="n">
        <v>1</v>
      </c>
      <c r="H837" s="1" t="s">
        <v>441</v>
      </c>
    </row>
    <row r="838" customFormat="false" ht="12.8" hidden="false" customHeight="false" outlineLevel="0" collapsed="false">
      <c r="A838" s="1" t="s">
        <v>9</v>
      </c>
      <c r="B838" s="1" t="n">
        <v>39</v>
      </c>
      <c r="C838" s="1" t="n">
        <v>36</v>
      </c>
      <c r="F838" s="1" t="n">
        <v>3510</v>
      </c>
      <c r="G838" s="4" t="n">
        <v>0</v>
      </c>
      <c r="H838" s="1" t="s">
        <v>377</v>
      </c>
    </row>
    <row r="839" customFormat="false" ht="12.8" hidden="false" customHeight="false" outlineLevel="0" collapsed="false">
      <c r="A839" s="1" t="s">
        <v>9</v>
      </c>
      <c r="B839" s="1" t="n">
        <v>57</v>
      </c>
      <c r="C839" s="1" t="n">
        <v>1</v>
      </c>
      <c r="F839" s="1" t="n">
        <v>3930</v>
      </c>
      <c r="G839" s="4" t="n">
        <v>0</v>
      </c>
      <c r="H839" s="1" t="s">
        <v>422</v>
      </c>
    </row>
    <row r="840" customFormat="false" ht="12.8" hidden="false" customHeight="false" outlineLevel="0" collapsed="false">
      <c r="A840" s="1" t="s">
        <v>9</v>
      </c>
      <c r="B840" s="1" t="n">
        <v>57</v>
      </c>
      <c r="C840" s="1" t="n">
        <v>2</v>
      </c>
      <c r="D840" s="1" t="s">
        <v>201</v>
      </c>
      <c r="E840" s="1" t="s">
        <v>213</v>
      </c>
      <c r="F840" s="1" t="n">
        <v>3930</v>
      </c>
      <c r="G840" s="4" t="n">
        <v>0</v>
      </c>
      <c r="H840" s="1" t="s">
        <v>423</v>
      </c>
    </row>
    <row r="841" customFormat="false" ht="12.8" hidden="false" customHeight="false" outlineLevel="0" collapsed="false">
      <c r="A841" s="1" t="s">
        <v>9</v>
      </c>
      <c r="B841" s="1" t="n">
        <v>57</v>
      </c>
      <c r="C841" s="1" t="n">
        <v>3</v>
      </c>
      <c r="D841" s="1" t="s">
        <v>213</v>
      </c>
      <c r="E841" s="1" t="s">
        <v>206</v>
      </c>
      <c r="F841" s="1" t="n">
        <v>3930</v>
      </c>
      <c r="G841" s="4" t="n">
        <v>0</v>
      </c>
      <c r="H841" s="1" t="s">
        <v>424</v>
      </c>
    </row>
    <row r="842" customFormat="false" ht="12.8" hidden="false" customHeight="false" outlineLevel="0" collapsed="false">
      <c r="A842" s="1" t="s">
        <v>9</v>
      </c>
      <c r="B842" s="1" t="n">
        <v>57</v>
      </c>
      <c r="C842" s="1" t="n">
        <v>4</v>
      </c>
      <c r="D842" s="1" t="s">
        <v>206</v>
      </c>
      <c r="E842" s="1" t="s">
        <v>213</v>
      </c>
      <c r="F842" s="1" t="n">
        <v>3930</v>
      </c>
      <c r="G842" s="4" t="n">
        <v>0</v>
      </c>
      <c r="H842" s="1" t="s">
        <v>425</v>
      </c>
    </row>
    <row r="843" customFormat="false" ht="12.8" hidden="false" customHeight="false" outlineLevel="0" collapsed="false">
      <c r="A843" s="1" t="s">
        <v>9</v>
      </c>
      <c r="B843" s="1" t="n">
        <v>57</v>
      </c>
      <c r="C843" s="1" t="n">
        <v>5</v>
      </c>
      <c r="D843" s="1" t="s">
        <v>213</v>
      </c>
      <c r="E843" s="1" t="s">
        <v>201</v>
      </c>
      <c r="F843" s="1" t="n">
        <v>3930</v>
      </c>
      <c r="G843" s="4" t="n">
        <v>0</v>
      </c>
      <c r="H843" s="1" t="s">
        <v>428</v>
      </c>
    </row>
    <row r="844" customFormat="false" ht="12.8" hidden="false" customHeight="false" outlineLevel="0" collapsed="false">
      <c r="A844" s="1" t="s">
        <v>9</v>
      </c>
      <c r="B844" s="1" t="n">
        <v>57</v>
      </c>
      <c r="C844" s="1" t="n">
        <v>6</v>
      </c>
      <c r="D844" s="1" t="s">
        <v>201</v>
      </c>
      <c r="E844" s="1" t="s">
        <v>206</v>
      </c>
      <c r="F844" s="1" t="n">
        <v>3930</v>
      </c>
      <c r="G844" s="4" t="n">
        <v>0</v>
      </c>
      <c r="H844" s="1" t="s">
        <v>429</v>
      </c>
    </row>
    <row r="845" customFormat="false" ht="12.8" hidden="false" customHeight="false" outlineLevel="0" collapsed="false">
      <c r="A845" s="1" t="s">
        <v>9</v>
      </c>
      <c r="B845" s="1" t="n">
        <v>57</v>
      </c>
      <c r="C845" s="1" t="n">
        <v>7</v>
      </c>
      <c r="D845" s="1" t="s">
        <v>206</v>
      </c>
      <c r="E845" s="1" t="s">
        <v>213</v>
      </c>
      <c r="F845" s="1" t="n">
        <v>3930</v>
      </c>
      <c r="G845" s="4" t="n">
        <v>0</v>
      </c>
      <c r="H845" s="1" t="s">
        <v>425</v>
      </c>
    </row>
    <row r="846" customFormat="false" ht="12.8" hidden="false" customHeight="false" outlineLevel="0" collapsed="false">
      <c r="A846" s="1" t="s">
        <v>9</v>
      </c>
      <c r="B846" s="1" t="n">
        <v>57</v>
      </c>
      <c r="C846" s="1" t="n">
        <v>8</v>
      </c>
      <c r="D846" s="1" t="s">
        <v>213</v>
      </c>
      <c r="E846" s="1" t="s">
        <v>201</v>
      </c>
      <c r="F846" s="1" t="n">
        <v>3930</v>
      </c>
      <c r="G846" s="4" t="n">
        <v>0</v>
      </c>
      <c r="H846" s="1" t="s">
        <v>428</v>
      </c>
    </row>
    <row r="847" customFormat="false" ht="12.8" hidden="false" customHeight="false" outlineLevel="0" collapsed="false">
      <c r="A847" s="1" t="s">
        <v>9</v>
      </c>
      <c r="B847" s="1" t="n">
        <v>57</v>
      </c>
      <c r="C847" s="1" t="n">
        <v>9</v>
      </c>
      <c r="D847" s="1" t="s">
        <v>201</v>
      </c>
      <c r="E847" s="1" t="s">
        <v>206</v>
      </c>
      <c r="F847" s="1" t="n">
        <v>3930</v>
      </c>
      <c r="G847" s="4" t="n">
        <v>0</v>
      </c>
      <c r="H847" s="1" t="s">
        <v>429</v>
      </c>
    </row>
    <row r="848" customFormat="false" ht="12.8" hidden="false" customHeight="false" outlineLevel="0" collapsed="false">
      <c r="A848" s="1" t="s">
        <v>9</v>
      </c>
      <c r="B848" s="1" t="n">
        <v>57</v>
      </c>
      <c r="C848" s="1" t="n">
        <v>10</v>
      </c>
      <c r="D848" s="1" t="s">
        <v>206</v>
      </c>
      <c r="E848" s="1" t="s">
        <v>213</v>
      </c>
      <c r="F848" s="1" t="n">
        <v>3930</v>
      </c>
      <c r="G848" s="4" t="n">
        <v>0</v>
      </c>
      <c r="H848" s="1" t="s">
        <v>425</v>
      </c>
    </row>
    <row r="849" customFormat="false" ht="12.8" hidden="false" customHeight="false" outlineLevel="0" collapsed="false">
      <c r="A849" s="1" t="s">
        <v>9</v>
      </c>
      <c r="B849" s="1" t="n">
        <v>57</v>
      </c>
      <c r="C849" s="1" t="n">
        <v>11</v>
      </c>
      <c r="D849" s="1" t="s">
        <v>213</v>
      </c>
      <c r="E849" s="1" t="s">
        <v>201</v>
      </c>
      <c r="F849" s="1" t="n">
        <v>3930</v>
      </c>
      <c r="G849" s="4" t="n">
        <v>0</v>
      </c>
      <c r="H849" s="1" t="s">
        <v>428</v>
      </c>
    </row>
    <row r="850" customFormat="false" ht="12.8" hidden="false" customHeight="false" outlineLevel="0" collapsed="false">
      <c r="A850" s="1" t="s">
        <v>9</v>
      </c>
      <c r="B850" s="1" t="n">
        <v>57</v>
      </c>
      <c r="C850" s="1" t="n">
        <v>12</v>
      </c>
      <c r="D850" s="1" t="s">
        <v>201</v>
      </c>
      <c r="E850" s="1" t="s">
        <v>206</v>
      </c>
      <c r="F850" s="1" t="n">
        <v>3930</v>
      </c>
      <c r="G850" s="4" t="n">
        <v>0</v>
      </c>
      <c r="H850" s="1" t="s">
        <v>429</v>
      </c>
    </row>
    <row r="851" customFormat="false" ht="12.8" hidden="false" customHeight="false" outlineLevel="0" collapsed="false">
      <c r="A851" s="1" t="s">
        <v>9</v>
      </c>
      <c r="B851" s="1" t="n">
        <v>57</v>
      </c>
      <c r="C851" s="1" t="n">
        <v>13</v>
      </c>
      <c r="D851" s="1" t="s">
        <v>206</v>
      </c>
      <c r="E851" s="1" t="s">
        <v>213</v>
      </c>
      <c r="F851" s="1" t="n">
        <v>3930</v>
      </c>
      <c r="G851" s="4" t="n">
        <v>0</v>
      </c>
      <c r="H851" s="1" t="s">
        <v>425</v>
      </c>
    </row>
    <row r="852" customFormat="false" ht="12.8" hidden="false" customHeight="false" outlineLevel="0" collapsed="false">
      <c r="A852" s="1" t="s">
        <v>9</v>
      </c>
      <c r="B852" s="1" t="n">
        <v>57</v>
      </c>
      <c r="C852" s="1" t="n">
        <v>14</v>
      </c>
      <c r="D852" s="1" t="s">
        <v>213</v>
      </c>
      <c r="E852" s="1" t="s">
        <v>201</v>
      </c>
      <c r="F852" s="1" t="n">
        <v>3930</v>
      </c>
      <c r="G852" s="4" t="n">
        <v>0</v>
      </c>
      <c r="H852" s="1" t="s">
        <v>428</v>
      </c>
    </row>
    <row r="853" customFormat="false" ht="12.8" hidden="false" customHeight="false" outlineLevel="0" collapsed="false">
      <c r="A853" s="1" t="s">
        <v>9</v>
      </c>
      <c r="B853" s="1" t="n">
        <v>57</v>
      </c>
      <c r="C853" s="1" t="n">
        <v>15</v>
      </c>
      <c r="D853" s="1" t="s">
        <v>201</v>
      </c>
      <c r="E853" s="1" t="s">
        <v>206</v>
      </c>
      <c r="F853" s="1" t="n">
        <v>3930</v>
      </c>
      <c r="G853" s="4" t="n">
        <v>0</v>
      </c>
      <c r="H853" s="1" t="s">
        <v>429</v>
      </c>
    </row>
    <row r="854" customFormat="false" ht="12.8" hidden="false" customHeight="false" outlineLevel="0" collapsed="false">
      <c r="A854" s="1" t="s">
        <v>9</v>
      </c>
      <c r="B854" s="1" t="n">
        <v>57</v>
      </c>
      <c r="C854" s="1" t="n">
        <v>16</v>
      </c>
      <c r="D854" s="1" t="s">
        <v>206</v>
      </c>
      <c r="E854" s="1" t="s">
        <v>213</v>
      </c>
      <c r="F854" s="1" t="n">
        <v>3930</v>
      </c>
      <c r="G854" s="4" t="n">
        <v>0</v>
      </c>
      <c r="H854" s="1" t="s">
        <v>425</v>
      </c>
    </row>
    <row r="855" customFormat="false" ht="12.8" hidden="false" customHeight="false" outlineLevel="0" collapsed="false">
      <c r="A855" s="1" t="s">
        <v>9</v>
      </c>
      <c r="B855" s="1" t="n">
        <v>57</v>
      </c>
      <c r="C855" s="1" t="n">
        <v>17</v>
      </c>
      <c r="D855" s="1" t="s">
        <v>213</v>
      </c>
      <c r="E855" s="1" t="s">
        <v>201</v>
      </c>
      <c r="F855" s="1" t="n">
        <v>3930</v>
      </c>
      <c r="G855" s="4" t="n">
        <v>0</v>
      </c>
      <c r="H855" s="1" t="s">
        <v>428</v>
      </c>
    </row>
    <row r="856" customFormat="false" ht="12.8" hidden="false" customHeight="false" outlineLevel="0" collapsed="false">
      <c r="A856" s="1" t="s">
        <v>9</v>
      </c>
      <c r="B856" s="1" t="n">
        <v>57</v>
      </c>
      <c r="C856" s="1" t="n">
        <v>18</v>
      </c>
      <c r="D856" s="1" t="s">
        <v>201</v>
      </c>
      <c r="E856" s="1" t="s">
        <v>206</v>
      </c>
      <c r="F856" s="1" t="n">
        <v>3930</v>
      </c>
      <c r="G856" s="4" t="n">
        <v>0</v>
      </c>
      <c r="H856" s="1" t="s">
        <v>429</v>
      </c>
    </row>
    <row r="857" customFormat="false" ht="12.8" hidden="false" customHeight="false" outlineLevel="0" collapsed="false">
      <c r="A857" s="1" t="s">
        <v>9</v>
      </c>
      <c r="B857" s="1" t="n">
        <v>57</v>
      </c>
      <c r="C857" s="1" t="n">
        <v>19</v>
      </c>
      <c r="D857" s="1" t="s">
        <v>206</v>
      </c>
      <c r="E857" s="1" t="s">
        <v>213</v>
      </c>
      <c r="F857" s="1" t="n">
        <v>3930</v>
      </c>
      <c r="G857" s="4" t="n">
        <v>0</v>
      </c>
      <c r="H857" s="1" t="s">
        <v>425</v>
      </c>
    </row>
    <row r="858" customFormat="false" ht="12.8" hidden="false" customHeight="false" outlineLevel="0" collapsed="false">
      <c r="A858" s="1" t="s">
        <v>9</v>
      </c>
      <c r="B858" s="1" t="n">
        <v>57</v>
      </c>
      <c r="C858" s="1" t="n">
        <v>20</v>
      </c>
      <c r="D858" s="1" t="s">
        <v>213</v>
      </c>
      <c r="E858" s="1" t="s">
        <v>199</v>
      </c>
      <c r="F858" s="1" t="n">
        <v>3930</v>
      </c>
      <c r="G858" s="4" t="n">
        <v>0</v>
      </c>
      <c r="H858" s="1" t="s">
        <v>426</v>
      </c>
    </row>
    <row r="859" customFormat="false" ht="12.8" hidden="false" customHeight="false" outlineLevel="0" collapsed="false">
      <c r="A859" s="1" t="s">
        <v>9</v>
      </c>
      <c r="B859" s="1" t="n">
        <v>57</v>
      </c>
      <c r="C859" s="1" t="n">
        <v>21</v>
      </c>
      <c r="D859" s="1" t="s">
        <v>199</v>
      </c>
      <c r="E859" s="1" t="s">
        <v>206</v>
      </c>
      <c r="F859" s="1" t="n">
        <v>3930</v>
      </c>
      <c r="G859" s="4" t="n">
        <v>1</v>
      </c>
      <c r="H859" s="1" t="s">
        <v>433</v>
      </c>
    </row>
    <row r="860" customFormat="false" ht="12.8" hidden="false" customHeight="false" outlineLevel="0" collapsed="false">
      <c r="A860" s="1" t="s">
        <v>9</v>
      </c>
      <c r="B860" s="1" t="n">
        <v>57</v>
      </c>
      <c r="C860" s="1" t="n">
        <v>22</v>
      </c>
      <c r="D860" s="1" t="s">
        <v>206</v>
      </c>
      <c r="E860" s="1" t="s">
        <v>213</v>
      </c>
      <c r="F860" s="1" t="n">
        <v>3930</v>
      </c>
      <c r="G860" s="4" t="n">
        <v>0</v>
      </c>
      <c r="H860" s="1" t="s">
        <v>425</v>
      </c>
    </row>
    <row r="861" customFormat="false" ht="12.8" hidden="false" customHeight="false" outlineLevel="0" collapsed="false">
      <c r="A861" s="1" t="s">
        <v>9</v>
      </c>
      <c r="B861" s="1" t="n">
        <v>57</v>
      </c>
      <c r="C861" s="1" t="n">
        <v>23</v>
      </c>
      <c r="D861" s="1" t="s">
        <v>213</v>
      </c>
      <c r="E861" s="1" t="s">
        <v>201</v>
      </c>
      <c r="F861" s="1" t="n">
        <v>3930</v>
      </c>
      <c r="G861" s="4" t="n">
        <v>0</v>
      </c>
      <c r="H861" s="1" t="s">
        <v>428</v>
      </c>
    </row>
    <row r="862" customFormat="false" ht="12.8" hidden="false" customHeight="false" outlineLevel="0" collapsed="false">
      <c r="A862" s="1" t="s">
        <v>9</v>
      </c>
      <c r="B862" s="1" t="n">
        <v>57</v>
      </c>
      <c r="C862" s="1" t="n">
        <v>24</v>
      </c>
      <c r="D862" s="1" t="s">
        <v>201</v>
      </c>
      <c r="E862" s="1" t="s">
        <v>206</v>
      </c>
      <c r="F862" s="1" t="n">
        <v>3930</v>
      </c>
      <c r="G862" s="4" t="n">
        <v>1</v>
      </c>
      <c r="H862" s="1" t="s">
        <v>442</v>
      </c>
    </row>
    <row r="863" customFormat="false" ht="12.8" hidden="false" customHeight="false" outlineLevel="0" collapsed="false">
      <c r="A863" s="1" t="s">
        <v>9</v>
      </c>
      <c r="B863" s="1" t="n">
        <v>57</v>
      </c>
      <c r="C863" s="1" t="n">
        <v>25</v>
      </c>
      <c r="D863" s="1" t="s">
        <v>206</v>
      </c>
      <c r="E863" s="1" t="s">
        <v>213</v>
      </c>
      <c r="F863" s="1" t="n">
        <v>3930</v>
      </c>
      <c r="G863" s="4" t="n">
        <v>0</v>
      </c>
      <c r="H863" s="1" t="s">
        <v>425</v>
      </c>
    </row>
    <row r="864" customFormat="false" ht="12.8" hidden="false" customHeight="false" outlineLevel="0" collapsed="false">
      <c r="A864" s="1" t="s">
        <v>9</v>
      </c>
      <c r="B864" s="1" t="n">
        <v>57</v>
      </c>
      <c r="C864" s="1" t="n">
        <v>26</v>
      </c>
      <c r="D864" s="1" t="s">
        <v>213</v>
      </c>
      <c r="E864" s="1" t="s">
        <v>201</v>
      </c>
      <c r="F864" s="1" t="n">
        <v>3930</v>
      </c>
      <c r="G864" s="4" t="n">
        <v>0</v>
      </c>
      <c r="H864" s="1" t="s">
        <v>428</v>
      </c>
    </row>
    <row r="865" customFormat="false" ht="12.8" hidden="false" customHeight="false" outlineLevel="0" collapsed="false">
      <c r="A865" s="1" t="s">
        <v>9</v>
      </c>
      <c r="B865" s="1" t="n">
        <v>57</v>
      </c>
      <c r="C865" s="1" t="n">
        <v>27</v>
      </c>
      <c r="D865" s="1" t="s">
        <v>201</v>
      </c>
      <c r="E865" s="1" t="s">
        <v>206</v>
      </c>
      <c r="F865" s="1" t="n">
        <v>3930</v>
      </c>
      <c r="G865" s="4" t="n">
        <v>0</v>
      </c>
      <c r="H865" s="1" t="s">
        <v>429</v>
      </c>
    </row>
    <row r="866" customFormat="false" ht="12.8" hidden="false" customHeight="false" outlineLevel="0" collapsed="false">
      <c r="A866" s="1" t="s">
        <v>9</v>
      </c>
      <c r="B866" s="1" t="n">
        <v>57</v>
      </c>
      <c r="C866" s="1" t="n">
        <v>28</v>
      </c>
      <c r="D866" s="1" t="s">
        <v>206</v>
      </c>
      <c r="E866" s="1" t="s">
        <v>213</v>
      </c>
      <c r="F866" s="1" t="n">
        <v>3930</v>
      </c>
      <c r="G866" s="4" t="n">
        <v>0</v>
      </c>
      <c r="H866" s="1" t="s">
        <v>425</v>
      </c>
    </row>
    <row r="867" customFormat="false" ht="12.8" hidden="false" customHeight="false" outlineLevel="0" collapsed="false">
      <c r="A867" s="1" t="s">
        <v>9</v>
      </c>
      <c r="B867" s="1" t="n">
        <v>57</v>
      </c>
      <c r="C867" s="1" t="n">
        <v>29</v>
      </c>
      <c r="D867" s="1" t="s">
        <v>213</v>
      </c>
      <c r="E867" s="1" t="s">
        <v>201</v>
      </c>
      <c r="F867" s="1" t="n">
        <v>3930</v>
      </c>
      <c r="G867" s="4" t="n">
        <v>0</v>
      </c>
      <c r="H867" s="1" t="s">
        <v>428</v>
      </c>
    </row>
    <row r="868" customFormat="false" ht="12.8" hidden="false" customHeight="false" outlineLevel="0" collapsed="false">
      <c r="A868" s="1" t="s">
        <v>9</v>
      </c>
      <c r="B868" s="1" t="n">
        <v>57</v>
      </c>
      <c r="C868" s="1" t="n">
        <v>30</v>
      </c>
      <c r="D868" s="1" t="s">
        <v>201</v>
      </c>
      <c r="E868" s="1" t="s">
        <v>206</v>
      </c>
      <c r="F868" s="1" t="n">
        <v>3930</v>
      </c>
      <c r="G868" s="4" t="n">
        <v>0</v>
      </c>
      <c r="H868" s="1" t="s">
        <v>429</v>
      </c>
    </row>
    <row r="869" customFormat="false" ht="12.8" hidden="false" customHeight="false" outlineLevel="0" collapsed="false">
      <c r="A869" s="1" t="s">
        <v>9</v>
      </c>
      <c r="B869" s="1" t="n">
        <v>57</v>
      </c>
      <c r="C869" s="1" t="n">
        <v>31</v>
      </c>
      <c r="D869" s="1" t="s">
        <v>206</v>
      </c>
      <c r="E869" s="1" t="s">
        <v>213</v>
      </c>
      <c r="F869" s="1" t="n">
        <v>3930</v>
      </c>
      <c r="G869" s="4" t="n">
        <v>0</v>
      </c>
      <c r="H869" s="1" t="s">
        <v>425</v>
      </c>
    </row>
    <row r="870" customFormat="false" ht="12.8" hidden="false" customHeight="false" outlineLevel="0" collapsed="false">
      <c r="A870" s="1" t="s">
        <v>9</v>
      </c>
      <c r="B870" s="1" t="n">
        <v>57</v>
      </c>
      <c r="C870" s="1" t="n">
        <v>32</v>
      </c>
      <c r="D870" s="1" t="s">
        <v>213</v>
      </c>
      <c r="E870" s="1" t="s">
        <v>199</v>
      </c>
      <c r="F870" s="1" t="n">
        <v>3930</v>
      </c>
      <c r="G870" s="4" t="n">
        <v>0</v>
      </c>
      <c r="H870" s="1" t="s">
        <v>426</v>
      </c>
    </row>
    <row r="871" customFormat="false" ht="12.8" hidden="false" customHeight="false" outlineLevel="0" collapsed="false">
      <c r="A871" s="1" t="s">
        <v>9</v>
      </c>
      <c r="B871" s="1" t="n">
        <v>57</v>
      </c>
      <c r="C871" s="1" t="n">
        <v>33</v>
      </c>
      <c r="D871" s="1" t="s">
        <v>199</v>
      </c>
      <c r="E871" s="1" t="s">
        <v>206</v>
      </c>
      <c r="F871" s="1" t="n">
        <v>3930</v>
      </c>
      <c r="G871" s="4" t="n">
        <v>0</v>
      </c>
      <c r="H871" s="1" t="s">
        <v>427</v>
      </c>
    </row>
    <row r="872" customFormat="false" ht="12.8" hidden="false" customHeight="false" outlineLevel="0" collapsed="false">
      <c r="A872" s="1" t="s">
        <v>9</v>
      </c>
      <c r="B872" s="1" t="n">
        <v>57</v>
      </c>
      <c r="C872" s="1" t="n">
        <v>34</v>
      </c>
      <c r="D872" s="1" t="s">
        <v>206</v>
      </c>
      <c r="E872" s="1" t="s">
        <v>213</v>
      </c>
      <c r="F872" s="1" t="n">
        <v>3930</v>
      </c>
      <c r="G872" s="4" t="n">
        <v>0</v>
      </c>
      <c r="H872" s="1" t="s">
        <v>425</v>
      </c>
    </row>
    <row r="873" customFormat="false" ht="12.8" hidden="false" customHeight="false" outlineLevel="0" collapsed="false">
      <c r="A873" s="1" t="s">
        <v>9</v>
      </c>
      <c r="B873" s="1" t="n">
        <v>57</v>
      </c>
      <c r="C873" s="1" t="n">
        <v>35</v>
      </c>
      <c r="D873" s="1" t="s">
        <v>213</v>
      </c>
      <c r="E873" s="1" t="s">
        <v>201</v>
      </c>
      <c r="F873" s="1" t="n">
        <v>3930</v>
      </c>
      <c r="G873" s="4" t="n">
        <v>1</v>
      </c>
      <c r="H873" s="1" t="s">
        <v>443</v>
      </c>
    </row>
    <row r="874" customFormat="false" ht="12.8" hidden="false" customHeight="false" outlineLevel="0" collapsed="false">
      <c r="A874" s="1" t="s">
        <v>9</v>
      </c>
      <c r="B874" s="1" t="n">
        <v>57</v>
      </c>
      <c r="C874" s="1" t="n">
        <v>36</v>
      </c>
      <c r="F874" s="1" t="n">
        <v>3930</v>
      </c>
      <c r="G874" s="4" t="n">
        <v>0</v>
      </c>
      <c r="H874" s="1" t="s">
        <v>422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65" width="11.53"/>
    <col collapsed="false" customWidth="true" hidden="false" outlineLevel="0" max="2" min="2" style="1" width="47.99"/>
    <col collapsed="false" customWidth="true" hidden="false" outlineLevel="0" max="4" min="4" style="1" width="26.16"/>
    <col collapsed="false" customWidth="true" hidden="false" outlineLevel="0" max="5" min="5" style="1" width="62.88"/>
  </cols>
  <sheetData>
    <row r="1" s="1" customFormat="true" ht="12.8" hidden="false" customHeight="false" outlineLevel="0" collapsed="false">
      <c r="A1" s="66" t="s">
        <v>618</v>
      </c>
      <c r="B1" s="8" t="s">
        <v>271</v>
      </c>
    </row>
    <row r="2" customFormat="false" ht="12.8" hidden="false" customHeight="false" outlineLevel="0" collapsed="false">
      <c r="A2" s="65" t="n">
        <v>1</v>
      </c>
      <c r="B2" s="37" t="s">
        <v>619</v>
      </c>
    </row>
    <row r="3" customFormat="false" ht="12.8" hidden="false" customHeight="false" outlineLevel="0" collapsed="false">
      <c r="A3" s="65" t="n">
        <f aca="false">A2+1</f>
        <v>2</v>
      </c>
      <c r="B3" s="67" t="s">
        <v>620</v>
      </c>
    </row>
    <row r="4" customFormat="false" ht="12.8" hidden="false" customHeight="false" outlineLevel="0" collapsed="false">
      <c r="A4" s="65" t="n">
        <f aca="false">A3+1</f>
        <v>3</v>
      </c>
      <c r="B4" s="37" t="s">
        <v>619</v>
      </c>
    </row>
    <row r="5" customFormat="false" ht="12.8" hidden="false" customHeight="false" outlineLevel="0" collapsed="false">
      <c r="A5" s="65" t="n">
        <f aca="false">A4+1</f>
        <v>4</v>
      </c>
      <c r="B5" s="37" t="s">
        <v>621</v>
      </c>
      <c r="C5" s="68"/>
    </row>
    <row r="6" customFormat="false" ht="12.8" hidden="false" customHeight="false" outlineLevel="0" collapsed="false">
      <c r="A6" s="65" t="n">
        <f aca="false">A5+1</f>
        <v>5</v>
      </c>
      <c r="B6" s="37" t="s">
        <v>622</v>
      </c>
      <c r="C6" s="69"/>
    </row>
    <row r="7" customFormat="false" ht="12.8" hidden="false" customHeight="false" outlineLevel="0" collapsed="false">
      <c r="A7" s="65" t="n">
        <f aca="false">A6+1</f>
        <v>6</v>
      </c>
      <c r="B7" s="37" t="s">
        <v>623</v>
      </c>
      <c r="C7" s="69"/>
    </row>
    <row r="8" customFormat="false" ht="12.8" hidden="false" customHeight="false" outlineLevel="0" collapsed="false">
      <c r="A8" s="65" t="n">
        <f aca="false">A7+1</f>
        <v>7</v>
      </c>
      <c r="B8" s="37" t="s">
        <v>624</v>
      </c>
      <c r="C8" s="69"/>
    </row>
    <row r="9" customFormat="false" ht="12.8" hidden="false" customHeight="false" outlineLevel="0" collapsed="false">
      <c r="A9" s="65" t="n">
        <f aca="false">A8+1</f>
        <v>8</v>
      </c>
      <c r="B9" s="37" t="s">
        <v>625</v>
      </c>
    </row>
    <row r="10" customFormat="false" ht="12.8" hidden="false" customHeight="false" outlineLevel="0" collapsed="false">
      <c r="A10" s="65" t="n">
        <f aca="false">A9+1</f>
        <v>9</v>
      </c>
      <c r="B10" s="37" t="s">
        <v>626</v>
      </c>
      <c r="C10" s="68"/>
    </row>
    <row r="11" customFormat="false" ht="12.8" hidden="false" customHeight="false" outlineLevel="0" collapsed="false">
      <c r="A11" s="65" t="n">
        <f aca="false">A10+1</f>
        <v>10</v>
      </c>
      <c r="B11" s="37" t="s">
        <v>627</v>
      </c>
    </row>
    <row r="12" customFormat="false" ht="12.8" hidden="false" customHeight="false" outlineLevel="0" collapsed="false">
      <c r="A12" s="65" t="n">
        <f aca="false">A11+1</f>
        <v>11</v>
      </c>
      <c r="B12" s="37" t="s">
        <v>628</v>
      </c>
    </row>
    <row r="13" customFormat="false" ht="12.8" hidden="false" customHeight="false" outlineLevel="0" collapsed="false">
      <c r="A13" s="65" t="n">
        <f aca="false">A12+1</f>
        <v>12</v>
      </c>
      <c r="B13" s="37" t="s">
        <v>629</v>
      </c>
    </row>
    <row r="14" customFormat="false" ht="12.8" hidden="false" customHeight="false" outlineLevel="0" collapsed="false">
      <c r="A14" s="65" t="n">
        <f aca="false">A13+1</f>
        <v>13</v>
      </c>
      <c r="B14" s="37" t="s">
        <v>630</v>
      </c>
    </row>
    <row r="15" customFormat="false" ht="12.8" hidden="false" customHeight="false" outlineLevel="0" collapsed="false">
      <c r="A15" s="65" t="n">
        <f aca="false">A14+1</f>
        <v>14</v>
      </c>
      <c r="B15" s="37" t="s">
        <v>631</v>
      </c>
    </row>
    <row r="16" customFormat="false" ht="12.8" hidden="false" customHeight="false" outlineLevel="0" collapsed="false">
      <c r="A16" s="65" t="n">
        <f aca="false">A15+1</f>
        <v>15</v>
      </c>
      <c r="B16" s="37" t="s">
        <v>632</v>
      </c>
    </row>
    <row r="17" customFormat="false" ht="12.8" hidden="false" customHeight="false" outlineLevel="0" collapsed="false">
      <c r="A17" s="65" t="n">
        <f aca="false">A16+1</f>
        <v>16</v>
      </c>
      <c r="B17" s="37" t="s">
        <v>633</v>
      </c>
    </row>
    <row r="18" customFormat="false" ht="12.8" hidden="false" customHeight="false" outlineLevel="0" collapsed="false">
      <c r="A18" s="65" t="n">
        <f aca="false">A17+1</f>
        <v>17</v>
      </c>
      <c r="B18" s="1" t="s">
        <v>634</v>
      </c>
      <c r="C18" s="68"/>
    </row>
    <row r="19" customFormat="false" ht="12.8" hidden="false" customHeight="false" outlineLevel="0" collapsed="false">
      <c r="A19" s="70" t="s">
        <v>635</v>
      </c>
      <c r="B19" s="33" t="s">
        <v>636</v>
      </c>
    </row>
    <row r="20" customFormat="false" ht="12.8" hidden="false" customHeight="false" outlineLevel="0" collapsed="false">
      <c r="A20" s="70" t="n">
        <v>26</v>
      </c>
      <c r="B20" s="33" t="s">
        <v>637</v>
      </c>
      <c r="E20" s="47"/>
      <c r="G20" s="47"/>
    </row>
    <row r="21" customFormat="false" ht="12.8" hidden="false" customHeight="false" outlineLevel="0" collapsed="false">
      <c r="A21" s="70" t="n">
        <v>27</v>
      </c>
      <c r="B21" s="33" t="s">
        <v>638</v>
      </c>
      <c r="E21" s="47"/>
    </row>
    <row r="22" customFormat="false" ht="12.8" hidden="false" customHeight="false" outlineLevel="0" collapsed="false">
      <c r="A22" s="70" t="n">
        <v>28</v>
      </c>
      <c r="B22" s="33" t="s">
        <v>639</v>
      </c>
      <c r="E22" s="47"/>
    </row>
    <row r="23" customFormat="false" ht="12.8" hidden="false" customHeight="false" outlineLevel="0" collapsed="false">
      <c r="A23" s="70" t="n">
        <v>29</v>
      </c>
      <c r="B23" s="33" t="s">
        <v>640</v>
      </c>
      <c r="E23" s="47"/>
    </row>
    <row r="24" customFormat="false" ht="12.8" hidden="false" customHeight="false" outlineLevel="0" collapsed="false">
      <c r="A24" s="70" t="n">
        <v>30</v>
      </c>
      <c r="B24" s="33" t="s">
        <v>641</v>
      </c>
      <c r="E24" s="47"/>
    </row>
    <row r="25" customFormat="false" ht="12.8" hidden="false" customHeight="false" outlineLevel="0" collapsed="false">
      <c r="A25" s="70" t="n">
        <v>31</v>
      </c>
      <c r="B25" s="33" t="s">
        <v>642</v>
      </c>
      <c r="E25" s="47"/>
    </row>
    <row r="26" customFormat="false" ht="12.8" hidden="false" customHeight="false" outlineLevel="0" collapsed="false">
      <c r="A26" s="70" t="n">
        <v>32</v>
      </c>
      <c r="B26" s="33" t="s">
        <v>643</v>
      </c>
      <c r="E26" s="47"/>
    </row>
    <row r="27" customFormat="false" ht="12.8" hidden="false" customHeight="false" outlineLevel="0" collapsed="false">
      <c r="A27" s="70" t="n">
        <v>33</v>
      </c>
      <c r="B27" s="33" t="s">
        <v>644</v>
      </c>
      <c r="E27" s="47"/>
    </row>
    <row r="28" customFormat="false" ht="12.8" hidden="false" customHeight="false" outlineLevel="0" collapsed="false">
      <c r="A28" s="70" t="n">
        <v>34</v>
      </c>
      <c r="B28" s="33" t="s">
        <v>645</v>
      </c>
      <c r="E28" s="47"/>
    </row>
    <row r="29" customFormat="false" ht="12.8" hidden="false" customHeight="false" outlineLevel="0" collapsed="false">
      <c r="A29" s="70" t="n">
        <v>35</v>
      </c>
      <c r="B29" s="33" t="s">
        <v>646</v>
      </c>
      <c r="E29" s="47"/>
    </row>
    <row r="30" customFormat="false" ht="12.8" hidden="false" customHeight="false" outlineLevel="0" collapsed="false">
      <c r="A30" s="70" t="n">
        <v>36</v>
      </c>
      <c r="B30" s="33" t="s">
        <v>647</v>
      </c>
      <c r="E30" s="47"/>
    </row>
    <row r="31" customFormat="false" ht="12.8" hidden="false" customHeight="false" outlineLevel="0" collapsed="false">
      <c r="A31" s="70" t="n">
        <v>37</v>
      </c>
      <c r="B31" s="33" t="s">
        <v>648</v>
      </c>
      <c r="E31" s="47"/>
    </row>
    <row r="32" customFormat="false" ht="12.8" hidden="false" customHeight="false" outlineLevel="0" collapsed="false">
      <c r="A32" s="70" t="n">
        <v>38</v>
      </c>
      <c r="B32" s="33" t="s">
        <v>649</v>
      </c>
      <c r="E32" s="47"/>
    </row>
    <row r="33" customFormat="false" ht="12.8" hidden="false" customHeight="false" outlineLevel="0" collapsed="false">
      <c r="A33" s="70" t="n">
        <v>39</v>
      </c>
      <c r="B33" s="33" t="s">
        <v>650</v>
      </c>
      <c r="E33" s="47"/>
    </row>
    <row r="34" customFormat="false" ht="12.8" hidden="false" customHeight="false" outlineLevel="0" collapsed="false">
      <c r="A34" s="70" t="n">
        <v>40</v>
      </c>
      <c r="B34" s="33" t="s">
        <v>651</v>
      </c>
      <c r="E34" s="47"/>
    </row>
    <row r="35" customFormat="false" ht="12.8" hidden="false" customHeight="false" outlineLevel="0" collapsed="false">
      <c r="A35" s="70" t="n">
        <v>41</v>
      </c>
      <c r="B35" s="33" t="s">
        <v>652</v>
      </c>
      <c r="E35" s="47"/>
    </row>
    <row r="36" customFormat="false" ht="12.8" hidden="false" customHeight="false" outlineLevel="0" collapsed="false">
      <c r="A36" s="70" t="n">
        <v>42</v>
      </c>
      <c r="B36" s="33" t="s">
        <v>653</v>
      </c>
      <c r="E36" s="47"/>
    </row>
    <row r="37" customFormat="false" ht="12.8" hidden="false" customHeight="false" outlineLevel="0" collapsed="false">
      <c r="A37" s="70" t="n">
        <v>43</v>
      </c>
      <c r="B37" s="33" t="s">
        <v>654</v>
      </c>
      <c r="E37" s="47"/>
    </row>
    <row r="38" customFormat="false" ht="12.8" hidden="false" customHeight="false" outlineLevel="0" collapsed="false">
      <c r="A38" s="70" t="n">
        <v>44</v>
      </c>
      <c r="B38" s="33" t="s">
        <v>655</v>
      </c>
      <c r="E38" s="47"/>
    </row>
    <row r="39" customFormat="false" ht="12.8" hidden="false" customHeight="false" outlineLevel="0" collapsed="false">
      <c r="A39" s="70" t="n">
        <v>45</v>
      </c>
      <c r="B39" s="33" t="s">
        <v>656</v>
      </c>
      <c r="E39" s="47"/>
    </row>
    <row r="40" customFormat="false" ht="12.8" hidden="false" customHeight="false" outlineLevel="0" collapsed="false">
      <c r="A40" s="70" t="n">
        <v>46</v>
      </c>
      <c r="B40" s="33" t="s">
        <v>657</v>
      </c>
      <c r="E40" s="47"/>
    </row>
    <row r="41" customFormat="false" ht="12.8" hidden="false" customHeight="false" outlineLevel="0" collapsed="false">
      <c r="A41" s="70" t="n">
        <v>47</v>
      </c>
      <c r="B41" s="33" t="s">
        <v>658</v>
      </c>
      <c r="E41" s="47"/>
    </row>
    <row r="42" customFormat="false" ht="12.8" hidden="false" customHeight="false" outlineLevel="0" collapsed="false">
      <c r="A42" s="70" t="n">
        <v>48</v>
      </c>
      <c r="B42" s="33" t="s">
        <v>659</v>
      </c>
      <c r="E42" s="47"/>
    </row>
    <row r="43" customFormat="false" ht="12.8" hidden="false" customHeight="false" outlineLevel="0" collapsed="false">
      <c r="A43" s="70" t="n">
        <v>49</v>
      </c>
      <c r="B43" s="33" t="s">
        <v>660</v>
      </c>
      <c r="E43" s="47"/>
    </row>
    <row r="44" customFormat="false" ht="12.8" hidden="false" customHeight="false" outlineLevel="0" collapsed="false">
      <c r="A44" s="70" t="n">
        <v>50</v>
      </c>
      <c r="B44" s="33" t="s">
        <v>661</v>
      </c>
      <c r="E44" s="47"/>
    </row>
    <row r="45" customFormat="false" ht="12.8" hidden="false" customHeight="false" outlineLevel="0" collapsed="false">
      <c r="A45" s="70" t="n">
        <v>51</v>
      </c>
      <c r="B45" s="33" t="s">
        <v>662</v>
      </c>
      <c r="E45" s="47"/>
    </row>
    <row r="46" customFormat="false" ht="12.8" hidden="false" customHeight="false" outlineLevel="0" collapsed="false">
      <c r="A46" s="70" t="n">
        <v>52</v>
      </c>
      <c r="B46" s="33" t="s">
        <v>663</v>
      </c>
      <c r="E46" s="47"/>
    </row>
    <row r="47" customFormat="false" ht="12.8" hidden="false" customHeight="false" outlineLevel="0" collapsed="false">
      <c r="A47" s="70" t="n">
        <v>53</v>
      </c>
      <c r="B47" s="33" t="s">
        <v>664</v>
      </c>
      <c r="E47" s="47"/>
    </row>
    <row r="48" customFormat="false" ht="12.8" hidden="false" customHeight="false" outlineLevel="0" collapsed="false">
      <c r="A48" s="70" t="n">
        <v>54</v>
      </c>
      <c r="B48" s="33" t="s">
        <v>665</v>
      </c>
      <c r="E48" s="47"/>
    </row>
    <row r="49" customFormat="false" ht="12.8" hidden="false" customHeight="false" outlineLevel="0" collapsed="false">
      <c r="A49" s="70" t="n">
        <v>55</v>
      </c>
      <c r="B49" s="33" t="s">
        <v>666</v>
      </c>
      <c r="E49" s="47"/>
    </row>
    <row r="50" customFormat="false" ht="12.8" hidden="false" customHeight="false" outlineLevel="0" collapsed="false">
      <c r="A50" s="70" t="n">
        <v>56</v>
      </c>
      <c r="B50" s="33" t="s">
        <v>667</v>
      </c>
      <c r="E50" s="47"/>
    </row>
    <row r="51" customFormat="false" ht="12.8" hidden="false" customHeight="false" outlineLevel="0" collapsed="false">
      <c r="A51" s="70" t="n">
        <v>57</v>
      </c>
      <c r="B51" s="33" t="s">
        <v>668</v>
      </c>
      <c r="E51" s="47"/>
    </row>
    <row r="52" customFormat="false" ht="12.8" hidden="false" customHeight="false" outlineLevel="0" collapsed="false">
      <c r="A52" s="70" t="n">
        <v>58</v>
      </c>
      <c r="B52" s="33" t="s">
        <v>669</v>
      </c>
      <c r="E52" s="47"/>
    </row>
    <row r="53" customFormat="false" ht="12.8" hidden="false" customHeight="false" outlineLevel="0" collapsed="false">
      <c r="A53" s="70" t="n">
        <v>59</v>
      </c>
      <c r="B53" s="33" t="s">
        <v>670</v>
      </c>
      <c r="E53" s="47"/>
    </row>
    <row r="54" customFormat="false" ht="12.8" hidden="false" customHeight="false" outlineLevel="0" collapsed="false">
      <c r="A54" s="70" t="n">
        <v>60</v>
      </c>
      <c r="B54" s="33" t="s">
        <v>671</v>
      </c>
      <c r="E54" s="47"/>
    </row>
    <row r="55" customFormat="false" ht="12.8" hidden="false" customHeight="false" outlineLevel="0" collapsed="false">
      <c r="A55" s="70" t="n">
        <v>61</v>
      </c>
      <c r="B55" s="33" t="s">
        <v>672</v>
      </c>
      <c r="E55" s="47"/>
    </row>
    <row r="56" customFormat="false" ht="12.8" hidden="false" customHeight="false" outlineLevel="0" collapsed="false">
      <c r="A56" s="70" t="n">
        <v>62</v>
      </c>
      <c r="B56" s="33" t="s">
        <v>673</v>
      </c>
      <c r="E56" s="47"/>
    </row>
    <row r="57" customFormat="false" ht="12.8" hidden="false" customHeight="false" outlineLevel="0" collapsed="false">
      <c r="A57" s="70" t="n">
        <v>63</v>
      </c>
      <c r="B57" s="33" t="s">
        <v>674</v>
      </c>
      <c r="E57" s="47"/>
    </row>
    <row r="58" customFormat="false" ht="12.8" hidden="false" customHeight="false" outlineLevel="0" collapsed="false">
      <c r="A58" s="70" t="n">
        <v>64</v>
      </c>
      <c r="B58" s="33" t="s">
        <v>675</v>
      </c>
      <c r="E58" s="47"/>
    </row>
    <row r="59" customFormat="false" ht="12.8" hidden="false" customHeight="false" outlineLevel="0" collapsed="false">
      <c r="A59" s="70" t="n">
        <v>65</v>
      </c>
      <c r="B59" s="33" t="s">
        <v>676</v>
      </c>
      <c r="E59" s="47"/>
    </row>
    <row r="60" customFormat="false" ht="12.8" hidden="false" customHeight="false" outlineLevel="0" collapsed="false">
      <c r="A60" s="70" t="n">
        <v>66</v>
      </c>
      <c r="B60" s="33" t="s">
        <v>677</v>
      </c>
      <c r="E60" s="47"/>
    </row>
    <row r="61" customFormat="false" ht="12.8" hidden="false" customHeight="false" outlineLevel="0" collapsed="false">
      <c r="A61" s="70" t="n">
        <v>67</v>
      </c>
      <c r="B61" s="33" t="s">
        <v>678</v>
      </c>
      <c r="E61" s="47"/>
    </row>
    <row r="62" customFormat="false" ht="12.8" hidden="false" customHeight="false" outlineLevel="0" collapsed="false">
      <c r="A62" s="70" t="n">
        <v>68</v>
      </c>
      <c r="B62" s="33" t="s">
        <v>679</v>
      </c>
      <c r="E62" s="47"/>
    </row>
    <row r="63" customFormat="false" ht="12.8" hidden="false" customHeight="false" outlineLevel="0" collapsed="false">
      <c r="A63" s="70" t="n">
        <v>69</v>
      </c>
      <c r="B63" s="33" t="s">
        <v>680</v>
      </c>
      <c r="E63" s="47"/>
    </row>
    <row r="64" customFormat="false" ht="12.8" hidden="false" customHeight="false" outlineLevel="0" collapsed="false">
      <c r="A64" s="70" t="n">
        <v>70</v>
      </c>
      <c r="B64" s="33" t="s">
        <v>681</v>
      </c>
      <c r="E64" s="47"/>
    </row>
    <row r="65" customFormat="false" ht="12.8" hidden="false" customHeight="false" outlineLevel="0" collapsed="false">
      <c r="A65" s="70" t="n">
        <v>71</v>
      </c>
      <c r="B65" s="33" t="s">
        <v>682</v>
      </c>
      <c r="E65" s="47"/>
    </row>
    <row r="66" customFormat="false" ht="12.8" hidden="false" customHeight="false" outlineLevel="0" collapsed="false">
      <c r="A66" s="70" t="n">
        <v>72</v>
      </c>
      <c r="B66" s="33" t="s">
        <v>683</v>
      </c>
      <c r="E66" s="47"/>
    </row>
    <row r="67" customFormat="false" ht="12.8" hidden="false" customHeight="false" outlineLevel="0" collapsed="false">
      <c r="A67" s="70" t="n">
        <v>73</v>
      </c>
      <c r="B67" s="33" t="s">
        <v>684</v>
      </c>
      <c r="E67" s="47"/>
    </row>
    <row r="68" customFormat="false" ht="12.8" hidden="false" customHeight="false" outlineLevel="0" collapsed="false">
      <c r="A68" s="70" t="n">
        <v>74</v>
      </c>
      <c r="B68" s="33" t="s">
        <v>685</v>
      </c>
      <c r="E68" s="47"/>
    </row>
    <row r="69" customFormat="false" ht="12.8" hidden="false" customHeight="false" outlineLevel="0" collapsed="false">
      <c r="A69" s="70" t="n">
        <v>75</v>
      </c>
      <c r="B69" s="33" t="s">
        <v>686</v>
      </c>
      <c r="E69" s="47"/>
    </row>
    <row r="70" customFormat="false" ht="12.8" hidden="false" customHeight="false" outlineLevel="0" collapsed="false">
      <c r="A70" s="70" t="n">
        <v>76</v>
      </c>
      <c r="B70" s="33" t="s">
        <v>687</v>
      </c>
      <c r="E70" s="47"/>
    </row>
    <row r="71" customFormat="false" ht="12.8" hidden="false" customHeight="false" outlineLevel="0" collapsed="false">
      <c r="A71" s="70" t="n">
        <v>77</v>
      </c>
      <c r="B71" s="33" t="s">
        <v>688</v>
      </c>
      <c r="E71" s="47"/>
    </row>
    <row r="72" customFormat="false" ht="12.8" hidden="false" customHeight="false" outlineLevel="0" collapsed="false">
      <c r="A72" s="70" t="n">
        <v>78</v>
      </c>
      <c r="B72" s="33" t="s">
        <v>689</v>
      </c>
      <c r="E72" s="47"/>
    </row>
    <row r="73" customFormat="false" ht="12.8" hidden="false" customHeight="false" outlineLevel="0" collapsed="false">
      <c r="A73" s="70" t="n">
        <v>79</v>
      </c>
      <c r="B73" s="33" t="s">
        <v>690</v>
      </c>
      <c r="E73" s="47"/>
    </row>
    <row r="74" customFormat="false" ht="12.8" hidden="false" customHeight="false" outlineLevel="0" collapsed="false">
      <c r="A74" s="70" t="n">
        <v>80</v>
      </c>
      <c r="B74" s="33" t="s">
        <v>691</v>
      </c>
      <c r="E74" s="47"/>
    </row>
    <row r="75" customFormat="false" ht="12.8" hidden="false" customHeight="false" outlineLevel="0" collapsed="false">
      <c r="A75" s="70" t="n">
        <v>81</v>
      </c>
      <c r="B75" s="33" t="s">
        <v>692</v>
      </c>
      <c r="E75" s="47"/>
    </row>
    <row r="76" customFormat="false" ht="12.8" hidden="false" customHeight="false" outlineLevel="0" collapsed="false">
      <c r="A76" s="70" t="n">
        <v>82</v>
      </c>
      <c r="B76" s="33" t="s">
        <v>693</v>
      </c>
      <c r="E76" s="47"/>
    </row>
    <row r="77" customFormat="false" ht="12.8" hidden="false" customHeight="false" outlineLevel="0" collapsed="false">
      <c r="A77" s="70" t="n">
        <v>83</v>
      </c>
      <c r="B77" s="33" t="s">
        <v>694</v>
      </c>
      <c r="E77" s="47"/>
    </row>
    <row r="78" customFormat="false" ht="12.8" hidden="false" customHeight="false" outlineLevel="0" collapsed="false">
      <c r="A78" s="70" t="n">
        <v>84</v>
      </c>
      <c r="B78" s="33" t="s">
        <v>695</v>
      </c>
      <c r="E78" s="47"/>
    </row>
    <row r="79" customFormat="false" ht="12.8" hidden="false" customHeight="false" outlineLevel="0" collapsed="false">
      <c r="A79" s="70" t="n">
        <v>85</v>
      </c>
      <c r="B79" s="33" t="s">
        <v>696</v>
      </c>
      <c r="E79" s="47"/>
    </row>
    <row r="80" customFormat="false" ht="12.8" hidden="false" customHeight="false" outlineLevel="0" collapsed="false">
      <c r="A80" s="70" t="n">
        <v>86</v>
      </c>
      <c r="B80" s="33" t="s">
        <v>697</v>
      </c>
      <c r="E80" s="47"/>
    </row>
    <row r="81" customFormat="false" ht="12.8" hidden="false" customHeight="false" outlineLevel="0" collapsed="false">
      <c r="A81" s="70" t="n">
        <v>87</v>
      </c>
      <c r="B81" s="33" t="s">
        <v>698</v>
      </c>
      <c r="E81" s="47"/>
    </row>
    <row r="82" customFormat="false" ht="12.8" hidden="false" customHeight="false" outlineLevel="0" collapsed="false">
      <c r="A82" s="70" t="n">
        <v>88</v>
      </c>
      <c r="B82" s="33" t="s">
        <v>699</v>
      </c>
      <c r="E82" s="47"/>
    </row>
    <row r="83" customFormat="false" ht="12.8" hidden="false" customHeight="false" outlineLevel="0" collapsed="false">
      <c r="A83" s="70" t="n">
        <v>89</v>
      </c>
      <c r="B83" s="33" t="s">
        <v>700</v>
      </c>
      <c r="E83" s="47"/>
    </row>
    <row r="84" customFormat="false" ht="12.8" hidden="false" customHeight="false" outlineLevel="0" collapsed="false">
      <c r="A84" s="70" t="n">
        <v>90</v>
      </c>
      <c r="B84" s="33" t="s">
        <v>701</v>
      </c>
      <c r="E84" s="47"/>
    </row>
    <row r="85" customFormat="false" ht="12.8" hidden="false" customHeight="false" outlineLevel="0" collapsed="false">
      <c r="A85" s="70" t="n">
        <v>91</v>
      </c>
      <c r="B85" s="33" t="s">
        <v>702</v>
      </c>
      <c r="E85" s="47"/>
    </row>
    <row r="86" customFormat="false" ht="12.8" hidden="false" customHeight="false" outlineLevel="0" collapsed="false">
      <c r="A86" s="70" t="n">
        <v>92</v>
      </c>
      <c r="B86" s="33" t="s">
        <v>703</v>
      </c>
      <c r="E86" s="47"/>
    </row>
    <row r="87" customFormat="false" ht="12.8" hidden="false" customHeight="false" outlineLevel="0" collapsed="false">
      <c r="A87" s="70" t="n">
        <v>93</v>
      </c>
      <c r="B87" s="33" t="s">
        <v>704</v>
      </c>
      <c r="E87" s="47"/>
    </row>
    <row r="88" customFormat="false" ht="12.8" hidden="false" customHeight="false" outlineLevel="0" collapsed="false">
      <c r="A88" s="70" t="n">
        <v>94</v>
      </c>
      <c r="B88" s="33" t="s">
        <v>705</v>
      </c>
      <c r="E88" s="47"/>
    </row>
    <row r="89" customFormat="false" ht="12.8" hidden="false" customHeight="false" outlineLevel="0" collapsed="false">
      <c r="A89" s="70" t="n">
        <v>95</v>
      </c>
      <c r="B89" s="33" t="s">
        <v>706</v>
      </c>
      <c r="E89" s="47"/>
    </row>
    <row r="90" customFormat="false" ht="12.8" hidden="false" customHeight="false" outlineLevel="0" collapsed="false">
      <c r="A90" s="70" t="n">
        <v>96</v>
      </c>
      <c r="B90" s="33" t="s">
        <v>707</v>
      </c>
      <c r="E90" s="47"/>
    </row>
    <row r="91" customFormat="false" ht="12.8" hidden="false" customHeight="false" outlineLevel="0" collapsed="false">
      <c r="A91" s="70" t="n">
        <v>97</v>
      </c>
      <c r="B91" s="33" t="s">
        <v>708</v>
      </c>
      <c r="E91" s="47"/>
    </row>
    <row r="92" customFormat="false" ht="12.8" hidden="false" customHeight="false" outlineLevel="0" collapsed="false">
      <c r="A92" s="70" t="n">
        <v>98</v>
      </c>
      <c r="B92" s="33" t="s">
        <v>709</v>
      </c>
      <c r="E92" s="47"/>
    </row>
    <row r="93" customFormat="false" ht="12.8" hidden="false" customHeight="false" outlineLevel="0" collapsed="false">
      <c r="A93" s="70" t="n">
        <v>99</v>
      </c>
      <c r="B93" s="33" t="s">
        <v>710</v>
      </c>
      <c r="E93" s="47"/>
    </row>
    <row r="94" customFormat="false" ht="12.8" hidden="false" customHeight="false" outlineLevel="0" collapsed="false">
      <c r="A94" s="70" t="n">
        <v>100</v>
      </c>
      <c r="B94" s="33" t="s">
        <v>711</v>
      </c>
      <c r="E94" s="47"/>
    </row>
    <row r="95" customFormat="false" ht="12.8" hidden="false" customHeight="false" outlineLevel="0" collapsed="false">
      <c r="A95" s="70" t="n">
        <v>101</v>
      </c>
      <c r="B95" s="33" t="s">
        <v>712</v>
      </c>
      <c r="E95" s="47"/>
    </row>
    <row r="96" customFormat="false" ht="12.8" hidden="false" customHeight="false" outlineLevel="0" collapsed="false">
      <c r="A96" s="70" t="n">
        <v>102</v>
      </c>
      <c r="B96" s="33" t="s">
        <v>713</v>
      </c>
      <c r="E96" s="47"/>
    </row>
    <row r="97" customFormat="false" ht="12.8" hidden="false" customHeight="false" outlineLevel="0" collapsed="false">
      <c r="A97" s="70" t="n">
        <v>103</v>
      </c>
      <c r="B97" s="33" t="s">
        <v>714</v>
      </c>
      <c r="E97" s="47"/>
    </row>
    <row r="98" customFormat="false" ht="12.8" hidden="false" customHeight="false" outlineLevel="0" collapsed="false">
      <c r="A98" s="70" t="n">
        <v>104</v>
      </c>
      <c r="B98" s="33" t="s">
        <v>715</v>
      </c>
      <c r="E98" s="47"/>
    </row>
    <row r="99" customFormat="false" ht="12.8" hidden="false" customHeight="false" outlineLevel="0" collapsed="false">
      <c r="A99" s="70" t="n">
        <v>105</v>
      </c>
      <c r="B99" s="33" t="s">
        <v>716</v>
      </c>
      <c r="E99" s="47"/>
    </row>
    <row r="100" customFormat="false" ht="12.8" hidden="false" customHeight="false" outlineLevel="0" collapsed="false">
      <c r="A100" s="70" t="n">
        <v>106</v>
      </c>
      <c r="B100" s="33" t="s">
        <v>717</v>
      </c>
      <c r="E100" s="47"/>
    </row>
    <row r="101" customFormat="false" ht="12.8" hidden="false" customHeight="false" outlineLevel="0" collapsed="false">
      <c r="A101" s="70" t="n">
        <v>107</v>
      </c>
      <c r="B101" s="33" t="s">
        <v>718</v>
      </c>
      <c r="E101" s="47"/>
    </row>
    <row r="102" customFormat="false" ht="12.8" hidden="false" customHeight="false" outlineLevel="0" collapsed="false">
      <c r="A102" s="70" t="n">
        <v>108</v>
      </c>
      <c r="B102" s="33" t="s">
        <v>719</v>
      </c>
      <c r="E102" s="47"/>
    </row>
    <row r="103" customFormat="false" ht="12.8" hidden="false" customHeight="false" outlineLevel="0" collapsed="false">
      <c r="A103" s="70" t="n">
        <v>109</v>
      </c>
      <c r="B103" s="33" t="s">
        <v>720</v>
      </c>
      <c r="E103" s="47"/>
    </row>
    <row r="104" customFormat="false" ht="12.8" hidden="false" customHeight="false" outlineLevel="0" collapsed="false">
      <c r="A104" s="70" t="n">
        <v>110</v>
      </c>
      <c r="B104" s="33" t="s">
        <v>721</v>
      </c>
      <c r="E104" s="47"/>
    </row>
    <row r="105" customFormat="false" ht="12.8" hidden="false" customHeight="false" outlineLevel="0" collapsed="false">
      <c r="A105" s="70" t="n">
        <v>111</v>
      </c>
      <c r="B105" s="33" t="s">
        <v>722</v>
      </c>
      <c r="E105" s="47"/>
    </row>
    <row r="106" customFormat="false" ht="12.8" hidden="false" customHeight="false" outlineLevel="0" collapsed="false">
      <c r="A106" s="70" t="n">
        <v>112</v>
      </c>
      <c r="B106" s="33" t="s">
        <v>723</v>
      </c>
      <c r="E106" s="47"/>
    </row>
    <row r="107" customFormat="false" ht="12.8" hidden="false" customHeight="false" outlineLevel="0" collapsed="false">
      <c r="A107" s="70" t="n">
        <v>113</v>
      </c>
      <c r="B107" s="33" t="s">
        <v>724</v>
      </c>
      <c r="E107" s="47"/>
    </row>
    <row r="108" customFormat="false" ht="12.8" hidden="false" customHeight="false" outlineLevel="0" collapsed="false">
      <c r="A108" s="70" t="n">
        <v>114</v>
      </c>
      <c r="B108" s="33" t="s">
        <v>725</v>
      </c>
      <c r="E108" s="47"/>
    </row>
    <row r="109" customFormat="false" ht="12.8" hidden="false" customHeight="false" outlineLevel="0" collapsed="false">
      <c r="A109" s="70" t="n">
        <v>115</v>
      </c>
      <c r="B109" s="33" t="s">
        <v>726</v>
      </c>
      <c r="E109" s="47"/>
    </row>
    <row r="110" customFormat="false" ht="12.8" hidden="false" customHeight="false" outlineLevel="0" collapsed="false">
      <c r="A110" s="70" t="n">
        <v>116</v>
      </c>
      <c r="B110" s="33" t="s">
        <v>727</v>
      </c>
      <c r="E110" s="47"/>
    </row>
    <row r="111" customFormat="false" ht="12.8" hidden="false" customHeight="false" outlineLevel="0" collapsed="false">
      <c r="A111" s="70" t="n">
        <v>117</v>
      </c>
      <c r="B111" s="33" t="s">
        <v>728</v>
      </c>
      <c r="E111" s="47"/>
    </row>
    <row r="112" customFormat="false" ht="12.8" hidden="false" customHeight="false" outlineLevel="0" collapsed="false">
      <c r="A112" s="70" t="n">
        <v>118</v>
      </c>
      <c r="B112" s="33" t="s">
        <v>729</v>
      </c>
      <c r="E112" s="47"/>
    </row>
    <row r="113" customFormat="false" ht="12.8" hidden="false" customHeight="false" outlineLevel="0" collapsed="false">
      <c r="A113" s="70" t="n">
        <v>119</v>
      </c>
      <c r="B113" s="33" t="s">
        <v>730</v>
      </c>
      <c r="E113" s="47"/>
    </row>
    <row r="114" customFormat="false" ht="12.8" hidden="false" customHeight="false" outlineLevel="0" collapsed="false">
      <c r="A114" s="70" t="n">
        <v>120</v>
      </c>
      <c r="B114" s="33" t="s">
        <v>731</v>
      </c>
      <c r="E114" s="47"/>
    </row>
    <row r="115" customFormat="false" ht="12.8" hidden="false" customHeight="false" outlineLevel="0" collapsed="false">
      <c r="A115" s="70" t="n">
        <v>121</v>
      </c>
      <c r="B115" s="33" t="s">
        <v>732</v>
      </c>
      <c r="E115" s="47"/>
    </row>
    <row r="116" customFormat="false" ht="12.8" hidden="false" customHeight="false" outlineLevel="0" collapsed="false">
      <c r="A116" s="70" t="n">
        <v>122</v>
      </c>
      <c r="B116" s="33" t="s">
        <v>733</v>
      </c>
      <c r="E116" s="47"/>
    </row>
    <row r="117" customFormat="false" ht="12.8" hidden="false" customHeight="false" outlineLevel="0" collapsed="false">
      <c r="A117" s="70" t="n">
        <v>123</v>
      </c>
      <c r="B117" s="33" t="s">
        <v>734</v>
      </c>
      <c r="E117" s="47"/>
    </row>
    <row r="118" customFormat="false" ht="12.8" hidden="false" customHeight="false" outlineLevel="0" collapsed="false">
      <c r="A118" s="70" t="n">
        <v>124</v>
      </c>
      <c r="B118" s="33" t="s">
        <v>735</v>
      </c>
      <c r="E118" s="47"/>
    </row>
    <row r="119" customFormat="false" ht="12.8" hidden="false" customHeight="false" outlineLevel="0" collapsed="false">
      <c r="A119" s="70" t="n">
        <v>125</v>
      </c>
      <c r="B119" s="33" t="s">
        <v>736</v>
      </c>
      <c r="E119" s="47"/>
    </row>
    <row r="120" customFormat="false" ht="12.8" hidden="false" customHeight="false" outlineLevel="0" collapsed="false">
      <c r="A120" s="70" t="n">
        <v>126</v>
      </c>
      <c r="B120" s="33" t="s">
        <v>737</v>
      </c>
      <c r="E120" s="47"/>
    </row>
    <row r="121" customFormat="false" ht="12.8" hidden="false" customHeight="false" outlineLevel="0" collapsed="false">
      <c r="A121" s="70" t="n">
        <v>127</v>
      </c>
      <c r="B121" s="33" t="s">
        <v>738</v>
      </c>
      <c r="E121" s="47"/>
    </row>
    <row r="122" customFormat="false" ht="12.8" hidden="false" customHeight="false" outlineLevel="0" collapsed="false">
      <c r="A122" s="70" t="n">
        <v>128</v>
      </c>
      <c r="B122" s="33" t="s">
        <v>739</v>
      </c>
      <c r="E122" s="47"/>
    </row>
    <row r="123" customFormat="false" ht="12.8" hidden="false" customHeight="false" outlineLevel="0" collapsed="false">
      <c r="A123" s="70" t="n">
        <v>129</v>
      </c>
      <c r="B123" s="33" t="s">
        <v>740</v>
      </c>
      <c r="E123" s="47"/>
    </row>
    <row r="124" customFormat="false" ht="12.8" hidden="false" customHeight="false" outlineLevel="0" collapsed="false">
      <c r="A124" s="70" t="n">
        <v>130</v>
      </c>
      <c r="B124" s="33" t="s">
        <v>741</v>
      </c>
      <c r="E124" s="47"/>
    </row>
    <row r="125" customFormat="false" ht="12.8" hidden="false" customHeight="false" outlineLevel="0" collapsed="false">
      <c r="A125" s="70" t="n">
        <v>131</v>
      </c>
      <c r="B125" s="33" t="s">
        <v>742</v>
      </c>
      <c r="E125" s="47"/>
    </row>
    <row r="126" customFormat="false" ht="12.8" hidden="false" customHeight="false" outlineLevel="0" collapsed="false">
      <c r="A126" s="70" t="n">
        <v>132</v>
      </c>
      <c r="B126" s="33" t="s">
        <v>743</v>
      </c>
      <c r="E126" s="47"/>
    </row>
    <row r="127" customFormat="false" ht="12.8" hidden="false" customHeight="false" outlineLevel="0" collapsed="false">
      <c r="A127" s="70" t="n">
        <v>133</v>
      </c>
      <c r="B127" s="33" t="s">
        <v>744</v>
      </c>
      <c r="E127" s="47"/>
    </row>
    <row r="128" customFormat="false" ht="12.8" hidden="false" customHeight="false" outlineLevel="0" collapsed="false">
      <c r="A128" s="70" t="n">
        <v>134</v>
      </c>
      <c r="B128" s="33" t="s">
        <v>745</v>
      </c>
      <c r="E128" s="47"/>
    </row>
    <row r="129" customFormat="false" ht="12.8" hidden="false" customHeight="false" outlineLevel="0" collapsed="false">
      <c r="A129" s="70" t="n">
        <v>135</v>
      </c>
      <c r="B129" s="33" t="s">
        <v>746</v>
      </c>
      <c r="E129" s="47"/>
    </row>
    <row r="130" customFormat="false" ht="12.8" hidden="false" customHeight="false" outlineLevel="0" collapsed="false">
      <c r="A130" s="70" t="n">
        <v>136</v>
      </c>
      <c r="B130" s="33" t="s">
        <v>747</v>
      </c>
      <c r="E130" s="47"/>
    </row>
    <row r="131" customFormat="false" ht="12.8" hidden="false" customHeight="false" outlineLevel="0" collapsed="false">
      <c r="A131" s="70" t="n">
        <v>137</v>
      </c>
      <c r="B131" s="33" t="s">
        <v>748</v>
      </c>
      <c r="E131" s="47"/>
    </row>
    <row r="132" customFormat="false" ht="12.8" hidden="false" customHeight="false" outlineLevel="0" collapsed="false">
      <c r="A132" s="70" t="n">
        <v>138</v>
      </c>
      <c r="B132" s="33" t="s">
        <v>749</v>
      </c>
      <c r="E132" s="47"/>
    </row>
    <row r="133" customFormat="false" ht="12.8" hidden="false" customHeight="false" outlineLevel="0" collapsed="false">
      <c r="A133" s="70" t="n">
        <v>139</v>
      </c>
      <c r="B133" s="33" t="s">
        <v>750</v>
      </c>
      <c r="E133" s="47"/>
    </row>
    <row r="134" customFormat="false" ht="12.8" hidden="false" customHeight="false" outlineLevel="0" collapsed="false">
      <c r="A134" s="70" t="n">
        <v>140</v>
      </c>
      <c r="B134" s="33" t="s">
        <v>751</v>
      </c>
      <c r="E134" s="47"/>
    </row>
    <row r="135" customFormat="false" ht="12.8" hidden="false" customHeight="false" outlineLevel="0" collapsed="false">
      <c r="A135" s="70" t="n">
        <v>141</v>
      </c>
      <c r="B135" s="33" t="s">
        <v>752</v>
      </c>
      <c r="E135" s="47"/>
    </row>
    <row r="136" customFormat="false" ht="12.8" hidden="false" customHeight="false" outlineLevel="0" collapsed="false">
      <c r="A136" s="70" t="n">
        <v>142</v>
      </c>
      <c r="B136" s="33" t="s">
        <v>753</v>
      </c>
      <c r="E136" s="47"/>
    </row>
    <row r="137" customFormat="false" ht="12.8" hidden="false" customHeight="false" outlineLevel="0" collapsed="false">
      <c r="A137" s="70" t="n">
        <v>143</v>
      </c>
      <c r="B137" s="33" t="s">
        <v>754</v>
      </c>
      <c r="E137" s="47"/>
    </row>
    <row r="138" customFormat="false" ht="12.8" hidden="false" customHeight="false" outlineLevel="0" collapsed="false">
      <c r="A138" s="70" t="n">
        <v>144</v>
      </c>
      <c r="B138" s="33" t="s">
        <v>755</v>
      </c>
      <c r="E138" s="47"/>
    </row>
    <row r="139" customFormat="false" ht="12.8" hidden="false" customHeight="false" outlineLevel="0" collapsed="false">
      <c r="A139" s="70" t="n">
        <v>145</v>
      </c>
      <c r="B139" s="33" t="s">
        <v>756</v>
      </c>
      <c r="E139" s="47"/>
    </row>
    <row r="140" customFormat="false" ht="12.8" hidden="false" customHeight="false" outlineLevel="0" collapsed="false">
      <c r="A140" s="70" t="n">
        <v>146</v>
      </c>
      <c r="B140" s="33" t="s">
        <v>757</v>
      </c>
      <c r="E140" s="47"/>
    </row>
    <row r="141" customFormat="false" ht="12.8" hidden="false" customHeight="false" outlineLevel="0" collapsed="false">
      <c r="A141" s="70" t="n">
        <v>147</v>
      </c>
      <c r="B141" s="33" t="s">
        <v>758</v>
      </c>
      <c r="E141" s="47"/>
    </row>
    <row r="142" customFormat="false" ht="12.8" hidden="false" customHeight="false" outlineLevel="0" collapsed="false">
      <c r="A142" s="70" t="n">
        <v>148</v>
      </c>
      <c r="B142" s="33" t="s">
        <v>759</v>
      </c>
      <c r="E142" s="47"/>
    </row>
    <row r="143" customFormat="false" ht="12.8" hidden="false" customHeight="false" outlineLevel="0" collapsed="false">
      <c r="A143" s="70" t="n">
        <v>149</v>
      </c>
      <c r="B143" s="33" t="s">
        <v>760</v>
      </c>
      <c r="E143" s="47"/>
    </row>
    <row r="144" customFormat="false" ht="12.8" hidden="false" customHeight="false" outlineLevel="0" collapsed="false">
      <c r="A144" s="70" t="n">
        <v>150</v>
      </c>
      <c r="B144" s="33" t="s">
        <v>761</v>
      </c>
      <c r="E144" s="47"/>
    </row>
    <row r="145" customFormat="false" ht="12.8" hidden="false" customHeight="false" outlineLevel="0" collapsed="false">
      <c r="A145" s="70" t="n">
        <v>151</v>
      </c>
      <c r="B145" s="33" t="s">
        <v>762</v>
      </c>
      <c r="E145" s="47"/>
    </row>
    <row r="146" customFormat="false" ht="12.8" hidden="false" customHeight="false" outlineLevel="0" collapsed="false">
      <c r="A146" s="70" t="n">
        <v>152</v>
      </c>
      <c r="B146" s="33" t="s">
        <v>763</v>
      </c>
      <c r="E146" s="47"/>
    </row>
    <row r="147" customFormat="false" ht="12.8" hidden="false" customHeight="false" outlineLevel="0" collapsed="false">
      <c r="A147" s="70" t="n">
        <v>153</v>
      </c>
      <c r="B147" s="33" t="s">
        <v>764</v>
      </c>
      <c r="E147" s="47"/>
    </row>
    <row r="148" customFormat="false" ht="12.8" hidden="false" customHeight="false" outlineLevel="0" collapsed="false">
      <c r="A148" s="70" t="n">
        <v>154</v>
      </c>
      <c r="B148" s="33" t="s">
        <v>765</v>
      </c>
      <c r="E148" s="47"/>
    </row>
    <row r="149" customFormat="false" ht="12.8" hidden="false" customHeight="false" outlineLevel="0" collapsed="false">
      <c r="A149" s="70" t="n">
        <v>155</v>
      </c>
      <c r="B149" s="33" t="s">
        <v>766</v>
      </c>
      <c r="E149" s="47"/>
    </row>
    <row r="150" customFormat="false" ht="12.8" hidden="false" customHeight="false" outlineLevel="0" collapsed="false">
      <c r="A150" s="70" t="n">
        <v>156</v>
      </c>
      <c r="B150" s="33" t="s">
        <v>767</v>
      </c>
      <c r="E150" s="47"/>
    </row>
    <row r="151" customFormat="false" ht="12.8" hidden="false" customHeight="false" outlineLevel="0" collapsed="false">
      <c r="A151" s="70" t="n">
        <v>157</v>
      </c>
      <c r="B151" s="33" t="s">
        <v>768</v>
      </c>
      <c r="E151" s="47"/>
    </row>
    <row r="152" customFormat="false" ht="12.8" hidden="false" customHeight="false" outlineLevel="0" collapsed="false">
      <c r="A152" s="70" t="n">
        <v>158</v>
      </c>
      <c r="B152" s="33" t="s">
        <v>769</v>
      </c>
      <c r="E152" s="47"/>
    </row>
    <row r="153" customFormat="false" ht="12.8" hidden="false" customHeight="false" outlineLevel="0" collapsed="false">
      <c r="A153" s="70" t="n">
        <v>159</v>
      </c>
      <c r="B153" s="33" t="s">
        <v>770</v>
      </c>
      <c r="E153" s="47"/>
    </row>
    <row r="154" customFormat="false" ht="12.8" hidden="false" customHeight="false" outlineLevel="0" collapsed="false">
      <c r="A154" s="70" t="n">
        <v>160</v>
      </c>
      <c r="B154" s="33" t="s">
        <v>771</v>
      </c>
      <c r="E154" s="47"/>
    </row>
    <row r="155" customFormat="false" ht="12.8" hidden="false" customHeight="false" outlineLevel="0" collapsed="false">
      <c r="A155" s="70" t="n">
        <v>161</v>
      </c>
      <c r="B155" s="33" t="s">
        <v>772</v>
      </c>
      <c r="E155" s="47"/>
    </row>
    <row r="156" customFormat="false" ht="12.8" hidden="false" customHeight="false" outlineLevel="0" collapsed="false">
      <c r="A156" s="70" t="n">
        <v>162</v>
      </c>
      <c r="B156" s="33" t="s">
        <v>773</v>
      </c>
      <c r="E156" s="47"/>
    </row>
    <row r="157" customFormat="false" ht="12.8" hidden="false" customHeight="false" outlineLevel="0" collapsed="false">
      <c r="A157" s="70" t="n">
        <v>163</v>
      </c>
      <c r="B157" s="33" t="s">
        <v>774</v>
      </c>
      <c r="E157" s="47"/>
    </row>
    <row r="158" customFormat="false" ht="12.8" hidden="false" customHeight="false" outlineLevel="0" collapsed="false">
      <c r="A158" s="70" t="n">
        <v>164</v>
      </c>
      <c r="B158" s="33" t="s">
        <v>775</v>
      </c>
      <c r="E158" s="47"/>
    </row>
    <row r="159" customFormat="false" ht="12.8" hidden="false" customHeight="false" outlineLevel="0" collapsed="false">
      <c r="A159" s="70" t="n">
        <v>165</v>
      </c>
      <c r="B159" s="33" t="s">
        <v>776</v>
      </c>
      <c r="E159" s="47"/>
    </row>
    <row r="160" customFormat="false" ht="12.8" hidden="false" customHeight="false" outlineLevel="0" collapsed="false">
      <c r="A160" s="70" t="n">
        <v>166</v>
      </c>
      <c r="B160" s="33" t="s">
        <v>777</v>
      </c>
      <c r="E160" s="47"/>
    </row>
    <row r="161" customFormat="false" ht="12.8" hidden="false" customHeight="false" outlineLevel="0" collapsed="false">
      <c r="A161" s="70" t="n">
        <v>167</v>
      </c>
      <c r="B161" s="33" t="s">
        <v>778</v>
      </c>
      <c r="E161" s="47"/>
    </row>
    <row r="162" customFormat="false" ht="12.8" hidden="false" customHeight="false" outlineLevel="0" collapsed="false">
      <c r="A162" s="70" t="n">
        <v>168</v>
      </c>
      <c r="B162" s="33" t="s">
        <v>779</v>
      </c>
      <c r="E162" s="47"/>
    </row>
    <row r="163" customFormat="false" ht="12.8" hidden="false" customHeight="false" outlineLevel="0" collapsed="false">
      <c r="A163" s="70" t="n">
        <v>169</v>
      </c>
      <c r="B163" s="33" t="s">
        <v>780</v>
      </c>
      <c r="E163" s="47"/>
    </row>
    <row r="164" customFormat="false" ht="12.8" hidden="false" customHeight="false" outlineLevel="0" collapsed="false">
      <c r="A164" s="70" t="n">
        <v>170</v>
      </c>
      <c r="B164" s="33" t="s">
        <v>781</v>
      </c>
      <c r="E164" s="47"/>
    </row>
    <row r="165" customFormat="false" ht="12.8" hidden="false" customHeight="false" outlineLevel="0" collapsed="false">
      <c r="A165" s="70" t="n">
        <v>171</v>
      </c>
      <c r="B165" s="33" t="s">
        <v>782</v>
      </c>
      <c r="E165" s="47"/>
    </row>
    <row r="166" customFormat="false" ht="12.8" hidden="false" customHeight="false" outlineLevel="0" collapsed="false">
      <c r="A166" s="70" t="n">
        <v>172</v>
      </c>
      <c r="B166" s="33" t="s">
        <v>783</v>
      </c>
      <c r="E166" s="47"/>
    </row>
    <row r="167" customFormat="false" ht="12.8" hidden="false" customHeight="false" outlineLevel="0" collapsed="false">
      <c r="A167" s="70" t="n">
        <v>173</v>
      </c>
      <c r="B167" s="33" t="s">
        <v>784</v>
      </c>
      <c r="E167" s="47"/>
    </row>
    <row r="168" customFormat="false" ht="12.8" hidden="false" customHeight="false" outlineLevel="0" collapsed="false">
      <c r="A168" s="70" t="n">
        <v>174</v>
      </c>
      <c r="B168" s="33" t="s">
        <v>785</v>
      </c>
      <c r="E168" s="47"/>
    </row>
    <row r="169" customFormat="false" ht="12.8" hidden="false" customHeight="false" outlineLevel="0" collapsed="false">
      <c r="A169" s="70" t="n">
        <v>175</v>
      </c>
      <c r="B169" s="33" t="s">
        <v>786</v>
      </c>
      <c r="E169" s="47"/>
    </row>
    <row r="170" customFormat="false" ht="12.8" hidden="false" customHeight="false" outlineLevel="0" collapsed="false">
      <c r="A170" s="70" t="n">
        <v>176</v>
      </c>
      <c r="B170" s="33" t="s">
        <v>787</v>
      </c>
      <c r="E170" s="47"/>
    </row>
    <row r="171" customFormat="false" ht="12.8" hidden="false" customHeight="false" outlineLevel="0" collapsed="false">
      <c r="A171" s="70" t="n">
        <v>177</v>
      </c>
      <c r="B171" s="33" t="s">
        <v>788</v>
      </c>
      <c r="E171" s="47"/>
    </row>
    <row r="172" customFormat="false" ht="12.8" hidden="false" customHeight="false" outlineLevel="0" collapsed="false">
      <c r="A172" s="70" t="n">
        <v>178</v>
      </c>
      <c r="B172" s="33" t="s">
        <v>789</v>
      </c>
      <c r="E172" s="47"/>
    </row>
    <row r="173" customFormat="false" ht="12.8" hidden="false" customHeight="false" outlineLevel="0" collapsed="false">
      <c r="A173" s="70" t="n">
        <v>179</v>
      </c>
      <c r="B173" s="33" t="s">
        <v>790</v>
      </c>
      <c r="E173" s="47"/>
    </row>
    <row r="174" customFormat="false" ht="12.8" hidden="false" customHeight="false" outlineLevel="0" collapsed="false">
      <c r="A174" s="70" t="n">
        <v>180</v>
      </c>
      <c r="B174" s="33" t="s">
        <v>791</v>
      </c>
      <c r="E174" s="47"/>
    </row>
    <row r="175" customFormat="false" ht="12.8" hidden="false" customHeight="false" outlineLevel="0" collapsed="false">
      <c r="A175" s="70" t="n">
        <v>181</v>
      </c>
      <c r="B175" s="33" t="s">
        <v>792</v>
      </c>
      <c r="E175" s="47"/>
    </row>
    <row r="176" customFormat="false" ht="12.8" hidden="false" customHeight="false" outlineLevel="0" collapsed="false">
      <c r="A176" s="70" t="n">
        <v>182</v>
      </c>
      <c r="B176" s="33" t="s">
        <v>793</v>
      </c>
      <c r="E176" s="47"/>
    </row>
    <row r="177" customFormat="false" ht="12.8" hidden="false" customHeight="false" outlineLevel="0" collapsed="false">
      <c r="A177" s="70" t="n">
        <v>183</v>
      </c>
      <c r="B177" s="33" t="s">
        <v>794</v>
      </c>
      <c r="E177" s="47"/>
    </row>
    <row r="178" customFormat="false" ht="12.8" hidden="false" customHeight="false" outlineLevel="0" collapsed="false">
      <c r="A178" s="70" t="n">
        <v>184</v>
      </c>
      <c r="B178" s="33" t="s">
        <v>795</v>
      </c>
      <c r="E178" s="47"/>
    </row>
    <row r="179" customFormat="false" ht="12.8" hidden="false" customHeight="false" outlineLevel="0" collapsed="false">
      <c r="A179" s="70" t="n">
        <v>185</v>
      </c>
      <c r="B179" s="33" t="s">
        <v>796</v>
      </c>
      <c r="E179" s="47"/>
    </row>
    <row r="180" customFormat="false" ht="12.8" hidden="false" customHeight="false" outlineLevel="0" collapsed="false">
      <c r="A180" s="70" t="n">
        <v>186</v>
      </c>
      <c r="B180" s="33" t="s">
        <v>797</v>
      </c>
      <c r="E180" s="47"/>
    </row>
    <row r="181" customFormat="false" ht="12.8" hidden="false" customHeight="false" outlineLevel="0" collapsed="false">
      <c r="A181" s="70" t="n">
        <v>187</v>
      </c>
      <c r="B181" s="33" t="s">
        <v>798</v>
      </c>
      <c r="E181" s="47"/>
    </row>
    <row r="182" customFormat="false" ht="12.8" hidden="false" customHeight="false" outlineLevel="0" collapsed="false">
      <c r="A182" s="70" t="n">
        <v>188</v>
      </c>
      <c r="B182" s="33" t="s">
        <v>799</v>
      </c>
      <c r="E182" s="47"/>
    </row>
    <row r="183" customFormat="false" ht="12.8" hidden="false" customHeight="false" outlineLevel="0" collapsed="false">
      <c r="A183" s="70" t="n">
        <v>189</v>
      </c>
      <c r="B183" s="33" t="s">
        <v>800</v>
      </c>
      <c r="E183" s="47"/>
    </row>
    <row r="184" customFormat="false" ht="12.8" hidden="false" customHeight="false" outlineLevel="0" collapsed="false">
      <c r="A184" s="70" t="n">
        <v>190</v>
      </c>
      <c r="B184" s="33" t="s">
        <v>801</v>
      </c>
      <c r="E184" s="4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4.6"/>
    <col collapsed="false" customWidth="true" hidden="false" outlineLevel="0" max="3" min="3" style="1" width="18.49"/>
    <col collapsed="false" customWidth="true" hidden="false" outlineLevel="0" max="4" min="4" style="1" width="16.83"/>
    <col collapsed="false" customWidth="true" hidden="false" outlineLevel="0" max="6" min="6" style="1" width="16.97"/>
    <col collapsed="false" customWidth="true" hidden="false" outlineLevel="0" max="7" min="7" style="1" width="16.83"/>
    <col collapsed="false" customWidth="true" hidden="false" outlineLevel="0" max="9" min="9" style="1" width="32.15"/>
    <col collapsed="false" customWidth="true" hidden="false" outlineLevel="0" max="10" min="10" style="1" width="17.95"/>
  </cols>
  <sheetData>
    <row r="2" customFormat="false" ht="12.8" hidden="false" customHeight="false" outlineLevel="0" collapsed="false">
      <c r="B2" s="1" t="s">
        <v>21</v>
      </c>
      <c r="C2" s="71" t="s">
        <v>22</v>
      </c>
      <c r="D2" s="71" t="s">
        <v>24</v>
      </c>
      <c r="E2" s="71" t="s">
        <v>25</v>
      </c>
      <c r="F2" s="71" t="s">
        <v>23</v>
      </c>
      <c r="G2" s="1" t="s">
        <v>26</v>
      </c>
      <c r="H2" s="1" t="s">
        <v>27</v>
      </c>
      <c r="I2" s="1" t="s">
        <v>802</v>
      </c>
      <c r="J2" s="1" t="s">
        <v>803</v>
      </c>
    </row>
    <row r="3" customFormat="false" ht="12.8" hidden="false" customHeight="false" outlineLevel="0" collapsed="false">
      <c r="B3" s="1" t="s">
        <v>28</v>
      </c>
      <c r="C3" s="71" t="s">
        <v>29</v>
      </c>
      <c r="D3" s="71" t="s">
        <v>31</v>
      </c>
      <c r="E3" s="71" t="s">
        <v>32</v>
      </c>
      <c r="F3" s="71" t="s">
        <v>30</v>
      </c>
      <c r="G3" s="1" t="s">
        <v>33</v>
      </c>
      <c r="H3" s="1" t="s">
        <v>34</v>
      </c>
      <c r="I3" s="1" t="s">
        <v>804</v>
      </c>
      <c r="J3" s="1" t="s">
        <v>805</v>
      </c>
    </row>
    <row r="4" customFormat="false" ht="12.8" hidden="false" customHeight="false" outlineLevel="0" collapsed="false">
      <c r="B4" s="1" t="s">
        <v>35</v>
      </c>
      <c r="C4" s="71" t="s">
        <v>36</v>
      </c>
      <c r="D4" s="71" t="s">
        <v>38</v>
      </c>
      <c r="E4" s="71" t="s">
        <v>39</v>
      </c>
      <c r="F4" s="71" t="s">
        <v>37</v>
      </c>
      <c r="G4" s="1" t="s">
        <v>40</v>
      </c>
      <c r="H4" s="1" t="s">
        <v>41</v>
      </c>
      <c r="I4" s="1" t="s">
        <v>806</v>
      </c>
      <c r="J4" s="1" t="s">
        <v>807</v>
      </c>
    </row>
    <row r="5" customFormat="false" ht="12.8" hidden="false" customHeight="false" outlineLevel="0" collapsed="false">
      <c r="B5" s="1" t="s">
        <v>42</v>
      </c>
      <c r="C5" s="71" t="s">
        <v>43</v>
      </c>
      <c r="D5" s="71" t="s">
        <v>45</v>
      </c>
      <c r="E5" s="71" t="s">
        <v>46</v>
      </c>
      <c r="F5" s="71" t="s">
        <v>44</v>
      </c>
      <c r="G5" s="1" t="s">
        <v>47</v>
      </c>
      <c r="H5" s="1" t="s">
        <v>48</v>
      </c>
      <c r="I5" s="1" t="s">
        <v>808</v>
      </c>
      <c r="J5" s="1" t="s">
        <v>809</v>
      </c>
    </row>
    <row r="9" customFormat="false" ht="12.8" hidden="false" customHeight="false" outlineLevel="0" collapsed="false">
      <c r="B9" s="1" t="s">
        <v>810</v>
      </c>
    </row>
    <row r="10" customFormat="false" ht="12.8" hidden="false" customHeight="false" outlineLevel="0" collapsed="false">
      <c r="B10" s="1" t="s">
        <v>811</v>
      </c>
    </row>
    <row r="11" customFormat="false" ht="12.8" hidden="false" customHeight="false" outlineLevel="0" collapsed="false">
      <c r="B11" s="1" t="s">
        <v>812</v>
      </c>
    </row>
    <row r="12" customFormat="false" ht="12.8" hidden="false" customHeight="false" outlineLevel="0" collapsed="false">
      <c r="B12" s="71" t="s">
        <v>813</v>
      </c>
    </row>
    <row r="13" customFormat="false" ht="12.8" hidden="false" customHeight="false" outlineLevel="0" collapsed="false">
      <c r="B13" s="1" t="s">
        <v>187</v>
      </c>
    </row>
    <row r="14" customFormat="false" ht="12.8" hidden="false" customHeight="false" outlineLevel="0" collapsed="false">
      <c r="B14" s="1" t="s">
        <v>814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E1" s="1" t="s">
        <v>815</v>
      </c>
      <c r="F1" s="1" t="s">
        <v>816</v>
      </c>
      <c r="G1" s="1" t="s">
        <v>817</v>
      </c>
    </row>
    <row r="3" customFormat="false" ht="12.8" hidden="false" customHeight="false" outlineLevel="0" collapsed="false">
      <c r="B3" s="1" t="s">
        <v>6</v>
      </c>
      <c r="C3" s="1" t="n">
        <v>7.67</v>
      </c>
      <c r="D3" s="1" t="n">
        <v>198.57</v>
      </c>
      <c r="E3" s="1" t="n">
        <f aca="false">D3-C3</f>
        <v>190.9</v>
      </c>
      <c r="F3" s="1" t="n">
        <v>25.81</v>
      </c>
      <c r="G3" s="1" t="n">
        <f aca="false">E3*F3</f>
        <v>4927.129</v>
      </c>
    </row>
    <row r="4" customFormat="false" ht="12.8" hidden="false" customHeight="false" outlineLevel="0" collapsed="false">
      <c r="B4" s="1" t="s">
        <v>818</v>
      </c>
      <c r="C4" s="1" t="n">
        <v>7.51</v>
      </c>
      <c r="D4" s="1" t="n">
        <v>198.57</v>
      </c>
      <c r="E4" s="1" t="n">
        <f aca="false">D4-C4</f>
        <v>191.06</v>
      </c>
      <c r="F4" s="1" t="n">
        <v>25.81</v>
      </c>
      <c r="G4" s="1" t="n">
        <f aca="false">E4*F4</f>
        <v>4931.2586</v>
      </c>
    </row>
    <row r="5" customFormat="false" ht="12.8" hidden="false" customHeight="false" outlineLevel="0" collapsed="false">
      <c r="B5" s="1" t="s">
        <v>8</v>
      </c>
      <c r="C5" s="1" t="n">
        <v>8.09</v>
      </c>
      <c r="D5" s="1" t="n">
        <v>197.14</v>
      </c>
      <c r="E5" s="1" t="n">
        <f aca="false">D5-C5</f>
        <v>189.05</v>
      </c>
      <c r="F5" s="1" t="n">
        <v>41.6</v>
      </c>
      <c r="G5" s="1" t="n">
        <f aca="false">E5*F5</f>
        <v>7864.48</v>
      </c>
    </row>
    <row r="6" customFormat="false" ht="12.8" hidden="false" customHeight="false" outlineLevel="0" collapsed="false">
      <c r="B6" s="1" t="s">
        <v>9</v>
      </c>
      <c r="C6" s="1" t="n">
        <v>8.09</v>
      </c>
      <c r="D6" s="1" t="n">
        <v>197.14</v>
      </c>
      <c r="E6" s="1" t="n">
        <f aca="false">D6-C6</f>
        <v>189.05</v>
      </c>
      <c r="F6" s="1" t="n">
        <v>41.6</v>
      </c>
      <c r="G6" s="1" t="n">
        <f aca="false">E6*F6</f>
        <v>7864.48</v>
      </c>
    </row>
    <row r="8" customFormat="false" ht="12.8" hidden="false" customHeight="false" outlineLevel="0" collapsed="false">
      <c r="G8" s="1" t="n">
        <f aca="false">SUM(G3:G7)</f>
        <v>25587.3476</v>
      </c>
      <c r="H8" s="1" t="n">
        <v>180</v>
      </c>
      <c r="I8" s="72" t="n">
        <f aca="false">G8*H8</f>
        <v>4605722.568</v>
      </c>
    </row>
    <row r="12" customFormat="false" ht="12.8" hidden="false" customHeight="false" outlineLevel="0" collapsed="false">
      <c r="B12" s="1" t="s">
        <v>6</v>
      </c>
      <c r="C12" s="1" t="n">
        <v>2</v>
      </c>
      <c r="E12" s="1" t="n">
        <v>3.77</v>
      </c>
      <c r="F12" s="1" t="n">
        <v>25.81</v>
      </c>
      <c r="G12" s="1" t="n">
        <f aca="false">E12*F12</f>
        <v>97.3037</v>
      </c>
    </row>
    <row r="13" customFormat="false" ht="12.8" hidden="false" customHeight="false" outlineLevel="0" collapsed="false">
      <c r="C13" s="1" t="n">
        <v>3</v>
      </c>
      <c r="E13" s="1" t="n">
        <v>3.35</v>
      </c>
      <c r="F13" s="1" t="n">
        <v>25.81</v>
      </c>
      <c r="G13" s="1" t="n">
        <f aca="false">E13*F13</f>
        <v>86.4635</v>
      </c>
    </row>
    <row r="14" customFormat="false" ht="12.8" hidden="false" customHeight="false" outlineLevel="0" collapsed="false">
      <c r="C14" s="1" t="n">
        <v>4</v>
      </c>
      <c r="E14" s="1" t="n">
        <v>3.35</v>
      </c>
      <c r="F14" s="1" t="n">
        <v>25.81</v>
      </c>
      <c r="G14" s="1" t="n">
        <f aca="false">E14*F14</f>
        <v>86.4635</v>
      </c>
    </row>
    <row r="15" customFormat="false" ht="12.8" hidden="false" customHeight="false" outlineLevel="0" collapsed="false">
      <c r="C15" s="1" t="n">
        <v>19</v>
      </c>
      <c r="E15" s="1" t="n">
        <v>3.51</v>
      </c>
      <c r="F15" s="1" t="n">
        <v>25.81</v>
      </c>
      <c r="G15" s="1" t="n">
        <f aca="false">E15*F15</f>
        <v>90.5931</v>
      </c>
    </row>
    <row r="16" customFormat="false" ht="12.8" hidden="false" customHeight="false" outlineLevel="0" collapsed="false">
      <c r="C16" s="1" t="n">
        <v>20</v>
      </c>
      <c r="E16" s="1" t="n">
        <v>3.35</v>
      </c>
      <c r="F16" s="1" t="n">
        <v>25.81</v>
      </c>
      <c r="G16" s="1" t="n">
        <f aca="false">E16*F16</f>
        <v>86.4635</v>
      </c>
    </row>
    <row r="17" customFormat="false" ht="12.8" hidden="false" customHeight="false" outlineLevel="0" collapsed="false">
      <c r="C17" s="1" t="n">
        <v>40</v>
      </c>
      <c r="E17" s="1" t="n">
        <v>3.35</v>
      </c>
      <c r="F17" s="1" t="n">
        <v>25.81</v>
      </c>
      <c r="G17" s="1" t="n">
        <f aca="false">E17*F17</f>
        <v>86.4635</v>
      </c>
    </row>
    <row r="18" customFormat="false" ht="12.8" hidden="false" customHeight="false" outlineLevel="0" collapsed="false">
      <c r="C18" s="1" t="n">
        <v>57</v>
      </c>
      <c r="E18" s="1" t="n">
        <v>5.36</v>
      </c>
      <c r="F18" s="1" t="n">
        <v>25.81</v>
      </c>
      <c r="G18" s="1" t="n">
        <f aca="false">E18*F18</f>
        <v>138.3416</v>
      </c>
    </row>
    <row r="19" customFormat="false" ht="12.8" hidden="false" customHeight="false" outlineLevel="0" collapsed="false">
      <c r="B19" s="1" t="s">
        <v>818</v>
      </c>
      <c r="C19" s="1" t="n">
        <v>2</v>
      </c>
      <c r="E19" s="1" t="n">
        <v>3.93</v>
      </c>
      <c r="F19" s="1" t="n">
        <v>25.81</v>
      </c>
      <c r="G19" s="1" t="n">
        <f aca="false">E19*F19</f>
        <v>101.4333</v>
      </c>
    </row>
    <row r="20" customFormat="false" ht="12.8" hidden="false" customHeight="false" outlineLevel="0" collapsed="false">
      <c r="C20" s="1" t="n">
        <v>3</v>
      </c>
      <c r="E20" s="1" t="n">
        <v>3.35</v>
      </c>
      <c r="F20" s="1" t="n">
        <v>25.81</v>
      </c>
      <c r="G20" s="1" t="n">
        <f aca="false">E20*F20</f>
        <v>86.4635</v>
      </c>
    </row>
    <row r="21" customFormat="false" ht="12.8" hidden="false" customHeight="false" outlineLevel="0" collapsed="false">
      <c r="C21" s="1" t="n">
        <v>4</v>
      </c>
      <c r="E21" s="1" t="n">
        <v>3.35</v>
      </c>
      <c r="F21" s="1" t="n">
        <v>25.81</v>
      </c>
      <c r="G21" s="1" t="n">
        <f aca="false">E21*F21</f>
        <v>86.4635</v>
      </c>
    </row>
    <row r="22" customFormat="false" ht="12.8" hidden="false" customHeight="false" outlineLevel="0" collapsed="false">
      <c r="C22" s="1" t="n">
        <v>19</v>
      </c>
      <c r="E22" s="1" t="n">
        <v>3.51</v>
      </c>
      <c r="F22" s="1" t="n">
        <v>25.81</v>
      </c>
      <c r="G22" s="1" t="n">
        <f aca="false">E22*F22</f>
        <v>90.5931</v>
      </c>
    </row>
    <row r="23" customFormat="false" ht="12.8" hidden="false" customHeight="false" outlineLevel="0" collapsed="false">
      <c r="C23" s="1" t="n">
        <v>20</v>
      </c>
      <c r="E23" s="1" t="n">
        <v>3.35</v>
      </c>
      <c r="F23" s="1" t="n">
        <v>25.81</v>
      </c>
      <c r="G23" s="1" t="n">
        <f aca="false">E23*F23</f>
        <v>86.4635</v>
      </c>
    </row>
    <row r="24" customFormat="false" ht="12.8" hidden="false" customHeight="false" outlineLevel="0" collapsed="false">
      <c r="C24" s="1" t="n">
        <v>57</v>
      </c>
      <c r="E24" s="1" t="n">
        <v>5.36</v>
      </c>
      <c r="F24" s="1" t="n">
        <v>25.81</v>
      </c>
      <c r="G24" s="1" t="n">
        <f aca="false">E24*F24</f>
        <v>138.3416</v>
      </c>
    </row>
    <row r="25" customFormat="false" ht="12.8" hidden="false" customHeight="false" outlineLevel="0" collapsed="false">
      <c r="B25" s="1" t="s">
        <v>8</v>
      </c>
      <c r="C25" s="1" t="n">
        <v>2</v>
      </c>
      <c r="E25" s="1" t="n">
        <v>3.35</v>
      </c>
      <c r="F25" s="1" t="n">
        <v>41.6</v>
      </c>
      <c r="G25" s="1" t="n">
        <f aca="false">E25*F25</f>
        <v>139.36</v>
      </c>
    </row>
    <row r="26" customFormat="false" ht="12.8" hidden="false" customHeight="false" outlineLevel="0" collapsed="false">
      <c r="C26" s="1" t="n">
        <v>3</v>
      </c>
      <c r="E26" s="1" t="n">
        <v>3.35</v>
      </c>
      <c r="F26" s="1" t="n">
        <v>41.6</v>
      </c>
      <c r="G26" s="1" t="n">
        <f aca="false">E26*F26</f>
        <v>139.36</v>
      </c>
    </row>
    <row r="27" customFormat="false" ht="12.8" hidden="false" customHeight="false" outlineLevel="0" collapsed="false">
      <c r="C27" s="1" t="n">
        <v>19</v>
      </c>
      <c r="E27" s="1" t="n">
        <v>3.51</v>
      </c>
      <c r="F27" s="1" t="n">
        <v>41.6</v>
      </c>
      <c r="G27" s="1" t="n">
        <f aca="false">E27*F27</f>
        <v>146.016</v>
      </c>
    </row>
    <row r="28" customFormat="false" ht="12.8" hidden="false" customHeight="false" outlineLevel="0" collapsed="false">
      <c r="C28" s="1" t="n">
        <v>29</v>
      </c>
      <c r="E28" s="1" t="n">
        <v>3.35</v>
      </c>
      <c r="F28" s="1" t="n">
        <v>41.6</v>
      </c>
      <c r="G28" s="1" t="n">
        <f aca="false">E28*F28</f>
        <v>139.36</v>
      </c>
    </row>
    <row r="29" customFormat="false" ht="12.8" hidden="false" customHeight="false" outlineLevel="0" collapsed="false">
      <c r="C29" s="1" t="n">
        <v>30</v>
      </c>
      <c r="E29" s="1" t="n">
        <v>3.35</v>
      </c>
      <c r="F29" s="1" t="n">
        <v>41.6</v>
      </c>
      <c r="G29" s="1" t="n">
        <f aca="false">E29*F29</f>
        <v>139.36</v>
      </c>
    </row>
    <row r="30" customFormat="false" ht="12.8" hidden="false" customHeight="false" outlineLevel="0" collapsed="false">
      <c r="C30" s="1" t="n">
        <v>39</v>
      </c>
      <c r="E30" s="1" t="n">
        <v>3.51</v>
      </c>
      <c r="F30" s="1" t="n">
        <v>41.6</v>
      </c>
      <c r="G30" s="1" t="n">
        <f aca="false">E30*F30</f>
        <v>146.016</v>
      </c>
    </row>
    <row r="31" customFormat="false" ht="12.8" hidden="false" customHeight="false" outlineLevel="0" collapsed="false">
      <c r="C31" s="1" t="n">
        <v>57</v>
      </c>
      <c r="E31" s="1" t="n">
        <v>3.93</v>
      </c>
      <c r="F31" s="1" t="n">
        <v>41.6</v>
      </c>
      <c r="G31" s="1" t="n">
        <f aca="false">E31*F31</f>
        <v>163.488</v>
      </c>
    </row>
    <row r="32" customFormat="false" ht="12.8" hidden="false" customHeight="false" outlineLevel="0" collapsed="false">
      <c r="B32" s="1" t="s">
        <v>9</v>
      </c>
      <c r="C32" s="1" t="n">
        <v>2</v>
      </c>
      <c r="E32" s="1" t="n">
        <v>3.35</v>
      </c>
      <c r="F32" s="1" t="n">
        <v>41.6</v>
      </c>
      <c r="G32" s="1" t="n">
        <f aca="false">E32*F32</f>
        <v>139.36</v>
      </c>
    </row>
    <row r="33" customFormat="false" ht="12.8" hidden="false" customHeight="false" outlineLevel="0" collapsed="false">
      <c r="C33" s="1" t="n">
        <v>3</v>
      </c>
      <c r="E33" s="1" t="n">
        <v>3.35</v>
      </c>
      <c r="F33" s="1" t="n">
        <v>41.6</v>
      </c>
      <c r="G33" s="1" t="n">
        <f aca="false">E33*F33</f>
        <v>139.36</v>
      </c>
    </row>
    <row r="34" customFormat="false" ht="12.8" hidden="false" customHeight="false" outlineLevel="0" collapsed="false">
      <c r="C34" s="1" t="n">
        <v>19</v>
      </c>
      <c r="E34" s="1" t="n">
        <v>3.51</v>
      </c>
      <c r="F34" s="1" t="n">
        <v>41.6</v>
      </c>
      <c r="G34" s="1" t="n">
        <f aca="false">E34*F34</f>
        <v>146.016</v>
      </c>
    </row>
    <row r="35" customFormat="false" ht="12.8" hidden="false" customHeight="false" outlineLevel="0" collapsed="false">
      <c r="C35" s="1" t="n">
        <v>29</v>
      </c>
      <c r="E35" s="1" t="n">
        <v>3.35</v>
      </c>
      <c r="F35" s="1" t="n">
        <v>41.6</v>
      </c>
      <c r="G35" s="1" t="n">
        <f aca="false">E35*F35</f>
        <v>139.36</v>
      </c>
    </row>
    <row r="36" customFormat="false" ht="12.8" hidden="false" customHeight="false" outlineLevel="0" collapsed="false">
      <c r="C36" s="1" t="n">
        <v>30</v>
      </c>
      <c r="E36" s="1" t="n">
        <v>3.35</v>
      </c>
      <c r="F36" s="1" t="n">
        <v>41.6</v>
      </c>
      <c r="G36" s="1" t="n">
        <f aca="false">E36*F36</f>
        <v>139.36</v>
      </c>
    </row>
    <row r="37" customFormat="false" ht="12.8" hidden="false" customHeight="false" outlineLevel="0" collapsed="false">
      <c r="C37" s="1" t="n">
        <v>39</v>
      </c>
      <c r="E37" s="1" t="n">
        <v>3.51</v>
      </c>
      <c r="F37" s="1" t="n">
        <v>41.6</v>
      </c>
      <c r="G37" s="1" t="n">
        <f aca="false">E37*F37</f>
        <v>146.016</v>
      </c>
    </row>
    <row r="38" customFormat="false" ht="12.8" hidden="false" customHeight="false" outlineLevel="0" collapsed="false">
      <c r="C38" s="1" t="n">
        <v>57</v>
      </c>
      <c r="E38" s="1" t="n">
        <v>3.93</v>
      </c>
      <c r="F38" s="1" t="n">
        <v>41.6</v>
      </c>
      <c r="G38" s="1" t="n">
        <f aca="false">E38*F38</f>
        <v>163.488</v>
      </c>
    </row>
    <row r="41" customFormat="false" ht="12.8" hidden="false" customHeight="false" outlineLevel="0" collapsed="false">
      <c r="G41" s="1" t="n">
        <f aca="false">SUM(G12:G40)</f>
        <v>3287.7709</v>
      </c>
      <c r="H41" s="1" t="n">
        <v>180</v>
      </c>
      <c r="I41" s="72" t="n">
        <f aca="false">G41*H41</f>
        <v>591798.762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10153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2025-11-16T23:15:15Z</dcterms:created>
  <dc:creator/>
  <dc:description/>
  <dc:language>ru-RU</dc:language>
  <cp:lastModifiedBy/>
  <dcterms:modified xsi:type="dcterms:W3CDTF">2026-04-03T13:29:33Z</dcterms:modified>
  <cp:revision>204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